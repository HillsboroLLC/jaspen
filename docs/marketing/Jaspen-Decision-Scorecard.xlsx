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 Scorecar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<sst xmlns="http://schemas.openxmlformats.org/spreadsheetml/2006/main" count="47" uniqueCount="41">
  <si>
    <t xml:space="preserve">JASPEN DECISION SCORECARD</t>
  </si>
  <si>
    <t xml:space="preserve">Score any decision the way Jaspen does: criteria you weight, evidence you grade, confidence that caps the score.</t>
  </si>
  <si>
    <t xml:space="preserve">Decision</t>
  </si>
  <si>
    <t xml:space="preserve">Type the decision or option you are scoring</t>
  </si>
  <si>
    <t xml:space="preserve">OVERALL SCORE</t>
  </si>
  <si>
    <t xml:space="preserve">Criterion</t>
  </si>
  <si>
    <t xml:space="preserve">Weight</t>
  </si>
  <si>
    <t xml:space="preserve">Score (0-100)</t>
  </si>
  <si>
    <t xml:space="preserve">Confidence</t>
  </si>
  <si>
    <t xml:space="preserve">Cap</t>
  </si>
  <si>
    <t xml:space="preserve">Counted</t>
  </si>
  <si>
    <t xml:space="preserve">Weighted</t>
  </si>
  <si>
    <t xml:space="preserve">Wt used</t>
  </si>
  <si>
    <t xml:space="preserve">Market opportunity</t>
  </si>
  <si>
    <t xml:space="preserve">High</t>
  </si>
  <si>
    <t xml:space="preserve">Financial viability</t>
  </si>
  <si>
    <t xml:space="preserve">Assumed</t>
  </si>
  <si>
    <t xml:space="preserve">Execution readiness</t>
  </si>
  <si>
    <t xml:space="preserve">Medium</t>
  </si>
  <si>
    <t xml:space="preserve">Strategic alignment</t>
  </si>
  <si>
    <t xml:space="preserve">Risk profile</t>
  </si>
  <si>
    <t xml:space="preserve">Evidence quality</t>
  </si>
  <si>
    <t xml:space="preserve">Low</t>
  </si>
  <si>
    <t xml:space="preserve">Weights total (aim for 1.00)</t>
  </si>
  <si>
    <t xml:space="preserve">HOW IT WORKS</t>
  </si>
  <si>
    <t xml:space="preserve">1. List your criteria. Keep the six defaults, reweight them, or replace them with your own (up to 12).</t>
  </si>
  <si>
    <t xml:space="preserve">2. Set weights so they add up to 1.00. Weight is how much each criterion matters for THIS decision.</t>
  </si>
  <si>
    <t xml:space="preserve">3. Score each criterion 0-100 on the evidence, then grade your confidence.</t>
  </si>
  <si>
    <t xml:space="preserve">4. Confidence caps the score: an Assumed criterion counts for at most 45, no matter how high you scored it.</t>
  </si>
  <si>
    <t xml:space="preserve">5. The overall score is the confidence-capped, weighted average. Same inputs always give the same result.</t>
  </si>
  <si>
    <t xml:space="preserve">Confidence caps</t>
  </si>
  <si>
    <t xml:space="preserve">Category bands</t>
  </si>
  <si>
    <t xml:space="preserve">Excellent</t>
  </si>
  <si>
    <t xml:space="preserve">80 and up</t>
  </si>
  <si>
    <t xml:space="preserve">Good</t>
  </si>
  <si>
    <t xml:space="preserve">60 to 79</t>
  </si>
  <si>
    <t xml:space="preserve">Fair</t>
  </si>
  <si>
    <t xml:space="preserve">40 to 59</t>
  </si>
  <si>
    <t xml:space="preserve">At Risk</t>
  </si>
  <si>
    <t xml:space="preserve">below 40</t>
  </si>
  <si>
    <t xml:space="preserve">Doing this by hand for every decision is slow. Jaspen runs the whole method for you, with an AI interview and an execution plan.  jaspen.ai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</si>
</sst>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6C757D"/>
      <name val="Arial"/>
      <family val="0"/>
      <charset val="1"/>
    </font>
    <font>
      <i val="true"/>
      <sz val="11"/>
      <color rgb="FF6C757D"/>
      <name val="Arial"/>
      <family val="0"/>
      <charset val="1"/>
    </font>
    <font>
      <b val="true"/>
      <sz val="9"/>
      <color rgb="FF6C757D"/>
      <name val="Arial"/>
      <family val="0"/>
      <charset val="1"/>
    </font>
    <font>
      <b val="true"/>
      <sz val="30"/>
      <color rgb="FF161F3B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161F3B"/>
      <name val="Arial"/>
      <family val="0"/>
      <charset val="1"/>
    </font>
    <font>
      <sz val="11"/>
      <color rgb="FF6C757D"/>
      <name val="Arial"/>
      <family val="0"/>
      <charset val="1"/>
    </font>
    <font>
      <sz val="10"/>
      <color rgb="FF161F3B"/>
      <name val="Arial"/>
      <family val="0"/>
      <charset val="1"/>
    </font>
    <font>
      <b val="true"/>
      <sz val="11"/>
      <color rgb="FF161F3B"/>
      <name val="Arial"/>
      <family val="0"/>
      <charset val="1"/>
    </font>
    <font>
      <i val="true"/>
      <sz val="9"/>
      <color rgb="FFA0006D"/>
      <name val="Arial"/>
      <family val="0"/>
      <charset val="1"/>
    </font>
    <font>
      <b val="true"/>
      <sz val="10"/>
      <color rgb="FF161F3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61F3B"/>
        <bgColor rgb="FF003366"/>
      </patternFill>
    </fill>
    <fill>
      <patternFill patternType="solid">
        <fgColor rgb="FFFFF6E9"/>
        <bgColor rgb="FFFFFFFF"/>
      </patternFill>
    </fill>
    <fill>
      <patternFill patternType="solid">
        <fgColor rgb="FFA0006D"/>
        <bgColor rgb="FF80008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4CC"/>
      </left>
      <right/>
      <top style="thin">
        <color rgb="FFD9D4CC"/>
      </top>
      <bottom style="thin">
        <color rgb="FFD9D4CC"/>
      </bottom>
      <diagonal/>
    </border>
    <border diagonalUp="false" diagonalDown="false">
      <left style="thin">
        <color rgb="FFD9D4CC"/>
      </left>
      <right/>
      <top style="thin">
        <color rgb="FFD9D4CC"/>
      </top>
      <bottom/>
      <diagonal/>
    </border>
    <border diagonalUp="false" diagonalDown="false">
      <left style="thin">
        <color rgb="FFD9D4CC"/>
      </left>
      <right style="thin">
        <color rgb="FFD9D4CC"/>
      </right>
      <top style="thin">
        <color rgb="FFD9D4CC"/>
      </top>
      <bottom style="thin">
        <color rgb="FFD9D4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A0006D"/>
      <rgbColor rgb="FF008080"/>
      <rgbColor rgb="FFC0C0C0"/>
      <rgbColor rgb="FF6C757D"/>
      <rgbColor rgb="FF9999FF"/>
      <rgbColor rgb="FF993366"/>
      <rgbColor rgb="FFFFF6E9"/>
      <rgbColor rgb="FFCCFFFF"/>
      <rgbColor rgb="FF660066"/>
      <rgbColor rgb="FFFF8080"/>
      <rgbColor rgb="FF0066CC"/>
      <rgbColor rgb="FFD9D4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1F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true" outlineLevel="0" max="8" min="8" style="0" width="14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4" t="s">
        <v>3</v>
      </c>
      <c r="C4" s="4"/>
      <c r="D4" s="4"/>
      <c r="E4" s="4"/>
      <c r="F4" s="5" t="s">
        <v>4</v>
      </c>
      <c r="G4" s="5"/>
      <c r="H4" s="5"/>
    </row>
    <row r="5" customFormat="false" ht="15" hidden="false" customHeight="false" outlineLevel="0" collapsed="false">
      <c r="F5" s="6" t="n">
        <f aca="false">IF(SUM(H9:H20)=0,"",ROUND(SUM(G9:G20)/SUM(H9:H20),0))</f>
        <v>68</v>
      </c>
      <c r="G5" s="6"/>
      <c r="H5" s="6"/>
    </row>
    <row r="6" customFormat="false" ht="15" hidden="false" customHeight="false" outlineLevel="0" collapsed="false">
      <c r="F6" s="6"/>
      <c r="G6" s="6"/>
      <c r="H6" s="6"/>
    </row>
    <row r="7" customFormat="false" ht="18.55" hidden="false" customHeight="false" outlineLevel="0" collapsed="false">
      <c r="F7" s="7" t="str">
        <f aca="false">IF(F5="","",IF(F5&gt;=80,"Excellent",IF(F5&gt;=60,"Good",IF(F5&gt;=40,"Fair","At Risk"))))</f>
        <v>Good</v>
      </c>
      <c r="G7" s="7"/>
      <c r="H7" s="7"/>
    </row>
    <row r="8" customFormat="false" ht="21.75" hidden="false" customHeight="true" outlineLevel="0" collapsed="false">
      <c r="A8" s="8" t="s">
        <v>5</v>
      </c>
      <c r="B8" s="8" t="s">
        <v>6</v>
      </c>
      <c r="C8" s="8" t="s">
        <v>7</v>
      </c>
      <c r="D8" s="8" t="s">
        <v>8</v>
      </c>
      <c r="E8" s="8" t="s">
        <v>9</v>
      </c>
      <c r="F8" s="8" t="s">
        <v>10</v>
      </c>
      <c r="G8" s="8" t="s">
        <v>11</v>
      </c>
      <c r="H8" s="8" t="s">
        <v>12</v>
      </c>
    </row>
    <row r="9" customFormat="false" ht="15" hidden="false" customHeight="false" outlineLevel="0" collapsed="false">
      <c r="A9" s="9" t="s">
        <v>13</v>
      </c>
      <c r="B9" s="10" t="n">
        <v>0.18</v>
      </c>
      <c r="C9" s="11" t="n">
        <v>82</v>
      </c>
      <c r="D9" s="11" t="s">
        <v>14</v>
      </c>
      <c r="E9" s="12" t="n">
        <f aca="false">IF(D9="","",IF(D9="High",100,IF(D9="Medium",75,IF(D9="Low",60,IF(D9="Assumed",45,"")))))</f>
        <v>100</v>
      </c>
      <c r="F9" s="12" t="n">
        <f aca="false">IF(OR(C9="",E9=""),"",MIN(C9,E9))</f>
        <v>82</v>
      </c>
      <c r="G9" s="13" t="n">
        <f aca="false">IF(OR(B9="",F9=""),0,B9*F9)</f>
        <v>14.76</v>
      </c>
      <c r="H9" s="14" t="n">
        <f aca="false">IF(OR(B9="",F9=""),0,B9)</f>
        <v>0.18</v>
      </c>
    </row>
    <row r="10" customFormat="false" ht="15" hidden="false" customHeight="false" outlineLevel="0" collapsed="false">
      <c r="A10" s="9" t="s">
        <v>15</v>
      </c>
      <c r="B10" s="10" t="n">
        <v>0.2</v>
      </c>
      <c r="C10" s="11" t="n">
        <v>80</v>
      </c>
      <c r="D10" s="11" t="s">
        <v>16</v>
      </c>
      <c r="E10" s="12" t="n">
        <f aca="false">IF(D10="","",IF(D10="High",100,IF(D10="Medium",75,IF(D10="Low",60,IF(D10="Assumed",45,"")))))</f>
        <v>45</v>
      </c>
      <c r="F10" s="12" t="n">
        <f aca="false">IF(OR(C10="",E10=""),"",MIN(C10,E10))</f>
        <v>45</v>
      </c>
      <c r="G10" s="13" t="n">
        <f aca="false">IF(OR(B10="",F10=""),0,B10*F10)</f>
        <v>9</v>
      </c>
      <c r="H10" s="14" t="n">
        <f aca="false">IF(OR(B10="",F10=""),0,B10)</f>
        <v>0.2</v>
      </c>
    </row>
    <row r="11" customFormat="false" ht="15" hidden="false" customHeight="false" outlineLevel="0" collapsed="false">
      <c r="A11" s="9" t="s">
        <v>17</v>
      </c>
      <c r="B11" s="10" t="n">
        <v>0.18</v>
      </c>
      <c r="C11" s="11" t="n">
        <v>74</v>
      </c>
      <c r="D11" s="11" t="s">
        <v>18</v>
      </c>
      <c r="E11" s="12" t="n">
        <f aca="false">IF(D11="","",IF(D11="High",100,IF(D11="Medium",75,IF(D11="Low",60,IF(D11="Assumed",45,"")))))</f>
        <v>75</v>
      </c>
      <c r="F11" s="12" t="n">
        <f aca="false">IF(OR(C11="",E11=""),"",MIN(C11,E11))</f>
        <v>74</v>
      </c>
      <c r="G11" s="13" t="n">
        <f aca="false">IF(OR(B11="",F11=""),0,B11*F11)</f>
        <v>13.32</v>
      </c>
      <c r="H11" s="14" t="n">
        <f aca="false">IF(OR(B11="",F11=""),0,B11)</f>
        <v>0.18</v>
      </c>
    </row>
    <row r="12" customFormat="false" ht="15" hidden="false" customHeight="false" outlineLevel="0" collapsed="false">
      <c r="A12" s="9" t="s">
        <v>19</v>
      </c>
      <c r="B12" s="10" t="n">
        <v>0.16</v>
      </c>
      <c r="C12" s="11" t="n">
        <v>80</v>
      </c>
      <c r="D12" s="11" t="s">
        <v>14</v>
      </c>
      <c r="E12" s="12" t="n">
        <f aca="false">IF(D12="","",IF(D12="High",100,IF(D12="Medium",75,IF(D12="Low",60,IF(D12="Assumed",45,"")))))</f>
        <v>100</v>
      </c>
      <c r="F12" s="12" t="n">
        <f aca="false">IF(OR(C12="",E12=""),"",MIN(C12,E12))</f>
        <v>80</v>
      </c>
      <c r="G12" s="13" t="n">
        <f aca="false">IF(OR(B12="",F12=""),0,B12*F12)</f>
        <v>12.8</v>
      </c>
      <c r="H12" s="14" t="n">
        <f aca="false">IF(OR(B12="",F12=""),0,B12)</f>
        <v>0.16</v>
      </c>
    </row>
    <row r="13" customFormat="false" ht="15" hidden="false" customHeight="false" outlineLevel="0" collapsed="false">
      <c r="A13" s="9" t="s">
        <v>20</v>
      </c>
      <c r="B13" s="10" t="n">
        <v>0.16</v>
      </c>
      <c r="C13" s="11" t="n">
        <v>68</v>
      </c>
      <c r="D13" s="11" t="s">
        <v>18</v>
      </c>
      <c r="E13" s="12" t="n">
        <f aca="false">IF(D13="","",IF(D13="High",100,IF(D13="Medium",75,IF(D13="Low",60,IF(D13="Assumed",45,"")))))</f>
        <v>75</v>
      </c>
      <c r="F13" s="12" t="n">
        <f aca="false">IF(OR(C13="",E13=""),"",MIN(C13,E13))</f>
        <v>68</v>
      </c>
      <c r="G13" s="13" t="n">
        <f aca="false">IF(OR(B13="",F13=""),0,B13*F13)</f>
        <v>10.88</v>
      </c>
      <c r="H13" s="14" t="n">
        <f aca="false">IF(OR(B13="",F13=""),0,B13)</f>
        <v>0.16</v>
      </c>
    </row>
    <row r="14" customFormat="false" ht="15" hidden="false" customHeight="false" outlineLevel="0" collapsed="false">
      <c r="A14" s="9" t="s">
        <v>21</v>
      </c>
      <c r="B14" s="10" t="n">
        <v>0.12</v>
      </c>
      <c r="C14" s="11" t="n">
        <v>60</v>
      </c>
      <c r="D14" s="11" t="s">
        <v>22</v>
      </c>
      <c r="E14" s="12" t="n">
        <f aca="false">IF(D14="","",IF(D14="High",100,IF(D14="Medium",75,IF(D14="Low",60,IF(D14="Assumed",45,"")))))</f>
        <v>60</v>
      </c>
      <c r="F14" s="12" t="n">
        <f aca="false">IF(OR(C14="",E14=""),"",MIN(C14,E14))</f>
        <v>60</v>
      </c>
      <c r="G14" s="13" t="n">
        <f aca="false">IF(OR(B14="",F14=""),0,B14*F14)</f>
        <v>7.2</v>
      </c>
      <c r="H14" s="14" t="n">
        <f aca="false">IF(OR(B14="",F14=""),0,B14)</f>
        <v>0.12</v>
      </c>
    </row>
    <row r="15" customFormat="false" ht="15" hidden="false" customHeight="false" outlineLevel="0" collapsed="false">
      <c r="A15" s="15"/>
      <c r="B15" s="10"/>
      <c r="C15" s="11"/>
      <c r="D15" s="11"/>
      <c r="E15" s="12" t="str">
        <f aca="false">IF(D15="","",IF(D15="High",100,IF(D15="Medium",75,IF(D15="Low",60,IF(D15="Assumed",45,"")))))</f>
        <v/>
      </c>
      <c r="F15" s="12" t="str">
        <f aca="false">IF(OR(C15="",E15=""),"",MIN(C15,E15))</f>
        <v/>
      </c>
      <c r="G15" s="13" t="n">
        <f aca="false">IF(OR(B15="",F15=""),0,B15*F15)</f>
        <v>0</v>
      </c>
      <c r="H15" s="14" t="n">
        <f aca="false">IF(OR(B15="",F15=""),0,B15)</f>
        <v>0</v>
      </c>
    </row>
    <row r="16" customFormat="false" ht="15" hidden="false" customHeight="false" outlineLevel="0" collapsed="false">
      <c r="A16" s="15"/>
      <c r="B16" s="10"/>
      <c r="C16" s="11"/>
      <c r="D16" s="11"/>
      <c r="E16" s="12" t="str">
        <f aca="false">IF(D16="","",IF(D16="High",100,IF(D16="Medium",75,IF(D16="Low",60,IF(D16="Assumed",45,"")))))</f>
        <v/>
      </c>
      <c r="F16" s="12" t="str">
        <f aca="false">IF(OR(C16="",E16=""),"",MIN(C16,E16))</f>
        <v/>
      </c>
      <c r="G16" s="13" t="n">
        <f aca="false">IF(OR(B16="",F16=""),0,B16*F16)</f>
        <v>0</v>
      </c>
      <c r="H16" s="14" t="n">
        <f aca="false">IF(OR(B16="",F16=""),0,B16)</f>
        <v>0</v>
      </c>
    </row>
    <row r="17" customFormat="false" ht="15" hidden="false" customHeight="false" outlineLevel="0" collapsed="false">
      <c r="A17" s="15"/>
      <c r="B17" s="10"/>
      <c r="C17" s="11"/>
      <c r="D17" s="11"/>
      <c r="E17" s="12" t="str">
        <f aca="false">IF(D17="","",IF(D17="High",100,IF(D17="Medium",75,IF(D17="Low",60,IF(D17="Assumed",45,"")))))</f>
        <v/>
      </c>
      <c r="F17" s="12" t="str">
        <f aca="false">IF(OR(C17="",E17=""),"",MIN(C17,E17))</f>
        <v/>
      </c>
      <c r="G17" s="13" t="n">
        <f aca="false">IF(OR(B17="",F17=""),0,B17*F17)</f>
        <v>0</v>
      </c>
      <c r="H17" s="14" t="n">
        <f aca="false">IF(OR(B17="",F17=""),0,B17)</f>
        <v>0</v>
      </c>
    </row>
    <row r="18" customFormat="false" ht="15" hidden="false" customHeight="false" outlineLevel="0" collapsed="false">
      <c r="A18" s="15"/>
      <c r="B18" s="10"/>
      <c r="C18" s="11"/>
      <c r="D18" s="11"/>
      <c r="E18" s="12" t="str">
        <f aca="false">IF(D18="","",IF(D18="High",100,IF(D18="Medium",75,IF(D18="Low",60,IF(D18="Assumed",45,"")))))</f>
        <v/>
      </c>
      <c r="F18" s="12" t="str">
        <f aca="false">IF(OR(C18="",E18=""),"",MIN(C18,E18))</f>
        <v/>
      </c>
      <c r="G18" s="13" t="n">
        <f aca="false">IF(OR(B18="",F18=""),0,B18*F18)</f>
        <v>0</v>
      </c>
      <c r="H18" s="14" t="n">
        <f aca="false">IF(OR(B18="",F18=""),0,B18)</f>
        <v>0</v>
      </c>
    </row>
    <row r="19" customFormat="false" ht="15" hidden="false" customHeight="false" outlineLevel="0" collapsed="false">
      <c r="A19" s="15"/>
      <c r="B19" s="10"/>
      <c r="C19" s="11"/>
      <c r="D19" s="11"/>
      <c r="E19" s="12" t="str">
        <f aca="false">IF(D19="","",IF(D19="High",100,IF(D19="Medium",75,IF(D19="Low",60,IF(D19="Assumed",45,"")))))</f>
        <v/>
      </c>
      <c r="F19" s="12" t="str">
        <f aca="false">IF(OR(C19="",E19=""),"",MIN(C19,E19))</f>
        <v/>
      </c>
      <c r="G19" s="13" t="n">
        <f aca="false">IF(OR(B19="",F19=""),0,B19*F19)</f>
        <v>0</v>
      </c>
      <c r="H19" s="14" t="n">
        <f aca="false">IF(OR(B19="",F19=""),0,B19)</f>
        <v>0</v>
      </c>
    </row>
    <row r="20" customFormat="false" ht="15" hidden="false" customHeight="false" outlineLevel="0" collapsed="false">
      <c r="A20" s="15"/>
      <c r="B20" s="10"/>
      <c r="C20" s="11"/>
      <c r="D20" s="11"/>
      <c r="E20" s="12" t="str">
        <f aca="false">IF(D20="","",IF(D20="High",100,IF(D20="Medium",75,IF(D20="Low",60,IF(D20="Assumed",45,"")))))</f>
        <v/>
      </c>
      <c r="F20" s="12" t="str">
        <f aca="false">IF(OR(C20="",E20=""),"",MIN(C20,E20))</f>
        <v/>
      </c>
      <c r="G20" s="13" t="n">
        <f aca="false">IF(OR(B20="",F20=""),0,B20*F20)</f>
        <v>0</v>
      </c>
      <c r="H20" s="14" t="n">
        <f aca="false">IF(OR(B20="",F20=""),0,B20)</f>
        <v>0</v>
      </c>
    </row>
    <row r="21" customFormat="false" ht="15" hidden="false" customHeight="false" outlineLevel="0" collapsed="false">
      <c r="A21" s="16" t="s">
        <v>23</v>
      </c>
      <c r="B21" s="17" t="n">
        <f aca="false">SUM(B9:B20)</f>
        <v>1</v>
      </c>
      <c r="C21" s="18" t="str">
        <f aca="false">IF(ROUND(B21,2)=1,"Balanced","Adjust to 1.00")</f>
        <v>Balanced</v>
      </c>
    </row>
    <row r="23" customFormat="false" ht="15" hidden="false" customHeight="false" outlineLevel="0" collapsed="false">
      <c r="A23" s="19" t="s">
        <v>24</v>
      </c>
    </row>
    <row r="24" customFormat="false" ht="15.75" hidden="false" customHeight="true" outlineLevel="0" collapsed="false">
      <c r="A24" s="20" t="s">
        <v>25</v>
      </c>
      <c r="B24" s="20"/>
      <c r="C24" s="20"/>
      <c r="D24" s="20"/>
      <c r="E24" s="20"/>
      <c r="F24" s="20"/>
      <c r="G24" s="20"/>
      <c r="H24" s="20"/>
    </row>
    <row r="25" customFormat="false" ht="15.75" hidden="false" customHeight="true" outlineLevel="0" collapsed="false">
      <c r="A25" s="20" t="s">
        <v>26</v>
      </c>
      <c r="B25" s="20"/>
      <c r="C25" s="20"/>
      <c r="D25" s="20"/>
      <c r="E25" s="20"/>
      <c r="F25" s="20"/>
      <c r="G25" s="20"/>
      <c r="H25" s="20"/>
    </row>
    <row r="26" customFormat="false" ht="15.75" hidden="false" customHeight="true" outlineLevel="0" collapsed="false">
      <c r="A26" s="20" t="s">
        <v>27</v>
      </c>
      <c r="B26" s="20"/>
      <c r="C26" s="20"/>
      <c r="D26" s="20"/>
      <c r="E26" s="20"/>
      <c r="F26" s="20"/>
      <c r="G26" s="20"/>
      <c r="H26" s="20"/>
    </row>
    <row r="27" customFormat="false" ht="15.75" hidden="false" customHeight="true" outlineLevel="0" collapsed="false">
      <c r="A27" s="20" t="s">
        <v>28</v>
      </c>
      <c r="B27" s="20"/>
      <c r="C27" s="20"/>
      <c r="D27" s="20"/>
      <c r="E27" s="20"/>
      <c r="F27" s="20"/>
      <c r="G27" s="20"/>
      <c r="H27" s="20"/>
    </row>
    <row r="28" customFormat="false" ht="15.75" hidden="false" customHeight="true" outlineLevel="0" collapsed="false">
      <c r="A28" s="20" t="s">
        <v>29</v>
      </c>
      <c r="B28" s="20"/>
      <c r="C28" s="20"/>
      <c r="D28" s="20"/>
      <c r="E28" s="20"/>
      <c r="F28" s="20"/>
      <c r="G28" s="20"/>
      <c r="H28" s="20"/>
    </row>
    <row r="30" customFormat="false" ht="15" hidden="false" customHeight="false" outlineLevel="0" collapsed="false">
      <c r="A30" s="19" t="s">
        <v>30</v>
      </c>
      <c r="D30" s="19" t="s">
        <v>31</v>
      </c>
    </row>
    <row r="31" customFormat="false" ht="15" hidden="false" customHeight="false" outlineLevel="0" collapsed="false">
      <c r="A31" s="21" t="s">
        <v>14</v>
      </c>
      <c r="B31" s="22" t="n">
        <v>100</v>
      </c>
      <c r="D31" s="21" t="s">
        <v>32</v>
      </c>
      <c r="E31" s="23" t="s">
        <v>33</v>
      </c>
      <c r="F31" s="23"/>
    </row>
    <row r="32" customFormat="false" ht="15" hidden="false" customHeight="false" outlineLevel="0" collapsed="false">
      <c r="A32" s="21" t="s">
        <v>18</v>
      </c>
      <c r="B32" s="22" t="n">
        <v>75</v>
      </c>
      <c r="D32" s="21" t="s">
        <v>34</v>
      </c>
      <c r="E32" s="23" t="s">
        <v>35</v>
      </c>
      <c r="F32" s="23"/>
    </row>
    <row r="33" customFormat="false" ht="15" hidden="false" customHeight="false" outlineLevel="0" collapsed="false">
      <c r="A33" s="21" t="s">
        <v>22</v>
      </c>
      <c r="B33" s="22" t="n">
        <v>60</v>
      </c>
      <c r="D33" s="21" t="s">
        <v>36</v>
      </c>
      <c r="E33" s="23" t="s">
        <v>37</v>
      </c>
      <c r="F33" s="23"/>
    </row>
    <row r="34" customFormat="false" ht="15" hidden="false" customHeight="false" outlineLevel="0" collapsed="false">
      <c r="A34" s="21" t="s">
        <v>16</v>
      </c>
      <c r="B34" s="22" t="n">
        <v>45</v>
      </c>
      <c r="D34" s="21" t="s">
        <v>38</v>
      </c>
      <c r="E34" s="23" t="s">
        <v>39</v>
      </c>
      <c r="F34" s="23"/>
    </row>
    <row r="36" customFormat="false" ht="25.5" hidden="false" customHeight="true" outlineLevel="0" collapsed="false">
      <c r="A36" s="24" t="s">
        <v>40</v>
      </c>
      <c r="B36" s="24"/>
      <c r="C36" s="24"/>
      <c r="D36" s="24"/>
      <c r="E36" s="24"/>
      <c r="F36" s="24"/>
      <c r="G36" s="24"/>
      <c r="H36" s="24"/>
    </row>
  </sheetData>
  <mergeCells count="16">
    <mergeCell ref="A1:H1"/>
    <mergeCell ref="A2:H2"/>
    <mergeCell ref="B4:E4"/>
    <mergeCell ref="F4:H4"/>
    <mergeCell ref="F5:H6"/>
    <mergeCell ref="F7:H7"/>
    <mergeCell ref="A24:H24"/>
    <mergeCell ref="A25:H25"/>
    <mergeCell ref="A26:H26"/>
    <mergeCell ref="A27:H27"/>
    <mergeCell ref="A28:H28"/>
    <mergeCell ref="E31:F31"/>
    <mergeCell ref="E32:F32"/>
    <mergeCell ref="E33:F33"/>
    <mergeCell ref="E34:F34"/>
    <mergeCell ref="A36:H36"/>
  </mergeCells>
  <dataValidations count="3">
    <dataValidation allowBlank="true" errorStyle="stop" operator="between" showDropDown="false" showErrorMessage="false" showInputMessage="false" sqref="D9:D20" type="list">
      <formula1>"High,Medium,Low,Assumed"</formula1>
      <formula2>0</formula2>
    </dataValidation>
    <dataValidation allowBlank="true" errorStyle="stop" operator="between" showDropDown="false" showErrorMessage="false" showInputMessage="false" sqref="C9:C20" type="whole">
      <formula1>0</formula1>
      <formula2>100</formula2>
    </dataValidation>
    <dataValidation allowBlank="true" errorStyle="stop" operator="between" showDropDown="false" showErrorMessage="false" showInputMessage="false" sqref="B9:B20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2026-07-08T11:09:14Z</dcterms:created>
  <dc:creator>openpyxl</dc:creator>
  <dc:description/>
  <dc:language>en-US</dc:language>
  <cp:lastModifiedBy/>
  <dcterms:modified xsi:type="dcterms:W3CDTF">2026-07-08T11:09:14Z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