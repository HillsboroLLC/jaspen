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/>
  <mc:AlternateContent xmlns:mc="http://schemas.openxmlformats.org/markup-compatibility/2006">
    <mc:Choice Requires="x15">
      <x15ac:absPath xmlns:x15ac="http://schemas.microsoft.com/office/spreadsheetml/2010/11/ac" url="/Users/ldbailey/Projects/jaspen-git/jaspen/docs/utilities/"/>
    </mc:Choice>
  </mc:AlternateContent>
  <xr:revisionPtr revIDLastSave="0" documentId="8_{1D7B1218-8B3A-5541-88F5-6248DC068DB7}" xr6:coauthVersionLast="47" xr6:coauthVersionMax="47" xr10:uidLastSave="{00000000-0000-0000-0000-000000000000}"/>
  <bookViews>
    <workbookView xWindow="0" yWindow="660" windowWidth="30240" windowHeight="18980" activeTab="3" xr2:uid="{00000000-000D-0000-FFFF-FFFF00000000}"/>
  </bookViews>
  <sheets>
    <sheet name="00 Read Me" sheetId="1" r:id="rId1"/>
    <sheet name="01 Competitor Baseline" sheetId="2" r:id="rId2"/>
    <sheet name="02 Results Design" sheetId="3" r:id="rId3"/>
    <sheet name="03 User Questions" sheetId="4" r:id="rId4"/>
    <sheet name="04 Calculation Model" sheetId="5" r:id="rId5"/>
    <sheet name="05 Benchmark Library" sheetId="6" r:id="rId6"/>
    <sheet name="How We Built These Estimates" sheetId="7" r:id="rId7"/>
    <sheet name="06 Sample Scenario" sheetId="8" r:id="rId8"/>
    <sheet name="07 Web App Spec" sheetId="9" r:id="rId9"/>
    <sheet name="08 Validation Checklist" sheetId="10" r:id="rId10"/>
    <sheet name="09 Sources" sheetId="11" r:id="rId11"/>
    <sheet name="10 Refinement Notes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9" i="8" l="1"/>
  <c r="I29" i="8"/>
  <c r="K28" i="8"/>
  <c r="I28" i="8"/>
  <c r="K27" i="8"/>
  <c r="I27" i="8"/>
  <c r="K26" i="8"/>
  <c r="I26" i="8"/>
  <c r="G13" i="8"/>
  <c r="G12" i="8"/>
  <c r="G11" i="8"/>
  <c r="G10" i="8"/>
  <c r="G8" i="8"/>
  <c r="G7" i="8"/>
  <c r="G5" i="8"/>
  <c r="J28" i="8" l="1"/>
  <c r="J26" i="8"/>
  <c r="J27" i="8"/>
  <c r="J29" i="8"/>
  <c r="H26" i="8"/>
  <c r="H27" i="8"/>
  <c r="H28" i="8"/>
  <c r="H29" i="8"/>
  <c r="G26" i="8"/>
  <c r="G29" i="8"/>
  <c r="G27" i="8"/>
  <c r="G28" i="8"/>
  <c r="F26" i="8"/>
  <c r="F29" i="8"/>
  <c r="F27" i="8"/>
  <c r="F28" i="8"/>
  <c r="G16" i="8"/>
  <c r="G6" i="8"/>
  <c r="L26" i="8" l="1"/>
  <c r="L29" i="8"/>
  <c r="L28" i="8"/>
  <c r="L27" i="8"/>
  <c r="G9" i="8"/>
  <c r="D29" i="8"/>
  <c r="N29" i="8" s="1"/>
  <c r="D27" i="8"/>
  <c r="N27" i="8" s="1"/>
  <c r="D26" i="8"/>
  <c r="N26" i="8" s="1"/>
  <c r="D28" i="8"/>
  <c r="N28" i="8" s="1"/>
  <c r="C29" i="8" l="1"/>
  <c r="C27" i="8"/>
  <c r="C26" i="8"/>
  <c r="C28" i="8"/>
  <c r="G14" i="8"/>
  <c r="G15" i="8" s="1"/>
  <c r="G17" i="8" s="1"/>
  <c r="E29" i="8" l="1"/>
  <c r="M29" i="8"/>
  <c r="O29" i="8" s="1"/>
  <c r="E27" i="8"/>
  <c r="M27" i="8"/>
  <c r="O27" i="8" s="1"/>
  <c r="E26" i="8"/>
  <c r="M26" i="8"/>
  <c r="O26" i="8" s="1"/>
  <c r="E28" i="8"/>
  <c r="M28" i="8"/>
  <c r="O28" i="8" s="1"/>
</calcChain>
</file>

<file path=xl/sharedStrings.xml><?xml version="1.0" encoding="utf-8"?>
<sst xmlns="http://schemas.openxmlformats.org/spreadsheetml/2006/main" count="1287" uniqueCount="833">
  <si>
    <t>Jaspen True Cost Mortgage Calculator Utility</t>
  </si>
  <si>
    <t>Comprehensive methodology, questionnaire, calculation model, benchmark library, sample scenario, web-app requirements, and source register.</t>
  </si>
  <si>
    <t>Workbook purpose</t>
  </si>
  <si>
    <t>Estimate the true monthly, upfront, and multi-year cost of a mortgage—not only principal and interest—while showing equity built, cash required, and the assumptions that matter most.</t>
  </si>
  <si>
    <t>Primary user promise</t>
  </si>
  <si>
    <t>Utility boundary</t>
  </si>
  <si>
    <t>The utility does not quote a lender rate, approve a loan, guarantee taxes or insurance, predict appreciation, provide tax advice, or tell the user whether to buy.</t>
  </si>
  <si>
    <t>Jaspen connection</t>
  </si>
  <si>
    <t>The utility provides full standalone value. After results, users may take the numbers into Jaspen to compare scenarios, pressure-test assumptions, and preserve the reasoning behind their next step.</t>
  </si>
  <si>
    <t>Target experience</t>
  </si>
  <si>
    <t>Zillow-like: start with grounded defaults, let the user review or replace assumptions, show sources, calculate immediately, and disclose what the estimate was built from.</t>
  </si>
  <si>
    <t>Recommended launch geography</t>
  </si>
  <si>
    <t>United States first. Country defaults to United States.</t>
  </si>
  <si>
    <t>Benchmark hierarchy</t>
  </si>
  <si>
    <t>1) User-entered loan/property facts, 2) location/property-specific data where available, 3) published benchmarks, 4) transparent national fallback.</t>
  </si>
  <si>
    <t>Key transparency element</t>
  </si>
  <si>
    <t>Estimate Built Using: cost-weighted share from Published Benchmarks, Research-Based Estimates, and Your Inputs.</t>
  </si>
  <si>
    <t>Differentiators</t>
  </si>
  <si>
    <t>True monthly carrying cost; cash-to-close; maintenance reserve; 1/3/5/10-year cash cost; equity built; payment-change exposure; sensitivity drivers; transparent Estimate Built Using.</t>
  </si>
  <si>
    <t>Current status</t>
  </si>
  <si>
    <t>Methodology design draft for review and validation before web-app implementation.</t>
  </si>
  <si>
    <t>Recommended review order</t>
  </si>
  <si>
    <t>1</t>
  </si>
  <si>
    <t>Review 02 Results Design</t>
  </si>
  <si>
    <t>2</t>
  </si>
  <si>
    <t>Review 03 User Questions</t>
  </si>
  <si>
    <t>3</t>
  </si>
  <si>
    <t>Review 04 Calculation Model</t>
  </si>
  <si>
    <t>4</t>
  </si>
  <si>
    <t>Review 05 Benchmark Library and source freshness</t>
  </si>
  <si>
    <t>5</t>
  </si>
  <si>
    <t>Test 06 Sample Scenario</t>
  </si>
  <si>
    <t>6</t>
  </si>
  <si>
    <t>Validate 07 Web App Spec and 08 Validation Checklist</t>
  </si>
  <si>
    <t>Mortgage Calculator Market Baseline</t>
  </si>
  <si>
    <t>What mainstream calculators calculate, what they often omit, and where Jaspen can add grounded value without AI.</t>
  </si>
  <si>
    <t>Area</t>
  </si>
  <si>
    <t>Common in Existing Tools?</t>
  </si>
  <si>
    <t>Typical Input</t>
  </si>
  <si>
    <t>Typical Output</t>
  </si>
  <si>
    <t>Keep?</t>
  </si>
  <si>
    <t>Jaspen Enhancement</t>
  </si>
  <si>
    <t>Why It Adds Value</t>
  </si>
  <si>
    <t>Source Type</t>
  </si>
  <si>
    <t>Risk / Limitation</t>
  </si>
  <si>
    <t>Priority</t>
  </si>
  <si>
    <t>Review</t>
  </si>
  <si>
    <t>Home price / loan amount</t>
  </si>
  <si>
    <t>Universal</t>
  </si>
  <si>
    <t>Purchase price, down payment</t>
  </si>
  <si>
    <t>Loan principal</t>
  </si>
  <si>
    <t>Yes</t>
  </si>
  <si>
    <t>Show both purchase price and financed amount</t>
  </si>
  <si>
    <t>Clarifies cash vs debt</t>
  </si>
  <si>
    <t>All calculators</t>
  </si>
  <si>
    <t>None</t>
  </si>
  <si>
    <t>Must have</t>
  </si>
  <si>
    <t>Principal &amp; interest</t>
  </si>
  <si>
    <t>Rate, term, loan amount</t>
  </si>
  <si>
    <t>Monthly P&amp;I</t>
  </si>
  <si>
    <t>Full amortization and total interest</t>
  </si>
  <si>
    <t>Core calculation</t>
  </si>
  <si>
    <t>CFPB / standard formula</t>
  </si>
  <si>
    <t>Rate is user/lender-specific</t>
  </si>
  <si>
    <t>Property taxes</t>
  </si>
  <si>
    <t>Common</t>
  </si>
  <si>
    <t>Annual amount or %</t>
  </si>
  <si>
    <t>Monthly escrow estimate</t>
  </si>
  <si>
    <t>Prefer address/local input; otherwise editable rate</t>
  </si>
  <si>
    <t>Major payment driver</t>
  </si>
  <si>
    <t>CFPB / Freddie Mac</t>
  </si>
  <si>
    <t>Local variation is large</t>
  </si>
  <si>
    <t>Homeowners insurance</t>
  </si>
  <si>
    <t>Annual premium or %</t>
  </si>
  <si>
    <t>Monthly estimate</t>
  </si>
  <si>
    <t>User quote preferred; clearly label fallback</t>
  </si>
  <si>
    <t>Avoid payment surprise</t>
  </si>
  <si>
    <t>Home value % is only a proxy</t>
  </si>
  <si>
    <t>PMI / mortgage insurance</t>
  </si>
  <si>
    <t>Down payment, PMI rate</t>
  </si>
  <si>
    <t>Monthly PMI</t>
  </si>
  <si>
    <t>Show assumed removal point and cumulative PMI</t>
  </si>
  <si>
    <t>Users underestimate duration/cost</t>
  </si>
  <si>
    <t>CFPB</t>
  </si>
  <si>
    <t>Loan-specific rules vary</t>
  </si>
  <si>
    <t>HOA / assessments</t>
  </si>
  <si>
    <t>Monthly fee</t>
  </si>
  <si>
    <t>Monthly total</t>
  </si>
  <si>
    <t>Include expected annual growth</t>
  </si>
  <si>
    <t>Can materially change affordability</t>
  </si>
  <si>
    <t>Freddie Mac</t>
  </si>
  <si>
    <t>Special assessments unpredictable</t>
  </si>
  <si>
    <t>Closing costs</t>
  </si>
  <si>
    <t>Often simplified</t>
  </si>
  <si>
    <t>% or entered total</t>
  </si>
  <si>
    <t>Cash to close</t>
  </si>
  <si>
    <t>Itemized or benchmark range, with editable lender/title/prepaid categories</t>
  </si>
  <si>
    <t>Upfront cash is often hidden</t>
  </si>
  <si>
    <t>CFPB Loan Estimate</t>
  </si>
  <si>
    <t>Actual lender/title quotes control</t>
  </si>
  <si>
    <t>Maintenance / repairs</t>
  </si>
  <si>
    <t>Often omitted</t>
  </si>
  <si>
    <t>% of value</t>
  </si>
  <si>
    <t>Annual reserve</t>
  </si>
  <si>
    <t>Show reserve separately from required payment</t>
  </si>
  <si>
    <t>True carrying cost</t>
  </si>
  <si>
    <t>Freddie Mac spending research / common planning practice</t>
  </si>
  <si>
    <t>Not a bill; property age/condition matters</t>
  </si>
  <si>
    <t>Differentiator</t>
  </si>
  <si>
    <t>Utilities</t>
  </si>
  <si>
    <t>Usually omitted</t>
  </si>
  <si>
    <t>True monthly cost</t>
  </si>
  <si>
    <t>Optional</t>
  </si>
  <si>
    <t>Include only if user wants true carrying cost</t>
  </si>
  <si>
    <t>Important when comparing housing options</t>
  </si>
  <si>
    <t>HUD gross housing cost concept</t>
  </si>
  <si>
    <t>Property-specific</t>
  </si>
  <si>
    <t>Equity built</t>
  </si>
  <si>
    <t>Some</t>
  </si>
  <si>
    <t>Amortization</t>
  </si>
  <si>
    <t>Principal reduction</t>
  </si>
  <si>
    <t>Separate equity from cash outflow</t>
  </si>
  <si>
    <t>Prevents treating principal as pure cost</t>
  </si>
  <si>
    <t>Amortization formula</t>
  </si>
  <si>
    <t>Home value may change</t>
  </si>
  <si>
    <t>Multi-year cash cost</t>
  </si>
  <si>
    <t>Rare</t>
  </si>
  <si>
    <t>All carrying costs</t>
  </si>
  <si>
    <t>1/3/5/10-year cash outflow</t>
  </si>
  <si>
    <t>Show financing, ownership, and one-time costs</t>
  </si>
  <si>
    <t>Supports scenario planning</t>
  </si>
  <si>
    <t>Jaspen methodology</t>
  </si>
  <si>
    <t>Assumptions grow over time</t>
  </si>
  <si>
    <t>Payment-change exposure</t>
  </si>
  <si>
    <t>Tax/insurance/HOA growth</t>
  </si>
  <si>
    <t>Future payment range</t>
  </si>
  <si>
    <t>Show how non-fixed costs may raise payment</t>
  </si>
  <si>
    <t>Fixed-rate loan ≠ fixed housing cost</t>
  </si>
  <si>
    <t>Not a prediction</t>
  </si>
  <si>
    <t>Sensitivity drivers</t>
  </si>
  <si>
    <t>Change one assumption</t>
  </si>
  <si>
    <t>Impact ranking</t>
  </si>
  <si>
    <t>Identify which assumptions move cost most</t>
  </si>
  <si>
    <t>Teaches what matters</t>
  </si>
  <si>
    <t>Requires clear method</t>
  </si>
  <si>
    <t>Estimate Built Using</t>
  </si>
  <si>
    <t>Input provenance</t>
  </si>
  <si>
    <t>3-way composition</t>
  </si>
  <si>
    <t>Published / research-based / user inputs</t>
  </si>
  <si>
    <t>Transparency</t>
  </si>
  <si>
    <t>Not accuracy/confidence</t>
  </si>
  <si>
    <t>Proposed Mortgage Results Experience</t>
  </si>
  <si>
    <t>The result should answer payment, cash required, long-term cost, and equity questions without recommending buy or rent.</t>
  </si>
  <si>
    <t>Section</t>
  </si>
  <si>
    <t>Displayed Result</t>
  </si>
  <si>
    <t>Definition</t>
  </si>
  <si>
    <t>Additive?</t>
  </si>
  <si>
    <t>Format</t>
  </si>
  <si>
    <t>Formula Source</t>
  </si>
  <si>
    <t>User Value</t>
  </si>
  <si>
    <t>Jaspen Extension</t>
  </si>
  <si>
    <t>V1?</t>
  </si>
  <si>
    <t>Hero</t>
  </si>
  <si>
    <t>Estimated true monthly housing cost</t>
  </si>
  <si>
    <t>P&amp;I + taxes + insurance + PMI + HOA + maintenance reserve + optional utilities</t>
  </si>
  <si>
    <t>Monthly dollar + range</t>
  </si>
  <si>
    <t>Component sum</t>
  </si>
  <si>
    <t>Shows more than mortgage payment</t>
  </si>
  <si>
    <t>Take result into Jaspen for scenario comparison</t>
  </si>
  <si>
    <t>Estimated cash needed to close</t>
  </si>
  <si>
    <t>Down payment + closing costs + prepaid/escrow + points − credits</t>
  </si>
  <si>
    <t>Dollar range</t>
  </si>
  <si>
    <t>User inputs + benchmark range</t>
  </si>
  <si>
    <t>Shows actual upfront hurdle</t>
  </si>
  <si>
    <t>Compare down-payment scenarios</t>
  </si>
  <si>
    <t>Summary</t>
  </si>
  <si>
    <t>Required loan payment</t>
  </si>
  <si>
    <t>Subtotal</t>
  </si>
  <si>
    <t>Dollar</t>
  </si>
  <si>
    <t>Standard baseline</t>
  </si>
  <si>
    <t>Required housing payment</t>
  </si>
  <si>
    <t>P&amp;I + taxes + insurance + PMI + HOA</t>
  </si>
  <si>
    <t>Closer to lender payment</t>
  </si>
  <si>
    <t>Required housing payment + maintenance reserve + optional utilities</t>
  </si>
  <si>
    <t>Full household budget view</t>
  </si>
  <si>
    <t>Compare options in Jaspen</t>
  </si>
  <si>
    <t>Long-term</t>
  </si>
  <si>
    <t>All modeled cash payments including one-time costs</t>
  </si>
  <si>
    <t>No separate addition</t>
  </si>
  <si>
    <t>Time-series formulas</t>
  </si>
  <si>
    <t>Shows cumulative commitment</t>
  </si>
  <si>
    <t>Use in rent-vs-buy scenario</t>
  </si>
  <si>
    <t>Principal paid / equity built</t>
  </si>
  <si>
    <t>Cumulative principal reduction, excluding appreciation</t>
  </si>
  <si>
    <t>No</t>
  </si>
  <si>
    <t>Amortization schedule</t>
  </si>
  <si>
    <t>Separates asset-building from cost</t>
  </si>
  <si>
    <t>Use as scenario input</t>
  </si>
  <si>
    <t>Interest paid</t>
  </si>
  <si>
    <t>Cumulative financing cost</t>
  </si>
  <si>
    <t>Shows cost of borrowing</t>
  </si>
  <si>
    <t>Risk</t>
  </si>
  <si>
    <t>Tax, insurance, HOA and maintenance growth scenarios</t>
  </si>
  <si>
    <t>Future monthly range</t>
  </si>
  <si>
    <t>Growth assumptions</t>
  </si>
  <si>
    <t>Fixed-rate is not fixed total cost</t>
  </si>
  <si>
    <t>Pressure-test budget</t>
  </si>
  <si>
    <t>Insight</t>
  </si>
  <si>
    <t>Top cost drivers</t>
  </si>
  <si>
    <t>Largest components and most sensitive assumptions</t>
  </si>
  <si>
    <t>Ranked list</t>
  </si>
  <si>
    <t>Sensitivity test</t>
  </si>
  <si>
    <t>Shows what matters most</t>
  </si>
  <si>
    <t>Use Jaspen to compare choices</t>
  </si>
  <si>
    <t>Cost-weighted Published Benchmarks / Research-Based Estimates / Your Inputs</t>
  </si>
  <si>
    <t>Three percentages</t>
  </si>
  <si>
    <t>Provenance model</t>
  </si>
  <si>
    <t>Shows how result was built</t>
  </si>
  <si>
    <t>Trust foundation</t>
  </si>
  <si>
    <t>Trust</t>
  </si>
  <si>
    <t>Key assumptions and sources</t>
  </si>
  <si>
    <t>Editable assumptions, source, year, limitation</t>
  </si>
  <si>
    <t>Expandable table</t>
  </si>
  <si>
    <t>Benchmark library</t>
  </si>
  <si>
    <t>Supports lender/financial review</t>
  </si>
  <si>
    <t>No hidden model</t>
  </si>
  <si>
    <t>Mortgage Questionnaire and Benchmark Review Flow</t>
  </si>
  <si>
    <t>Keep required inputs light; prefill reasonable assumptions and let users edit only what differs.</t>
  </si>
  <si>
    <t>Step</t>
  </si>
  <si>
    <t>Field / Question</t>
  </si>
  <si>
    <t>Purpose</t>
  </si>
  <si>
    <t>Required?</t>
  </si>
  <si>
    <t>Input Type</t>
  </si>
  <si>
    <t>Units / Options</t>
  </si>
  <si>
    <t>Default</t>
  </si>
  <si>
    <t>Fallback Logic</t>
  </si>
  <si>
    <t>Drives</t>
  </si>
  <si>
    <t>Source Label?</t>
  </si>
  <si>
    <t>Friction</t>
  </si>
  <si>
    <t>1 Property &amp; loan</t>
  </si>
  <si>
    <t>Home price</t>
  </si>
  <si>
    <t>Anchor financing and ownership costs</t>
  </si>
  <si>
    <t>Currency</t>
  </si>
  <si>
    <t>USD</t>
  </si>
  <si>
    <t>$400,000</t>
  </si>
  <si>
    <t>Loan, taxes, insurance, maintenance</t>
  </si>
  <si>
    <t>Low</t>
  </si>
  <si>
    <t>Down payment</t>
  </si>
  <si>
    <t>Calculate loan and cash required</t>
  </si>
  <si>
    <t>Currency or %</t>
  </si>
  <si>
    <t>USD / %</t>
  </si>
  <si>
    <t>20%</t>
  </si>
  <si>
    <t>User input</t>
  </si>
  <si>
    <t>Loan, PMI, cash to close</t>
  </si>
  <si>
    <t>Mortgage interest rate</t>
  </si>
  <si>
    <t>Calculate payment</t>
  </si>
  <si>
    <t>Percent</t>
  </si>
  <si>
    <t>Annual rate</t>
  </si>
  <si>
    <t>User enters or use current benchmark</t>
  </si>
  <si>
    <t>Freddie Mac PMMS reference only</t>
  </si>
  <si>
    <t>P&amp;I</t>
  </si>
  <si>
    <t>Loan term</t>
  </si>
  <si>
    <t>Dropdown</t>
  </si>
  <si>
    <t>15/20/30 years</t>
  </si>
  <si>
    <t>30 years</t>
  </si>
  <si>
    <t>P&amp;I, equity</t>
  </si>
  <si>
    <t>ZIP code / state (optional)</t>
  </si>
  <si>
    <t>Future local tax/insurance refinement</t>
  </si>
  <si>
    <t>Text</t>
  </si>
  <si>
    <t>US ZIP/state</t>
  </si>
  <si>
    <t>Blank</t>
  </si>
  <si>
    <t>National fallback</t>
  </si>
  <si>
    <t>Taxes, insurance</t>
  </si>
  <si>
    <t>2 Review assumptions</t>
  </si>
  <si>
    <t>Property tax</t>
  </si>
  <si>
    <t>Estimate escrow</t>
  </si>
  <si>
    <t>Editable default</t>
  </si>
  <si>
    <t>Annual $ or %</t>
  </si>
  <si>
    <t>1.10% provisional national planning default</t>
  </si>
  <si>
    <t>User/local rate preferred</t>
  </si>
  <si>
    <t>Monthly cost</t>
  </si>
  <si>
    <t>Estimate premium</t>
  </si>
  <si>
    <t>0.50% provisional fallback</t>
  </si>
  <si>
    <t>User quote preferred</t>
  </si>
  <si>
    <t>PMI rate</t>
  </si>
  <si>
    <t>Mortgage insurance if LTV &gt;80%</t>
  </si>
  <si>
    <t>Conditional</t>
  </si>
  <si>
    <t>Annual % of loan</t>
  </si>
  <si>
    <t>0.60% provisional</t>
  </si>
  <si>
    <t>Loan estimate preferred</t>
  </si>
  <si>
    <t>HOA / recurring assessments</t>
  </si>
  <si>
    <t>Include community cost</t>
  </si>
  <si>
    <t>Monthly</t>
  </si>
  <si>
    <t>$0</t>
  </si>
  <si>
    <t>Maintenance reserve</t>
  </si>
  <si>
    <t>Model true carrying cost</t>
  </si>
  <si>
    <t>Annual % of home value</t>
  </si>
  <si>
    <t>1.00% research-based planning estimate</t>
  </si>
  <si>
    <t>User edit by age/condition</t>
  </si>
  <si>
    <t>Utilities (optional)</t>
  </si>
  <si>
    <t>True housing budget</t>
  </si>
  <si>
    <t>User input only</t>
  </si>
  <si>
    <t>3 Cash to close</t>
  </si>
  <si>
    <t>Estimate non-down-payment cash</t>
  </si>
  <si>
    <t>Percent / itemized</t>
  </si>
  <si>
    <t>% of loan or $</t>
  </si>
  <si>
    <t>3.00% research-based planning midpoint</t>
  </si>
  <si>
    <t>Loan Estimate overrides</t>
  </si>
  <si>
    <t>Points / lender credits</t>
  </si>
  <si>
    <t>Reflect rate tradeoffs</t>
  </si>
  <si>
    <t>Loan Estimate</t>
  </si>
  <si>
    <t>Medium</t>
  </si>
  <si>
    <t>Prepaids / initial escrow</t>
  </si>
  <si>
    <t>Taxes, insurance, interest deposits</t>
  </si>
  <si>
    <t>$0 or estimate</t>
  </si>
  <si>
    <t>4 Future view</t>
  </si>
  <si>
    <t>Expected annual property-tax growth</t>
  </si>
  <si>
    <t>Future payment exposure</t>
  </si>
  <si>
    <t>Annual %</t>
  </si>
  <si>
    <t>2.5% research-based scenario default</t>
  </si>
  <si>
    <t>User/local history</t>
  </si>
  <si>
    <t>Future costs</t>
  </si>
  <si>
    <t>Expected annual insurance growth</t>
  </si>
  <si>
    <t>4.0% research-based scenario default</t>
  </si>
  <si>
    <t>User quote/history</t>
  </si>
  <si>
    <t>Expected annual HOA growth</t>
  </si>
  <si>
    <t>3.0% research-based scenario default</t>
  </si>
  <si>
    <t>Expected annual maintenance growth</t>
  </si>
  <si>
    <t>Future carrying cost</t>
  </si>
  <si>
    <t>2.5% inflation-style scenario</t>
  </si>
  <si>
    <t>Results</t>
  </si>
  <si>
    <t>Gross monthly income (optional)</t>
  </si>
  <si>
    <t>Show housing-cost ratio, not loan approval</t>
  </si>
  <si>
    <t>Monthly USD</t>
  </si>
  <si>
    <t>Affordability context</t>
  </si>
  <si>
    <t>Mortgage Calculation Model</t>
  </si>
  <si>
    <t>Every result must trace to a formula, a benchmark, or a user input. Avoid treating equity as a cost.</t>
  </si>
  <si>
    <t>Component</t>
  </si>
  <si>
    <t>Formula</t>
  </si>
  <si>
    <t>Inputs</t>
  </si>
  <si>
    <t>Benchmark / Default</t>
  </si>
  <si>
    <t>Mid</t>
  </si>
  <si>
    <t>High</t>
  </si>
  <si>
    <t>Double-count Guard</t>
  </si>
  <si>
    <t>Status</t>
  </si>
  <si>
    <t>User Explanation</t>
  </si>
  <si>
    <t>Differentiator?</t>
  </si>
  <si>
    <t>Validation</t>
  </si>
  <si>
    <t>Loan amount</t>
  </si>
  <si>
    <t>Derived</t>
  </si>
  <si>
    <t>Home price − down payment</t>
  </si>
  <si>
    <t>Price, down payment</t>
  </si>
  <si>
    <t>Same</t>
  </si>
  <si>
    <t>Do not add to costs</t>
  </si>
  <si>
    <t>Standard</t>
  </si>
  <si>
    <t>Amount financed.</t>
  </si>
  <si>
    <t>Formula audit</t>
  </si>
  <si>
    <t>Yes monthly</t>
  </si>
  <si>
    <t>L*r*(1+r)^n / ((1+r)^n−1)</t>
  </si>
  <si>
    <t>Loan, annual rate, term</t>
  </si>
  <si>
    <t>Rate may reference PMMS</t>
  </si>
  <si>
    <t>Selected rate</t>
  </si>
  <si>
    <t>Principal portion later shown as equity</t>
  </si>
  <si>
    <t>Required principal and interest payment.</t>
  </si>
  <si>
    <t>Match amortization</t>
  </si>
  <si>
    <t>Annual tax ÷ 12</t>
  </si>
  <si>
    <t>Home value, rate/amount</t>
  </si>
  <si>
    <t>Local/user preferred</t>
  </si>
  <si>
    <t>−15%</t>
  </si>
  <si>
    <t>Selected</t>
  </si>
  <si>
    <t>＋15%</t>
  </si>
  <si>
    <t>Do not add again through escrow subtotal</t>
  </si>
  <si>
    <t>Estimated property taxes.</t>
  </si>
  <si>
    <t>Local variability</t>
  </si>
  <si>
    <t>Annual premium ÷ 12</t>
  </si>
  <si>
    <t>Premium or proxy</t>
  </si>
  <si>
    <t>−20%</t>
  </si>
  <si>
    <t>＋25%</t>
  </si>
  <si>
    <t>Separate from PMI</t>
  </si>
  <si>
    <t>Estimated property insurance.</t>
  </si>
  <si>
    <t>Proxy limitation</t>
  </si>
  <si>
    <t>PMI</t>
  </si>
  <si>
    <t>Conditional yes</t>
  </si>
  <si>
    <t>Loan balance × annual PMI rate ÷ 12 until cancellation rule</t>
  </si>
  <si>
    <t>LTV, PMI rate</t>
  </si>
  <si>
    <t>User/lender estimate</t>
  </si>
  <si>
    <t>Do not continue beyond modeled removal</t>
  </si>
  <si>
    <t>Mortgage insurance when applicable.</t>
  </si>
  <si>
    <t>Cancellation logic</t>
  </si>
  <si>
    <t>HOA</t>
  </si>
  <si>
    <t>Monthly HOA</t>
  </si>
  <si>
    <t>$0 default</t>
  </si>
  <si>
    <t>Special assessments excluded unless entered</t>
  </si>
  <si>
    <t>Recurring association cost.</t>
  </si>
  <si>
    <t>Yes in true cost, not lender payment</t>
  </si>
  <si>
    <t>Home value × annual reserve % ÷ 12</t>
  </si>
  <si>
    <t>Value, reserve %</t>
  </si>
  <si>
    <t>1% planning estimate</t>
  </si>
  <si>
    <t>0.5%</t>
  </si>
  <si>
    <t>1.0%</t>
  </si>
  <si>
    <t>1.5%</t>
  </si>
  <si>
    <t>Reserve is not a required bill</t>
  </si>
  <si>
    <t>Research-based</t>
  </si>
  <si>
    <t>Planning amount for repairs and upkeep.</t>
  </si>
  <si>
    <t>Age/condition sensitivity</t>
  </si>
  <si>
    <t>Optional yes</t>
  </si>
  <si>
    <t>Monthly entered cost</t>
  </si>
  <si>
    <t>Exclude from lender payment</t>
  </si>
  <si>
    <t>Optional utility estimate.</t>
  </si>
  <si>
    <t>Yes upfront</t>
  </si>
  <si>
    <t>Down payment + closing costs + prepaids + points − credits</t>
  </si>
  <si>
    <t>Closing cost % fallback</t>
  </si>
  <si>
    <t>2%</t>
  </si>
  <si>
    <t>3%</t>
  </si>
  <si>
    <t>5%</t>
  </si>
  <si>
    <t>Do not include financed costs twice</t>
  </si>
  <si>
    <t>Standard/research</t>
  </si>
  <si>
    <t>Estimated cash needed at closing.</t>
  </si>
  <si>
    <t>Loan Estimate controls</t>
  </si>
  <si>
    <t>Cumulative interest</t>
  </si>
  <si>
    <t>No separate total if cash outflow shown</t>
  </si>
  <si>
    <t>Sum interest schedule</t>
  </si>
  <si>
    <t>Loan schedule</t>
  </si>
  <si>
    <t>Do not label principal as cost</t>
  </si>
  <si>
    <t>Interest paid over selected horizon.</t>
  </si>
  <si>
    <t>Initial equity + cumulative principal paid</t>
  </si>
  <si>
    <t>Down payment, amortization</t>
  </si>
  <si>
    <t>No appreciation in v1</t>
  </si>
  <si>
    <t>Do not subtract from monthly cash outflow</t>
  </si>
  <si>
    <t>Ownership value built from cash invested and principal reduction.</t>
  </si>
  <si>
    <t>Clarify excludes appreciation</t>
  </si>
  <si>
    <t>Future non-P&amp;I costs grown by selected annual rates</t>
  </si>
  <si>
    <t>Tax, insurance, HOA, maintenance growth</t>
  </si>
  <si>
    <t>Research/user assumptions</t>
  </si>
  <si>
    <t>Low growth</t>
  </si>
  <si>
    <t>High growth</t>
  </si>
  <si>
    <t>Not prediction</t>
  </si>
  <si>
    <t>How total housing cost may change even with a fixed-rate loan.</t>
  </si>
  <si>
    <t>Sensitivity</t>
  </si>
  <si>
    <t>Housing cost ratio</t>
  </si>
  <si>
    <t>True monthly cost ÷ gross monthly income</t>
  </si>
  <si>
    <t>Income, true cost</t>
  </si>
  <si>
    <t>HUD/Freddie context</t>
  </si>
  <si>
    <t>Not underwriting decision</t>
  </si>
  <si>
    <t>Standard context</t>
  </si>
  <si>
    <t>Share of gross income used for housing.</t>
  </si>
  <si>
    <t>Clear disclaimer</t>
  </si>
  <si>
    <t>Cost-weighted provenance share</t>
  </si>
  <si>
    <t>Component provenance</t>
  </si>
  <si>
    <t>N/A</t>
  </si>
  <si>
    <t>Jaspen</t>
  </si>
  <si>
    <t>Shows how the estimate was constructed.</t>
  </si>
  <si>
    <t>Must total 100%</t>
  </si>
  <si>
    <t>Mortgage Benchmark Library</t>
  </si>
  <si>
    <t>Production should prioritize property- and lender-specific values. National defaults are transparent fallbacks, not claims about a specific home.</t>
  </si>
  <si>
    <t>ID</t>
  </si>
  <si>
    <t>Variable</t>
  </si>
  <si>
    <t>Segment</t>
  </si>
  <si>
    <t>Value</t>
  </si>
  <si>
    <t>Unit</t>
  </si>
  <si>
    <t>Reliability</t>
  </si>
  <si>
    <t>Type</t>
  </si>
  <si>
    <t>Source</t>
  </si>
  <si>
    <t>URL</t>
  </si>
  <si>
    <t>Period</t>
  </si>
  <si>
    <t>Methodology</t>
  </si>
  <si>
    <t>Limitation</t>
  </si>
  <si>
    <t>Why Used</t>
  </si>
  <si>
    <t>M001</t>
  </si>
  <si>
    <t>Interest rate</t>
  </si>
  <si>
    <t>30-year fixed</t>
  </si>
  <si>
    <t>Dynamic</t>
  </si>
  <si>
    <t>Published Benchmark</t>
  </si>
  <si>
    <t>Direct Benchmark</t>
  </si>
  <si>
    <t>Adopted</t>
  </si>
  <si>
    <t>Freddie Mac PMMS</t>
  </si>
  <si>
    <t>https://www.freddiemac.com/pmms</t>
  </si>
  <si>
    <t>Weekly</t>
  </si>
  <si>
    <t>Use current weekly average only as optional reference; user/lender quote overrides.</t>
  </si>
  <si>
    <t>Borrower pricing varies by credit, points, LTV, product, and date.</t>
  </si>
  <si>
    <t>Provides a transparent starting reference.</t>
  </si>
  <si>
    <t>M002</t>
  </si>
  <si>
    <t>Total payment components</t>
  </si>
  <si>
    <t>US mortgages</t>
  </si>
  <si>
    <t>P&amp;I + mortgage insurance + taxes + homeowners insurance</t>
  </si>
  <si>
    <t>https://www.consumerfinance.gov/ask-cfpb/on-a-mortgage-whats-the-difference-between-my-principal-and-interest-payment-and-my-total-monthly-payment-en-1941/</t>
  </si>
  <si>
    <t>Current guidance</t>
  </si>
  <si>
    <t>Defines total monthly payment components.</t>
  </si>
  <si>
    <t>HOA, maintenance, utilities may be outside lender payment.</t>
  </si>
  <si>
    <t>Grounds the core payment structure.</t>
  </si>
  <si>
    <t>M003</t>
  </si>
  <si>
    <t>PMI trigger</t>
  </si>
  <si>
    <t>Conventional loan</t>
  </si>
  <si>
    <t>Typically when down payment &lt;20%</t>
  </si>
  <si>
    <t>Rule context</t>
  </si>
  <si>
    <t>https://www.consumerfinance.gov/ask-cfpb/what-is-private-mortgage-insurance-en-122/</t>
  </si>
  <si>
    <t>Use conditional PMI module; lender quote controls rate and duration.</t>
  </si>
  <si>
    <t>Loan type and cancellation rules vary.</t>
  </si>
  <si>
    <t>Prevents omission of mortgage insurance.</t>
  </si>
  <si>
    <t>M004</t>
  </si>
  <si>
    <t>Closing-cost planning range</t>
  </si>
  <si>
    <t>US purchase</t>
  </si>
  <si>
    <t>2% / 3% / 5%</t>
  </si>
  <si>
    <t>% of loan/purchase</t>
  </si>
  <si>
    <t>Research-Based Estimate</t>
  </si>
  <si>
    <t>Research-Based Proxy</t>
  </si>
  <si>
    <t>Under Review</t>
  </si>
  <si>
    <t>CFPB Loan Estimate + industry calculator practice</t>
  </si>
  <si>
    <t>https://www.consumerfinance.gov/owning-a-home/loan-estimate/</t>
  </si>
  <si>
    <t>Current</t>
  </si>
  <si>
    <t>Use as low/mid/high planning range only; actual Loan Estimate overrides.</t>
  </si>
  <si>
    <t>Not a universal benchmark; location and loan structure vary.</t>
  </si>
  <si>
    <t>Supports early cash planning before a quote.</t>
  </si>
  <si>
    <t>M005</t>
  </si>
  <si>
    <t>Property-tax fallback</t>
  </si>
  <si>
    <t>National planning</t>
  </si>
  <si>
    <t>1.10%</t>
  </si>
  <si>
    <t>% of home value/year</t>
  </si>
  <si>
    <t>Model default; local tax data preferred</t>
  </si>
  <si>
    <t>TBD</t>
  </si>
  <si>
    <t>Editable national placeholder until ZIP/local integration.</t>
  </si>
  <si>
    <t>Property tax is highly local and assessment-based.</t>
  </si>
  <si>
    <t>Keeps calculator usable without address data.</t>
  </si>
  <si>
    <t>M006</t>
  </si>
  <si>
    <t>Homeowners-insurance fallback</t>
  </si>
  <si>
    <t>0.50%</t>
  </si>
  <si>
    <t>Model fallback; user insurance quote preferred</t>
  </si>
  <si>
    <t>https://myhome.freddiemac.com/owning/homeownership-costs</t>
  </si>
  <si>
    <t>Proxy only; future model should use location/rebuild-cost data.</t>
  </si>
  <si>
    <t>Insurers price replacement cost and risk, not simply market value.</t>
  </si>
  <si>
    <t>Avoids omitting insurance while preserving caveat.</t>
  </si>
  <si>
    <t>M007</t>
  </si>
  <si>
    <t>General homeownership</t>
  </si>
  <si>
    <t>0.5% / 1.0% / 1.5%</t>
  </si>
  <si>
    <t>% of value/year</t>
  </si>
  <si>
    <t>Freddie Mac homeowner-vs-renter spending context + planning convention</t>
  </si>
  <si>
    <t>https://www.freddiemac.com/research/insight/homeowner-vs-renter-spending</t>
  </si>
  <si>
    <t>2024</t>
  </si>
  <si>
    <t>Scenario range, editable for age/condition.</t>
  </si>
  <si>
    <t>Not a required payment and can vary sharply.</t>
  </si>
  <si>
    <t>Adds true carrying cost mainstream calculators often omit.</t>
  </si>
  <si>
    <t>M008</t>
  </si>
  <si>
    <t>Housing-cost burden context</t>
  </si>
  <si>
    <t>General</t>
  </si>
  <si>
    <t>30%</t>
  </si>
  <si>
    <t>% gross income</t>
  </si>
  <si>
    <t>HUD / Freddie Mac</t>
  </si>
  <si>
    <t>https://www.huduser.gov/portal/datasets/cp/CHAS/bg_chas.html</t>
  </si>
  <si>
    <t>Display as context, not approval rule.</t>
  </si>
  <si>
    <t>Household circumstances and lender underwriting differ.</t>
  </si>
  <si>
    <t>Provides a familiar affordability reference.</t>
  </si>
  <si>
    <t>M009</t>
  </si>
  <si>
    <t>Severe cost burden context</t>
  </si>
  <si>
    <t>50%</t>
  </si>
  <si>
    <t>HUD</t>
  </si>
  <si>
    <t>Context threshold including utilities.</t>
  </si>
  <si>
    <t>Not individualized financial advice.</t>
  </si>
  <si>
    <t>Shows stress level without recommendation.</t>
  </si>
  <si>
    <t>M010</t>
  </si>
  <si>
    <t>Property-tax growth</t>
  </si>
  <si>
    <t>Scenario</t>
  </si>
  <si>
    <t>2.5%</t>
  </si>
  <si>
    <t>Annual growth</t>
  </si>
  <si>
    <t>Scenario assumption</t>
  </si>
  <si>
    <t>Editable future-cost scenario.</t>
  </si>
  <si>
    <t>Local policy and assessments vary.</t>
  </si>
  <si>
    <t>Models payment-change exposure.</t>
  </si>
  <si>
    <t>M011</t>
  </si>
  <si>
    <t>Insurance growth</t>
  </si>
  <si>
    <t>4.0%</t>
  </si>
  <si>
    <t>Insurance markets are volatile and location-specific.</t>
  </si>
  <si>
    <t>How We Built These Mortgage Estimates</t>
  </si>
  <si>
    <t>The calculator is an estimation tool, not a quote, underwriting decision, lease recommendation, or prediction.</t>
  </si>
  <si>
    <t>Principle</t>
  </si>
  <si>
    <t>How it is applied</t>
  </si>
  <si>
    <t>Published Benchmarks</t>
  </si>
  <si>
    <t>Use authoritative definitions or measured values from CFPB, Freddie Mac, and HUD where the same variable is available.</t>
  </si>
  <si>
    <t>Research-Based Estimates</t>
  </si>
  <si>
    <t>Use transparent planning ranges when no property-specific value exists, such as maintenance or early closing-cost assumptions.</t>
  </si>
  <si>
    <t>Your Inputs</t>
  </si>
  <si>
    <t>A lender quote, property-tax record, insurance quote, HOA statement, or user value always overrides a generic default.</t>
  </si>
  <si>
    <t>No hidden recommendation</t>
  </si>
  <si>
    <t>The calculator shows costs, cash requirements, equity, and sensitivity. It does not tell the user to buy.</t>
  </si>
  <si>
    <t>No AI in the calculation</t>
  </si>
  <si>
    <t>All calculations are deterministic formulas. Sources and assumptions are visible and editable.</t>
  </si>
  <si>
    <t>The result shows the cost-weighted share from Published Benchmarks, Research-Based Estimates, and Your Inputs.</t>
  </si>
  <si>
    <t>Working Mortgage Sample Model</t>
  </si>
  <si>
    <t>Editable example for a $400,000 home with 20% down and a 30-year fixed mortgage. Yellow cells are inputs/defaults.</t>
  </si>
  <si>
    <t>Input</t>
  </si>
  <si>
    <t>Provenance</t>
  </si>
  <si>
    <t>Notes</t>
  </si>
  <si>
    <t>Derived Metric</t>
  </si>
  <si>
    <t>Formula / Meaning</t>
  </si>
  <si>
    <t>Your Input</t>
  </si>
  <si>
    <t>Home price × down payment %</t>
  </si>
  <si>
    <t>Down payment %</t>
  </si>
  <si>
    <t>Illustrative only</t>
  </si>
  <si>
    <t>Monthly rate</t>
  </si>
  <si>
    <t>Annual rate ÷ 12</t>
  </si>
  <si>
    <t>Loan term (years)</t>
  </si>
  <si>
    <t>Number of payments</t>
  </si>
  <si>
    <t>Years × 12</t>
  </si>
  <si>
    <t>Property tax rate</t>
  </si>
  <si>
    <t>Local value preferred</t>
  </si>
  <si>
    <t>Standard amortization payment</t>
  </si>
  <si>
    <t>Insurance rate</t>
  </si>
  <si>
    <t>Quote preferred</t>
  </si>
  <si>
    <t>Monthly property tax</t>
  </si>
  <si>
    <t>Home price × tax rate ÷ 12</t>
  </si>
  <si>
    <t>Only applies below 20% down</t>
  </si>
  <si>
    <t>Monthly insurance</t>
  </si>
  <si>
    <t>Home price × insurance rate ÷ 12</t>
  </si>
  <si>
    <t>Loan × PMI rate ÷ 12 when down payment &lt;20%</t>
  </si>
  <si>
    <t>Maintenance reserve rate</t>
  </si>
  <si>
    <t>Planning reserve</t>
  </si>
  <si>
    <t>Monthly maintenance reserve</t>
  </si>
  <si>
    <t>Home price × maintenance rate ÷ 12</t>
  </si>
  <si>
    <t>Monthly utilities</t>
  </si>
  <si>
    <t>P&amp;I + tax + insurance + PMI + HOA</t>
  </si>
  <si>
    <t>Closing costs %</t>
  </si>
  <si>
    <t>True monthly carrying cost</t>
  </si>
  <si>
    <t>Required payment + maintenance + utilities</t>
  </si>
  <si>
    <t>Prepaids / points / net credits</t>
  </si>
  <si>
    <t>Net additional cash</t>
  </si>
  <si>
    <t>Estimated cash to close</t>
  </si>
  <si>
    <t>Down payment + closing costs + prepaids/points/credits</t>
  </si>
  <si>
    <t>Gross monthly income</t>
  </si>
  <si>
    <t>Optional affordability context</t>
  </si>
  <si>
    <t>Tax annual growth</t>
  </si>
  <si>
    <t>Insurance annual growth</t>
  </si>
  <si>
    <t>HOA annual growth</t>
  </si>
  <si>
    <t>Percentage</t>
  </si>
  <si>
    <t>Maintenance annual growth</t>
  </si>
  <si>
    <t>Direct definitions/thresholds used in the model.</t>
  </si>
  <si>
    <t>Editable planning assumptions such as tax, insurance, maintenance, and closing-cost defaults.</t>
  </si>
  <si>
    <t>Property price, down payment, rate, term, HOA, utilities, income, and any overridden values.</t>
  </si>
  <si>
    <t>Horizon</t>
  </si>
  <si>
    <t>Months</t>
  </si>
  <si>
    <t>Total P&amp;I</t>
  </si>
  <si>
    <t>Principal Paid</t>
  </si>
  <si>
    <t>Interest Paid</t>
  </si>
  <si>
    <t>Taxes</t>
  </si>
  <si>
    <t>Insurance</t>
  </si>
  <si>
    <t>Maintenance</t>
  </si>
  <si>
    <t>Upfront Cash</t>
  </si>
  <si>
    <t>Total Cash Outflow</t>
  </si>
  <si>
    <t>Equity Built</t>
  </si>
  <si>
    <t>Net Cash Cost after Equity</t>
  </si>
  <si>
    <t>1 Year</t>
  </si>
  <si>
    <t>3 Years</t>
  </si>
  <si>
    <t>5 Years</t>
  </si>
  <si>
    <t>10 Years</t>
  </si>
  <si>
    <t>Mortgage Utility Web-App Requirements</t>
  </si>
  <si>
    <t>Deterministic, transparent, reusable, and valuable without account creation.</t>
  </si>
  <si>
    <t>Requirement</t>
  </si>
  <si>
    <t>User Experience</t>
  </si>
  <si>
    <t>Data / Logic</t>
  </si>
  <si>
    <t>Analytics</t>
  </si>
  <si>
    <t>Trust / Privacy</t>
  </si>
  <si>
    <t>SEO</t>
  </si>
  <si>
    <t>Accessibility</t>
  </si>
  <si>
    <t>Acceptance Criteria</t>
  </si>
  <si>
    <t>Route</t>
  </si>
  <si>
    <t>/tools/mortgage-calculator</t>
  </si>
  <si>
    <t>Public utility page</t>
  </si>
  <si>
    <t>Canonical SEO route</t>
  </si>
  <si>
    <t>page_view</t>
  </si>
  <si>
    <t>No account required</t>
  </si>
  <si>
    <t>Mortgage calculator / true monthly cost / cash to close</t>
  </si>
  <si>
    <t>Semantic headings</t>
  </si>
  <si>
    <t>Indexable canonical page</t>
  </si>
  <si>
    <t>Proposed</t>
  </si>
  <si>
    <t>Step flow</t>
  </si>
  <si>
    <t>Property &amp; loan → assumptions → future view → results</t>
  </si>
  <si>
    <t>≤5 required inputs before first estimate</t>
  </si>
  <si>
    <t>Prefilled editable defaults</t>
  </si>
  <si>
    <t>step_completed</t>
  </si>
  <si>
    <t>No sensitive free text</t>
  </si>
  <si>
    <t>Supports search intent</t>
  </si>
  <si>
    <t>Progress announced</t>
  </si>
  <si>
    <t>Mobile completion works</t>
  </si>
  <si>
    <t>Live calculation</t>
  </si>
  <si>
    <t>Update after edits</t>
  </si>
  <si>
    <t>Immediate feedback</t>
  </si>
  <si>
    <t>Deterministic formulas</t>
  </si>
  <si>
    <t>input_overridden</t>
  </si>
  <si>
    <t>No AI</t>
  </si>
  <si>
    <t>Useful calculator experience</t>
  </si>
  <si>
    <t>Accessible status</t>
  </si>
  <si>
    <t>Matches workbook sample</t>
  </si>
  <si>
    <t>Monthly, cash-to-close, horizons, equity, sensitivity</t>
  </si>
  <si>
    <t>Full value before email/signup</t>
  </si>
  <si>
    <t>Calculation engine separated</t>
  </si>
  <si>
    <t>results_viewed</t>
  </si>
  <si>
    <t>Clear disclaimers</t>
  </si>
  <si>
    <t>Rich explanatory copy</t>
  </si>
  <si>
    <t>Text alternatives</t>
  </si>
  <si>
    <t>All components reconcile</t>
  </si>
  <si>
    <t>Save history</t>
  </si>
  <si>
    <t>Offer after results</t>
  </si>
  <si>
    <t>Optional account creation</t>
  </si>
  <si>
    <t>Save scenario/version/inputs/results</t>
  </si>
  <si>
    <t>save_clicked</t>
  </si>
  <si>
    <t>Existing auth/privacy</t>
  </si>
  <si>
    <t>Retention tool</t>
  </si>
  <si>
    <t>Keyboard accessible</t>
  </si>
  <si>
    <t>Anonymous users see full result</t>
  </si>
  <si>
    <t>Scenario basket</t>
  </si>
  <si>
    <t>Saved users can add multiple mortgage/rent/turnover estimates later</t>
  </si>
  <si>
    <t>Compare or total appropriate scenarios</t>
  </si>
  <si>
    <t>Do not sum unlike metrics without labels</t>
  </si>
  <si>
    <t>Later</t>
  </si>
  <si>
    <t>basket_added</t>
  </si>
  <si>
    <t>User-owned data</t>
  </si>
  <si>
    <t>Engagement</t>
  </si>
  <si>
    <t>Accessible list</t>
  </si>
  <si>
    <t>Clear units and categories</t>
  </si>
  <si>
    <t>Future</t>
  </si>
  <si>
    <t>Three-part composition</t>
  </si>
  <si>
    <t>Transparent provenance</t>
  </si>
  <si>
    <t>Dynamic based on overrides</t>
  </si>
  <si>
    <t>composition_viewed</t>
  </si>
  <si>
    <t>Trust differentiator</t>
  </si>
  <si>
    <t>Not color-only</t>
  </si>
  <si>
    <t>Always totals 100%</t>
  </si>
  <si>
    <t>Expandable source details</t>
  </si>
  <si>
    <t>Visible without leaving result</t>
  </si>
  <si>
    <t>Source/year/limitation</t>
  </si>
  <si>
    <t>methodology_opened</t>
  </si>
  <si>
    <t>No hidden assumptions</t>
  </si>
  <si>
    <t>SEO trust asset</t>
  </si>
  <si>
    <t>Readable table</t>
  </si>
  <si>
    <t>Every default traceable</t>
  </si>
  <si>
    <t>Jaspen CTA</t>
  </si>
  <si>
    <t>Take these numbers into Jaspen</t>
  </si>
  <si>
    <t>Concrete scenario ideas after result</t>
  </si>
  <si>
    <t>Pass structured scenario values where supported</t>
  </si>
  <si>
    <t>jaspen_cta</t>
  </si>
  <si>
    <t>No recommendation claim</t>
  </si>
  <si>
    <t>Product bridge</t>
  </si>
  <si>
    <t>Descriptive CTA</t>
  </si>
  <si>
    <t>Appears after value</t>
  </si>
  <si>
    <t>Mortgage Methodology Validation Checklist</t>
  </si>
  <si>
    <t>Validate formulas, assumptions, source freshness, and user promise before implementation.</t>
  </si>
  <si>
    <t>Question</t>
  </si>
  <si>
    <t>Why</t>
  </si>
  <si>
    <t>Evidence</t>
  </si>
  <si>
    <t>Severity</t>
  </si>
  <si>
    <t>Owner</t>
  </si>
  <si>
    <t>Resolution</t>
  </si>
  <si>
    <t>Sign-off</t>
  </si>
  <si>
    <t>Does payment and balance match a known mortgage calculator for sample cases?</t>
  </si>
  <si>
    <t>Core correctness</t>
  </si>
  <si>
    <t>Formula comparison</t>
  </si>
  <si>
    <t>Critical</t>
  </si>
  <si>
    <t>Open</t>
  </si>
  <si>
    <t>Is PMI duration/removal handled conservatively and clearly?</t>
  </si>
  <si>
    <t>Can overstate long-term cost</t>
  </si>
  <si>
    <t>Loan-rule review</t>
  </si>
  <si>
    <t>Should v1 require user/local value or keep a national placeholder?</t>
  </si>
  <si>
    <t>UX review</t>
  </si>
  <si>
    <t>Is market-value percentage fallback acceptable with explicit caveat?</t>
  </si>
  <si>
    <t>Insurance is rebuild/risk based</t>
  </si>
  <si>
    <t>Expert review</t>
  </si>
  <si>
    <t>Are 0.5/1/1.5% ranges transparent planning scenarios?</t>
  </si>
  <si>
    <t>Differentiator credibility</t>
  </si>
  <si>
    <t>Source review</t>
  </si>
  <si>
    <t>Does 2/3/5% range align with Loan Estimate categories and avoid financed-cost double count?</t>
  </si>
  <si>
    <t>Cash-to-close accuracy</t>
  </si>
  <si>
    <t>CFPB review</t>
  </si>
  <si>
    <t>Equity</t>
  </si>
  <si>
    <t>Is principal paid separated from cost and appreciation excluded?</t>
  </si>
  <si>
    <t>Avoid misleading rent-vs-buy use</t>
  </si>
  <si>
    <t>Future growth</t>
  </si>
  <si>
    <t>Are tax/insurance/HOA growth inputs clearly scenarios, not forecasts?</t>
  </si>
  <si>
    <t>Copy review</t>
  </si>
  <si>
    <t>Composition</t>
  </si>
  <si>
    <t>Does Estimate Built Using change with overrides and total 100%?</t>
  </si>
  <si>
    <t>Formula tests</t>
  </si>
  <si>
    <t>Save basket</t>
  </si>
  <si>
    <t>Are units/categories clear when combining saved scenarios?</t>
  </si>
  <si>
    <t>Avoid invalid aggregation</t>
  </si>
  <si>
    <t>Product design</t>
  </si>
  <si>
    <t>Mortgage Research Sources</t>
  </si>
  <si>
    <t>Authoritative sources and intended use in the model.</t>
  </si>
  <si>
    <t>Authority</t>
  </si>
  <si>
    <t>Metric / Use</t>
  </si>
  <si>
    <t>Value / Treatment</t>
  </si>
  <si>
    <t>Production Use</t>
  </si>
  <si>
    <t>Caveat</t>
  </si>
  <si>
    <t>U.S. Consumer Financial Protection Bureau</t>
  </si>
  <si>
    <t>Payment and closing-cost structure</t>
  </si>
  <si>
    <t>Loan Estimate overrides planning defaults</t>
  </si>
  <si>
    <t>Lender-specific document controls</t>
  </si>
  <si>
    <t>CFPB Total Monthly Payment</t>
  </si>
  <si>
    <t>U.S. CFPB</t>
  </si>
  <si>
    <t>P&amp;I + mortgage insurance + tax + homeowners insurance</t>
  </si>
  <si>
    <t>Core payment definition</t>
  </si>
  <si>
    <t>HOA/maintenance/utilities may be outside lender payment</t>
  </si>
  <si>
    <t>CFPB PMI</t>
  </si>
  <si>
    <t>PMI applicability context</t>
  </si>
  <si>
    <t>Typically relevant below 20% down for conventional loans</t>
  </si>
  <si>
    <t>Current mortgage-rate reference</t>
  </si>
  <si>
    <t>Optional benchmark only</t>
  </si>
  <si>
    <t>Not a borrower quote</t>
  </si>
  <si>
    <t>Freddie Mac Homeownership Costs</t>
  </si>
  <si>
    <t>Taxes, insurance, PMI, HOA</t>
  </si>
  <si>
    <t>Supports expanded payment components</t>
  </si>
  <si>
    <t>Does not supply all default percentages</t>
  </si>
  <si>
    <t>Freddie Mac Homeowner vs Renter Spending</t>
  </si>
  <si>
    <t>Freddie Mac Research</t>
  </si>
  <si>
    <t>Maintenance/repair cost importance</t>
  </si>
  <si>
    <t>Supports true carrying cost concept</t>
  </si>
  <si>
    <t>Context</t>
  </si>
  <si>
    <t>Not a universal maintenance rate</t>
  </si>
  <si>
    <t>HUD CHAS</t>
  </si>
  <si>
    <t>30% cost burden / 50% severe burden including utilities</t>
  </si>
  <si>
    <t>Not a personalized recommendation</t>
  </si>
  <si>
    <t>Mortgage Refinement Notes</t>
  </si>
  <si>
    <t>Open methodology decisions and proposed future enhancements.</t>
  </si>
  <si>
    <t>Item</t>
  </si>
  <si>
    <t>Current Direction</t>
  </si>
  <si>
    <t>Exact route / title</t>
  </si>
  <si>
    <t>Recommend /tools/mortgage-calculator; human headline can emphasize true monthly cost.</t>
  </si>
  <si>
    <t>Local data</t>
  </si>
  <si>
    <t>Future enhancement: ZIP/address-based taxes, insurance, and utilities. Do not block v1.</t>
  </si>
  <si>
    <t>Rate source</t>
  </si>
  <si>
    <t>Allow current PMMS reference but require user confirmation; never imply lender quote.</t>
  </si>
  <si>
    <t>True carrying cost, cash to close, multi-year cash cost, equity, payment-change exposure, sensitivity, provenance.</t>
  </si>
  <si>
    <t>Rent-vs-buy</t>
  </si>
  <si>
    <t>Do not build into this utility. Preserve outputs so they can be used later in Jaspen or a separate rent-vs-buy scenario.</t>
  </si>
  <si>
    <t>AI</t>
  </si>
  <si>
    <t>No AI in formulas or results. Deterministic math only.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</si>
</sst>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#,##0"/>
    <numFmt numFmtId="165" formatCode="\$#,##0.00"/>
    <numFmt numFmtId="166" formatCode="0.0%"/>
  </numFmts>
  <fonts count="7">
    <font>
      <sz val="11"/>
      <name val="Carlito"/>
    </font>
    <font>
      <b/>
      <sz val="18"/>
      <color rgb="FFFFFFFF"/>
      <name val="Aptos Display"/>
    </font>
    <font>
      <i/>
      <sz val="10"/>
      <color rgb="FF161F3B"/>
      <name val="Carlito"/>
    </font>
    <font>
      <sz val="10"/>
      <color rgb="FF161F3B"/>
      <name val="Aptos"/>
    </font>
    <font>
      <b/>
      <sz val="10"/>
      <color rgb="FF161F3B"/>
      <name val="Aptos"/>
    </font>
    <font>
      <b/>
      <sz val="11"/>
      <color rgb="FF161F3B"/>
      <name val="Carlito"/>
    </font>
    <font>
      <b/>
      <sz val="11"/>
      <color rgb="FFFFFFFF"/>
      <name val="Carlito"/>
    </font>
  </fonts>
  <fills count="8">
    <fill>
      <patternFill patternType="none"/>
    </fill>
    <fill>
      <patternFill patternType="gray125"/>
    </fill>
    <fill>
      <patternFill patternType="solid">
        <fgColor rgb="FF161F3B"/>
      </patternFill>
    </fill>
    <fill>
      <patternFill patternType="solid">
        <fgColor rgb="FFEFF9FC"/>
      </patternFill>
    </fill>
    <fill>
      <patternFill patternType="solid">
        <fgColor rgb="FFF8F5F0"/>
      </patternFill>
    </fill>
    <fill>
      <patternFill patternType="solid">
        <fgColor rgb="FFE9B57B"/>
      </patternFill>
    </fill>
    <fill>
      <patternFill patternType="solid">
        <fgColor rgb="FFA0036C"/>
      </patternFill>
    </fill>
    <fill>
      <patternFill patternType="solid">
        <fgColor rgb="FF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0" borderId="0" xfId="0" applyFont="1" applyAlignment="1">
      <alignment vertical="top" wrapText="1"/>
    </xf>
    <xf numFmtId="0" fontId="4" fillId="4" borderId="0" xfId="0" applyFont="1" applyFill="1" applyAlignment="1">
      <alignment vertical="top" wrapText="1"/>
    </xf>
    <xf numFmtId="0" fontId="6" fillId="6" borderId="0" xfId="0" applyFont="1" applyFill="1" applyAlignment="1">
      <alignment horizontal="center" vertical="center" wrapText="1"/>
    </xf>
    <xf numFmtId="0" fontId="3" fillId="7" borderId="0" xfId="0" applyFont="1" applyFill="1" applyAlignment="1">
      <alignment vertical="top" wrapText="1"/>
    </xf>
    <xf numFmtId="164" fontId="3" fillId="7" borderId="0" xfId="0" applyNumberFormat="1" applyFont="1" applyFill="1" applyAlignment="1">
      <alignment vertical="top" wrapText="1"/>
    </xf>
    <xf numFmtId="10" fontId="3" fillId="7" borderId="0" xfId="0" applyNumberFormat="1" applyFont="1" applyFill="1" applyAlignment="1">
      <alignment vertical="top" wrapText="1"/>
    </xf>
    <xf numFmtId="165" fontId="3" fillId="0" borderId="0" xfId="0" applyNumberFormat="1" applyFont="1" applyAlignment="1">
      <alignment vertical="top" wrapText="1"/>
    </xf>
    <xf numFmtId="166" fontId="3" fillId="0" borderId="0" xfId="0" applyNumberFormat="1" applyFont="1" applyAlignment="1">
      <alignment vertical="top" wrapText="1"/>
    </xf>
    <xf numFmtId="164" fontId="3" fillId="0" borderId="0" xfId="0" applyNumberFormat="1" applyFont="1" applyAlignment="1">
      <alignment vertical="top" wrapText="1"/>
    </xf>
    <xf numFmtId="9" fontId="3" fillId="0" borderId="0" xfId="0" applyNumberFormat="1" applyFont="1" applyAlignment="1">
      <alignment vertical="top" wrapText="1"/>
    </xf>
    <xf numFmtId="0" fontId="1" fillId="2" borderId="0" xfId="0" applyFont="1" applyFill="1" applyAlignment="1">
      <alignment vertical="center"/>
    </xf>
    <xf numFmtId="0" fontId="2" fillId="3" borderId="0" xfId="0" applyFont="1" applyFill="1" applyAlignment="1">
      <alignment wrapText="1"/>
    </xf>
    <xf numFmtId="0" fontId="5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1"/>
  <sheetViews>
    <sheetView workbookViewId="0">
      <selection sqref="A1:J1"/>
    </sheetView>
  </sheetViews>
  <sheetFormatPr baseColWidth="10" defaultColWidth="8.83203125" defaultRowHeight="14"/>
  <cols>
    <col min="1" max="1" width="22" customWidth="1"/>
    <col min="2" max="2" width="95" customWidth="1"/>
    <col min="3" max="10" width="12" customWidth="1"/>
  </cols>
  <sheetData>
    <row r="1" spans="1:10" ht="42.75" customHeight="1">
      <c r="A1" s="11" t="s">
        <v>0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ht="40" customHeight="1">
      <c r="A2" s="12" t="s">
        <v>1</v>
      </c>
      <c r="B2" s="12"/>
      <c r="C2" s="12"/>
      <c r="D2" s="12"/>
      <c r="E2" s="12"/>
      <c r="F2" s="12"/>
      <c r="G2" s="12"/>
      <c r="H2" s="12"/>
      <c r="I2" s="12"/>
      <c r="J2" s="12"/>
    </row>
    <row r="4" spans="1:10" ht="30">
      <c r="A4" s="2" t="s">
        <v>2</v>
      </c>
      <c r="B4" s="1" t="s">
        <v>3</v>
      </c>
    </row>
    <row r="5" spans="1:10" ht="30">
      <c r="A5" s="2" t="s">
        <v>4</v>
      </c>
      <c r="B5" s="1" t="s">
        <v>3</v>
      </c>
    </row>
    <row r="6" spans="1:10" ht="30">
      <c r="A6" s="2" t="s">
        <v>5</v>
      </c>
      <c r="B6" s="1" t="s">
        <v>6</v>
      </c>
    </row>
    <row r="7" spans="1:10" ht="30">
      <c r="A7" s="2" t="s">
        <v>7</v>
      </c>
      <c r="B7" s="1" t="s">
        <v>8</v>
      </c>
    </row>
    <row r="8" spans="1:10" ht="30">
      <c r="A8" s="2" t="s">
        <v>9</v>
      </c>
      <c r="B8" s="1" t="s">
        <v>10</v>
      </c>
    </row>
    <row r="9" spans="1:10" ht="30">
      <c r="A9" s="2" t="s">
        <v>11</v>
      </c>
      <c r="B9" s="1" t="s">
        <v>12</v>
      </c>
    </row>
    <row r="10" spans="1:10" ht="30">
      <c r="A10" s="2" t="s">
        <v>13</v>
      </c>
      <c r="B10" s="1" t="s">
        <v>14</v>
      </c>
    </row>
    <row r="11" spans="1:10" ht="30">
      <c r="A11" s="2" t="s">
        <v>15</v>
      </c>
      <c r="B11" s="1" t="s">
        <v>16</v>
      </c>
    </row>
    <row r="12" spans="1:10" ht="30">
      <c r="A12" s="2" t="s">
        <v>17</v>
      </c>
      <c r="B12" s="1" t="s">
        <v>18</v>
      </c>
    </row>
    <row r="13" spans="1:10" ht="15">
      <c r="A13" s="2" t="s">
        <v>19</v>
      </c>
      <c r="B13" s="1" t="s">
        <v>20</v>
      </c>
    </row>
    <row r="15" spans="1:10" ht="15">
      <c r="A15" s="13" t="s">
        <v>21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ht="15">
      <c r="A16" s="1" t="s">
        <v>22</v>
      </c>
      <c r="B16" s="1" t="s">
        <v>23</v>
      </c>
    </row>
    <row r="17" spans="1:2" ht="15">
      <c r="A17" s="1" t="s">
        <v>24</v>
      </c>
      <c r="B17" s="1" t="s">
        <v>25</v>
      </c>
    </row>
    <row r="18" spans="1:2" ht="15">
      <c r="A18" s="1" t="s">
        <v>26</v>
      </c>
      <c r="B18" s="1" t="s">
        <v>27</v>
      </c>
    </row>
    <row r="19" spans="1:2" ht="15">
      <c r="A19" s="1" t="s">
        <v>28</v>
      </c>
      <c r="B19" s="1" t="s">
        <v>29</v>
      </c>
    </row>
    <row r="20" spans="1:2" ht="15">
      <c r="A20" s="1" t="s">
        <v>30</v>
      </c>
      <c r="B20" s="1" t="s">
        <v>31</v>
      </c>
    </row>
    <row r="21" spans="1:2" ht="15">
      <c r="A21" s="1" t="s">
        <v>32</v>
      </c>
      <c r="B21" s="1" t="s">
        <v>33</v>
      </c>
    </row>
  </sheetData>
  <mergeCells count="3">
    <mergeCell ref="A1:J1"/>
    <mergeCell ref="A2:J2"/>
    <mergeCell ref="A15:J1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8"/>
  <sheetViews>
    <sheetView workbookViewId="0">
      <selection sqref="A1:K1"/>
    </sheetView>
  </sheetViews>
  <sheetFormatPr baseColWidth="10" defaultColWidth="8.83203125" defaultRowHeight="14"/>
  <cols>
    <col min="1" max="1" width="28" customWidth="1"/>
    <col min="2" max="2" width="18" customWidth="1"/>
    <col min="3" max="3" width="32" customWidth="1"/>
    <col min="4" max="4" width="28" customWidth="1"/>
    <col min="5" max="5" width="12" customWidth="1"/>
    <col min="6" max="6" width="45" customWidth="1"/>
    <col min="7" max="7" width="38" customWidth="1"/>
    <col min="8" max="8" width="24" customWidth="1"/>
    <col min="9" max="9" width="38" customWidth="1"/>
    <col min="10" max="10" width="16" customWidth="1"/>
    <col min="11" max="11" width="24" customWidth="1"/>
  </cols>
  <sheetData>
    <row r="1" spans="1:11" ht="42.75" customHeight="1">
      <c r="A1" s="11" t="s">
        <v>34</v>
      </c>
      <c r="B1" s="11"/>
      <c r="C1" s="11"/>
      <c r="D1" s="11"/>
      <c r="E1" s="11"/>
      <c r="F1" s="11"/>
      <c r="G1" s="11"/>
      <c r="H1" s="11"/>
      <c r="I1" s="11"/>
      <c r="J1" s="11"/>
      <c r="K1" s="11"/>
    </row>
    <row r="2" spans="1:11" ht="40" customHeight="1">
      <c r="A2" s="12" t="s">
        <v>35</v>
      </c>
      <c r="B2" s="12"/>
      <c r="C2" s="12"/>
      <c r="D2" s="12"/>
      <c r="E2" s="12"/>
      <c r="F2" s="12"/>
      <c r="G2" s="12"/>
      <c r="H2" s="12"/>
      <c r="I2" s="12"/>
      <c r="J2" s="12"/>
      <c r="K2" s="12"/>
    </row>
    <row r="4" spans="1:11" ht="32">
      <c r="A4" s="3" t="s">
        <v>36</v>
      </c>
      <c r="B4" s="3" t="s">
        <v>37</v>
      </c>
      <c r="C4" s="3" t="s">
        <v>38</v>
      </c>
      <c r="D4" s="3" t="s">
        <v>39</v>
      </c>
      <c r="E4" s="3" t="s">
        <v>40</v>
      </c>
      <c r="F4" s="3" t="s">
        <v>41</v>
      </c>
      <c r="G4" s="3" t="s">
        <v>42</v>
      </c>
      <c r="H4" s="3" t="s">
        <v>43</v>
      </c>
      <c r="I4" s="3" t="s">
        <v>44</v>
      </c>
      <c r="J4" s="3" t="s">
        <v>45</v>
      </c>
      <c r="K4" s="3" t="s">
        <v>46</v>
      </c>
    </row>
    <row r="5" spans="1:11" ht="15">
      <c r="A5" s="1" t="s">
        <v>47</v>
      </c>
      <c r="B5" s="1" t="s">
        <v>48</v>
      </c>
      <c r="C5" s="1" t="s">
        <v>49</v>
      </c>
      <c r="D5" s="1" t="s">
        <v>50</v>
      </c>
      <c r="E5" s="1" t="s">
        <v>51</v>
      </c>
      <c r="F5" s="1" t="s">
        <v>52</v>
      </c>
      <c r="G5" s="1" t="s">
        <v>53</v>
      </c>
      <c r="H5" s="1" t="s">
        <v>54</v>
      </c>
      <c r="I5" s="1" t="s">
        <v>55</v>
      </c>
      <c r="J5" s="1" t="s">
        <v>56</v>
      </c>
      <c r="K5" s="1"/>
    </row>
    <row r="6" spans="1:11" ht="15">
      <c r="A6" s="1" t="s">
        <v>57</v>
      </c>
      <c r="B6" s="1" t="s">
        <v>48</v>
      </c>
      <c r="C6" s="1" t="s">
        <v>58</v>
      </c>
      <c r="D6" s="1" t="s">
        <v>59</v>
      </c>
      <c r="E6" s="1" t="s">
        <v>51</v>
      </c>
      <c r="F6" s="1" t="s">
        <v>60</v>
      </c>
      <c r="G6" s="1" t="s">
        <v>61</v>
      </c>
      <c r="H6" s="1" t="s">
        <v>62</v>
      </c>
      <c r="I6" s="1" t="s">
        <v>63</v>
      </c>
      <c r="J6" s="1" t="s">
        <v>56</v>
      </c>
      <c r="K6" s="1"/>
    </row>
    <row r="7" spans="1:11" ht="15">
      <c r="A7" s="1" t="s">
        <v>64</v>
      </c>
      <c r="B7" s="1" t="s">
        <v>65</v>
      </c>
      <c r="C7" s="1" t="s">
        <v>66</v>
      </c>
      <c r="D7" s="1" t="s">
        <v>67</v>
      </c>
      <c r="E7" s="1" t="s">
        <v>51</v>
      </c>
      <c r="F7" s="1" t="s">
        <v>68</v>
      </c>
      <c r="G7" s="1" t="s">
        <v>69</v>
      </c>
      <c r="H7" s="1" t="s">
        <v>70</v>
      </c>
      <c r="I7" s="1" t="s">
        <v>71</v>
      </c>
      <c r="J7" s="1" t="s">
        <v>56</v>
      </c>
      <c r="K7" s="1"/>
    </row>
    <row r="8" spans="1:11" ht="15">
      <c r="A8" s="1" t="s">
        <v>72</v>
      </c>
      <c r="B8" s="1" t="s">
        <v>65</v>
      </c>
      <c r="C8" s="1" t="s">
        <v>73</v>
      </c>
      <c r="D8" s="1" t="s">
        <v>74</v>
      </c>
      <c r="E8" s="1" t="s">
        <v>51</v>
      </c>
      <c r="F8" s="1" t="s">
        <v>75</v>
      </c>
      <c r="G8" s="1" t="s">
        <v>76</v>
      </c>
      <c r="H8" s="1" t="s">
        <v>70</v>
      </c>
      <c r="I8" s="1" t="s">
        <v>77</v>
      </c>
      <c r="J8" s="1" t="s">
        <v>56</v>
      </c>
      <c r="K8" s="1"/>
    </row>
    <row r="9" spans="1:11" ht="15">
      <c r="A9" s="1" t="s">
        <v>78</v>
      </c>
      <c r="B9" s="1" t="s">
        <v>65</v>
      </c>
      <c r="C9" s="1" t="s">
        <v>79</v>
      </c>
      <c r="D9" s="1" t="s">
        <v>80</v>
      </c>
      <c r="E9" s="1" t="s">
        <v>51</v>
      </c>
      <c r="F9" s="1" t="s">
        <v>81</v>
      </c>
      <c r="G9" s="1" t="s">
        <v>82</v>
      </c>
      <c r="H9" s="1" t="s">
        <v>83</v>
      </c>
      <c r="I9" s="1" t="s">
        <v>84</v>
      </c>
      <c r="J9" s="1" t="s">
        <v>56</v>
      </c>
      <c r="K9" s="1"/>
    </row>
    <row r="10" spans="1:11" ht="15">
      <c r="A10" s="1" t="s">
        <v>85</v>
      </c>
      <c r="B10" s="1" t="s">
        <v>65</v>
      </c>
      <c r="C10" s="1" t="s">
        <v>86</v>
      </c>
      <c r="D10" s="1" t="s">
        <v>87</v>
      </c>
      <c r="E10" s="1" t="s">
        <v>51</v>
      </c>
      <c r="F10" s="1" t="s">
        <v>88</v>
      </c>
      <c r="G10" s="1" t="s">
        <v>89</v>
      </c>
      <c r="H10" s="1" t="s">
        <v>90</v>
      </c>
      <c r="I10" s="1" t="s">
        <v>91</v>
      </c>
      <c r="J10" s="1" t="s">
        <v>56</v>
      </c>
      <c r="K10" s="1"/>
    </row>
    <row r="11" spans="1:11" ht="30">
      <c r="A11" s="1" t="s">
        <v>92</v>
      </c>
      <c r="B11" s="1" t="s">
        <v>93</v>
      </c>
      <c r="C11" s="1" t="s">
        <v>94</v>
      </c>
      <c r="D11" s="1" t="s">
        <v>95</v>
      </c>
      <c r="E11" s="1" t="s">
        <v>51</v>
      </c>
      <c r="F11" s="1" t="s">
        <v>96</v>
      </c>
      <c r="G11" s="1" t="s">
        <v>97</v>
      </c>
      <c r="H11" s="1" t="s">
        <v>98</v>
      </c>
      <c r="I11" s="1" t="s">
        <v>99</v>
      </c>
      <c r="J11" s="1" t="s">
        <v>56</v>
      </c>
      <c r="K11" s="1"/>
    </row>
    <row r="12" spans="1:11" ht="30">
      <c r="A12" s="1" t="s">
        <v>100</v>
      </c>
      <c r="B12" s="1" t="s">
        <v>101</v>
      </c>
      <c r="C12" s="1" t="s">
        <v>102</v>
      </c>
      <c r="D12" s="1" t="s">
        <v>103</v>
      </c>
      <c r="E12" s="1" t="s">
        <v>51</v>
      </c>
      <c r="F12" s="1" t="s">
        <v>104</v>
      </c>
      <c r="G12" s="1" t="s">
        <v>105</v>
      </c>
      <c r="H12" s="1" t="s">
        <v>106</v>
      </c>
      <c r="I12" s="1" t="s">
        <v>107</v>
      </c>
      <c r="J12" s="1" t="s">
        <v>108</v>
      </c>
      <c r="K12" s="1"/>
    </row>
    <row r="13" spans="1:11" ht="30">
      <c r="A13" s="1" t="s">
        <v>109</v>
      </c>
      <c r="B13" s="1" t="s">
        <v>110</v>
      </c>
      <c r="C13" s="1" t="s">
        <v>74</v>
      </c>
      <c r="D13" s="1" t="s">
        <v>111</v>
      </c>
      <c r="E13" s="1" t="s">
        <v>112</v>
      </c>
      <c r="F13" s="1" t="s">
        <v>113</v>
      </c>
      <c r="G13" s="1" t="s">
        <v>114</v>
      </c>
      <c r="H13" s="1" t="s">
        <v>115</v>
      </c>
      <c r="I13" s="1" t="s">
        <v>116</v>
      </c>
      <c r="J13" s="1" t="s">
        <v>108</v>
      </c>
      <c r="K13" s="1"/>
    </row>
    <row r="14" spans="1:11" ht="15">
      <c r="A14" s="1" t="s">
        <v>117</v>
      </c>
      <c r="B14" s="1" t="s">
        <v>118</v>
      </c>
      <c r="C14" s="1" t="s">
        <v>119</v>
      </c>
      <c r="D14" s="1" t="s">
        <v>120</v>
      </c>
      <c r="E14" s="1" t="s">
        <v>51</v>
      </c>
      <c r="F14" s="1" t="s">
        <v>121</v>
      </c>
      <c r="G14" s="1" t="s">
        <v>122</v>
      </c>
      <c r="H14" s="1" t="s">
        <v>123</v>
      </c>
      <c r="I14" s="1" t="s">
        <v>124</v>
      </c>
      <c r="J14" s="1" t="s">
        <v>108</v>
      </c>
      <c r="K14" s="1"/>
    </row>
    <row r="15" spans="1:11" ht="15">
      <c r="A15" s="1" t="s">
        <v>125</v>
      </c>
      <c r="B15" s="1" t="s">
        <v>126</v>
      </c>
      <c r="C15" s="1" t="s">
        <v>127</v>
      </c>
      <c r="D15" s="1" t="s">
        <v>128</v>
      </c>
      <c r="E15" s="1" t="s">
        <v>51</v>
      </c>
      <c r="F15" s="1" t="s">
        <v>129</v>
      </c>
      <c r="G15" s="1" t="s">
        <v>130</v>
      </c>
      <c r="H15" s="1" t="s">
        <v>131</v>
      </c>
      <c r="I15" s="1" t="s">
        <v>132</v>
      </c>
      <c r="J15" s="1" t="s">
        <v>108</v>
      </c>
      <c r="K15" s="1"/>
    </row>
    <row r="16" spans="1:11" ht="15">
      <c r="A16" s="1" t="s">
        <v>133</v>
      </c>
      <c r="B16" s="1" t="s">
        <v>126</v>
      </c>
      <c r="C16" s="1" t="s">
        <v>134</v>
      </c>
      <c r="D16" s="1" t="s">
        <v>135</v>
      </c>
      <c r="E16" s="1" t="s">
        <v>51</v>
      </c>
      <c r="F16" s="1" t="s">
        <v>136</v>
      </c>
      <c r="G16" s="1" t="s">
        <v>137</v>
      </c>
      <c r="H16" s="1" t="s">
        <v>83</v>
      </c>
      <c r="I16" s="1" t="s">
        <v>138</v>
      </c>
      <c r="J16" s="1" t="s">
        <v>108</v>
      </c>
      <c r="K16" s="1"/>
    </row>
    <row r="17" spans="1:11" ht="15">
      <c r="A17" s="1" t="s">
        <v>139</v>
      </c>
      <c r="B17" s="1" t="s">
        <v>126</v>
      </c>
      <c r="C17" s="1" t="s">
        <v>140</v>
      </c>
      <c r="D17" s="1" t="s">
        <v>141</v>
      </c>
      <c r="E17" s="1" t="s">
        <v>51</v>
      </c>
      <c r="F17" s="1" t="s">
        <v>142</v>
      </c>
      <c r="G17" s="1" t="s">
        <v>143</v>
      </c>
      <c r="H17" s="1" t="s">
        <v>131</v>
      </c>
      <c r="I17" s="1" t="s">
        <v>144</v>
      </c>
      <c r="J17" s="1" t="s">
        <v>108</v>
      </c>
      <c r="K17" s="1"/>
    </row>
    <row r="18" spans="1:11" ht="15">
      <c r="A18" s="1" t="s">
        <v>145</v>
      </c>
      <c r="B18" s="1" t="s">
        <v>126</v>
      </c>
      <c r="C18" s="1" t="s">
        <v>146</v>
      </c>
      <c r="D18" s="1" t="s">
        <v>147</v>
      </c>
      <c r="E18" s="1" t="s">
        <v>51</v>
      </c>
      <c r="F18" s="1" t="s">
        <v>148</v>
      </c>
      <c r="G18" s="1" t="s">
        <v>149</v>
      </c>
      <c r="H18" s="1" t="s">
        <v>131</v>
      </c>
      <c r="I18" s="1" t="s">
        <v>150</v>
      </c>
      <c r="J18" s="1" t="s">
        <v>108</v>
      </c>
      <c r="K18" s="1"/>
    </row>
  </sheetData>
  <mergeCells count="2">
    <mergeCell ref="A1:K1"/>
    <mergeCell ref="A2:K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6"/>
  <sheetViews>
    <sheetView workbookViewId="0">
      <selection sqref="A1:J1"/>
    </sheetView>
  </sheetViews>
  <sheetFormatPr baseColWidth="10" defaultColWidth="8.83203125" defaultRowHeight="14"/>
  <cols>
    <col min="1" max="1" width="18" customWidth="1"/>
    <col min="2" max="2" width="34" customWidth="1"/>
    <col min="3" max="3" width="54" customWidth="1"/>
    <col min="4" max="4" width="16" customWidth="1"/>
    <col min="5" max="5" width="20" customWidth="1"/>
    <col min="6" max="6" width="32" customWidth="1"/>
    <col min="7" max="7" width="36" customWidth="1"/>
    <col min="8" max="8" width="38" customWidth="1"/>
    <col min="9" max="9" width="12" customWidth="1"/>
    <col min="10" max="10" width="26" customWidth="1"/>
  </cols>
  <sheetData>
    <row r="1" spans="1:10" ht="42.75" customHeight="1">
      <c r="A1" s="11" t="s">
        <v>151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ht="40" customHeight="1">
      <c r="A2" s="12" t="s">
        <v>152</v>
      </c>
      <c r="B2" s="12"/>
      <c r="C2" s="12"/>
      <c r="D2" s="12"/>
      <c r="E2" s="12"/>
      <c r="F2" s="12"/>
      <c r="G2" s="12"/>
      <c r="H2" s="12"/>
      <c r="I2" s="12"/>
      <c r="J2" s="12"/>
    </row>
    <row r="4" spans="1:10" ht="16">
      <c r="A4" s="3" t="s">
        <v>153</v>
      </c>
      <c r="B4" s="3" t="s">
        <v>154</v>
      </c>
      <c r="C4" s="3" t="s">
        <v>155</v>
      </c>
      <c r="D4" s="3" t="s">
        <v>156</v>
      </c>
      <c r="E4" s="3" t="s">
        <v>157</v>
      </c>
      <c r="F4" s="3" t="s">
        <v>158</v>
      </c>
      <c r="G4" s="3" t="s">
        <v>159</v>
      </c>
      <c r="H4" s="3" t="s">
        <v>160</v>
      </c>
      <c r="I4" s="3" t="s">
        <v>161</v>
      </c>
      <c r="J4" s="3" t="s">
        <v>46</v>
      </c>
    </row>
    <row r="5" spans="1:10" ht="30">
      <c r="A5" s="1" t="s">
        <v>162</v>
      </c>
      <c r="B5" s="1" t="s">
        <v>163</v>
      </c>
      <c r="C5" s="1" t="s">
        <v>164</v>
      </c>
      <c r="D5" s="1" t="s">
        <v>51</v>
      </c>
      <c r="E5" s="1" t="s">
        <v>165</v>
      </c>
      <c r="F5" s="1" t="s">
        <v>166</v>
      </c>
      <c r="G5" s="1" t="s">
        <v>167</v>
      </c>
      <c r="H5" s="1" t="s">
        <v>168</v>
      </c>
      <c r="I5" s="1" t="s">
        <v>51</v>
      </c>
      <c r="J5" s="1"/>
    </row>
    <row r="6" spans="1:10" ht="15">
      <c r="A6" s="1" t="s">
        <v>162</v>
      </c>
      <c r="B6" s="1" t="s">
        <v>169</v>
      </c>
      <c r="C6" s="1" t="s">
        <v>170</v>
      </c>
      <c r="D6" s="1" t="s">
        <v>51</v>
      </c>
      <c r="E6" s="1" t="s">
        <v>171</v>
      </c>
      <c r="F6" s="1" t="s">
        <v>172</v>
      </c>
      <c r="G6" s="1" t="s">
        <v>173</v>
      </c>
      <c r="H6" s="1" t="s">
        <v>174</v>
      </c>
      <c r="I6" s="1" t="s">
        <v>51</v>
      </c>
      <c r="J6" s="1"/>
    </row>
    <row r="7" spans="1:10" ht="15">
      <c r="A7" s="1" t="s">
        <v>175</v>
      </c>
      <c r="B7" s="1" t="s">
        <v>57</v>
      </c>
      <c r="C7" s="1" t="s">
        <v>176</v>
      </c>
      <c r="D7" s="1" t="s">
        <v>177</v>
      </c>
      <c r="E7" s="1" t="s">
        <v>178</v>
      </c>
      <c r="F7" s="1" t="s">
        <v>119</v>
      </c>
      <c r="G7" s="1" t="s">
        <v>179</v>
      </c>
      <c r="H7" s="1" t="s">
        <v>55</v>
      </c>
      <c r="I7" s="1" t="s">
        <v>51</v>
      </c>
      <c r="J7" s="1"/>
    </row>
    <row r="8" spans="1:10" ht="15">
      <c r="A8" s="1" t="s">
        <v>175</v>
      </c>
      <c r="B8" s="1" t="s">
        <v>180</v>
      </c>
      <c r="C8" s="1" t="s">
        <v>181</v>
      </c>
      <c r="D8" s="1" t="s">
        <v>177</v>
      </c>
      <c r="E8" s="1" t="s">
        <v>178</v>
      </c>
      <c r="F8" s="1" t="s">
        <v>166</v>
      </c>
      <c r="G8" s="1" t="s">
        <v>182</v>
      </c>
      <c r="H8" s="1" t="s">
        <v>55</v>
      </c>
      <c r="I8" s="1" t="s">
        <v>51</v>
      </c>
      <c r="J8" s="1"/>
    </row>
    <row r="9" spans="1:10" ht="15">
      <c r="A9" s="1" t="s">
        <v>175</v>
      </c>
      <c r="B9" s="1" t="s">
        <v>105</v>
      </c>
      <c r="C9" s="1" t="s">
        <v>183</v>
      </c>
      <c r="D9" s="1" t="s">
        <v>177</v>
      </c>
      <c r="E9" s="1" t="s">
        <v>178</v>
      </c>
      <c r="F9" s="1" t="s">
        <v>166</v>
      </c>
      <c r="G9" s="1" t="s">
        <v>184</v>
      </c>
      <c r="H9" s="1" t="s">
        <v>185</v>
      </c>
      <c r="I9" s="1" t="s">
        <v>51</v>
      </c>
      <c r="J9" s="1"/>
    </row>
    <row r="10" spans="1:10" ht="30">
      <c r="A10" s="1" t="s">
        <v>186</v>
      </c>
      <c r="B10" s="1" t="s">
        <v>128</v>
      </c>
      <c r="C10" s="1" t="s">
        <v>187</v>
      </c>
      <c r="D10" s="1" t="s">
        <v>188</v>
      </c>
      <c r="E10" s="1" t="s">
        <v>178</v>
      </c>
      <c r="F10" s="1" t="s">
        <v>189</v>
      </c>
      <c r="G10" s="1" t="s">
        <v>190</v>
      </c>
      <c r="H10" s="1" t="s">
        <v>191</v>
      </c>
      <c r="I10" s="1" t="s">
        <v>51</v>
      </c>
      <c r="J10" s="1"/>
    </row>
    <row r="11" spans="1:10" ht="15">
      <c r="A11" s="1" t="s">
        <v>186</v>
      </c>
      <c r="B11" s="1" t="s">
        <v>192</v>
      </c>
      <c r="C11" s="1" t="s">
        <v>193</v>
      </c>
      <c r="D11" s="1" t="s">
        <v>194</v>
      </c>
      <c r="E11" s="1" t="s">
        <v>178</v>
      </c>
      <c r="F11" s="1" t="s">
        <v>195</v>
      </c>
      <c r="G11" s="1" t="s">
        <v>196</v>
      </c>
      <c r="H11" s="1" t="s">
        <v>197</v>
      </c>
      <c r="I11" s="1" t="s">
        <v>51</v>
      </c>
      <c r="J11" s="1"/>
    </row>
    <row r="12" spans="1:10" ht="15">
      <c r="A12" s="1" t="s">
        <v>186</v>
      </c>
      <c r="B12" s="1" t="s">
        <v>198</v>
      </c>
      <c r="C12" s="1" t="s">
        <v>199</v>
      </c>
      <c r="D12" s="1" t="s">
        <v>194</v>
      </c>
      <c r="E12" s="1" t="s">
        <v>178</v>
      </c>
      <c r="F12" s="1" t="s">
        <v>195</v>
      </c>
      <c r="G12" s="1" t="s">
        <v>200</v>
      </c>
      <c r="H12" s="1" t="s">
        <v>197</v>
      </c>
      <c r="I12" s="1" t="s">
        <v>51</v>
      </c>
      <c r="J12" s="1"/>
    </row>
    <row r="13" spans="1:10" ht="15">
      <c r="A13" s="1" t="s">
        <v>201</v>
      </c>
      <c r="B13" s="1" t="s">
        <v>133</v>
      </c>
      <c r="C13" s="1" t="s">
        <v>202</v>
      </c>
      <c r="D13" s="1" t="s">
        <v>194</v>
      </c>
      <c r="E13" s="1" t="s">
        <v>203</v>
      </c>
      <c r="F13" s="1" t="s">
        <v>204</v>
      </c>
      <c r="G13" s="1" t="s">
        <v>205</v>
      </c>
      <c r="H13" s="1" t="s">
        <v>206</v>
      </c>
      <c r="I13" s="1" t="s">
        <v>51</v>
      </c>
      <c r="J13" s="1"/>
    </row>
    <row r="14" spans="1:10" ht="15">
      <c r="A14" s="1" t="s">
        <v>207</v>
      </c>
      <c r="B14" s="1" t="s">
        <v>208</v>
      </c>
      <c r="C14" s="1" t="s">
        <v>209</v>
      </c>
      <c r="D14" s="1" t="s">
        <v>194</v>
      </c>
      <c r="E14" s="1" t="s">
        <v>210</v>
      </c>
      <c r="F14" s="1" t="s">
        <v>211</v>
      </c>
      <c r="G14" s="1" t="s">
        <v>212</v>
      </c>
      <c r="H14" s="1" t="s">
        <v>213</v>
      </c>
      <c r="I14" s="1" t="s">
        <v>51</v>
      </c>
      <c r="J14" s="1"/>
    </row>
    <row r="15" spans="1:10" ht="30">
      <c r="A15" s="1" t="s">
        <v>149</v>
      </c>
      <c r="B15" s="1" t="s">
        <v>145</v>
      </c>
      <c r="C15" s="1" t="s">
        <v>214</v>
      </c>
      <c r="D15" s="1" t="s">
        <v>194</v>
      </c>
      <c r="E15" s="1" t="s">
        <v>215</v>
      </c>
      <c r="F15" s="1" t="s">
        <v>216</v>
      </c>
      <c r="G15" s="1" t="s">
        <v>217</v>
      </c>
      <c r="H15" s="1" t="s">
        <v>218</v>
      </c>
      <c r="I15" s="1" t="s">
        <v>51</v>
      </c>
      <c r="J15" s="1"/>
    </row>
    <row r="16" spans="1:10" ht="15">
      <c r="A16" s="1" t="s">
        <v>219</v>
      </c>
      <c r="B16" s="1" t="s">
        <v>220</v>
      </c>
      <c r="C16" s="1" t="s">
        <v>221</v>
      </c>
      <c r="D16" s="1" t="s">
        <v>194</v>
      </c>
      <c r="E16" s="1" t="s">
        <v>222</v>
      </c>
      <c r="F16" s="1" t="s">
        <v>223</v>
      </c>
      <c r="G16" s="1" t="s">
        <v>224</v>
      </c>
      <c r="H16" s="1" t="s">
        <v>225</v>
      </c>
      <c r="I16" s="1" t="s">
        <v>51</v>
      </c>
      <c r="J16" s="1"/>
    </row>
  </sheetData>
  <mergeCells count="2">
    <mergeCell ref="A1:J1"/>
    <mergeCell ref="A2:J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23"/>
  <sheetViews>
    <sheetView tabSelected="1" workbookViewId="0">
      <selection sqref="A1:L1"/>
    </sheetView>
  </sheetViews>
  <sheetFormatPr baseColWidth="10" defaultColWidth="8.83203125" defaultRowHeight="14"/>
  <cols>
    <col min="1" max="1" width="20" customWidth="1"/>
    <col min="2" max="2" width="42" customWidth="1"/>
    <col min="3" max="3" width="34" customWidth="1"/>
    <col min="4" max="4" width="16" customWidth="1"/>
    <col min="5" max="5" width="19" customWidth="1"/>
    <col min="6" max="6" width="25" customWidth="1"/>
    <col min="7" max="7" width="35" customWidth="1"/>
    <col min="8" max="8" width="34" customWidth="1"/>
    <col min="9" max="9" width="28" customWidth="1"/>
    <col min="10" max="10" width="16" customWidth="1"/>
    <col min="11" max="11" width="14" customWidth="1"/>
    <col min="12" max="12" width="24" customWidth="1"/>
  </cols>
  <sheetData>
    <row r="1" spans="1:12" ht="42.75" customHeight="1">
      <c r="A1" s="11" t="s">
        <v>226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</row>
    <row r="2" spans="1:12" ht="40" customHeight="1">
      <c r="A2" s="12" t="s">
        <v>227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</row>
    <row r="4" spans="1:12" ht="16">
      <c r="A4" s="3" t="s">
        <v>228</v>
      </c>
      <c r="B4" s="3" t="s">
        <v>229</v>
      </c>
      <c r="C4" s="3" t="s">
        <v>230</v>
      </c>
      <c r="D4" s="3" t="s">
        <v>231</v>
      </c>
      <c r="E4" s="3" t="s">
        <v>232</v>
      </c>
      <c r="F4" s="3" t="s">
        <v>233</v>
      </c>
      <c r="G4" s="3" t="s">
        <v>234</v>
      </c>
      <c r="H4" s="3" t="s">
        <v>235</v>
      </c>
      <c r="I4" s="3" t="s">
        <v>236</v>
      </c>
      <c r="J4" s="3" t="s">
        <v>237</v>
      </c>
      <c r="K4" s="3" t="s">
        <v>238</v>
      </c>
      <c r="L4" s="3" t="s">
        <v>46</v>
      </c>
    </row>
    <row r="5" spans="1:12" ht="30">
      <c r="A5" s="1" t="s">
        <v>239</v>
      </c>
      <c r="B5" s="1" t="s">
        <v>240</v>
      </c>
      <c r="C5" s="1" t="s">
        <v>241</v>
      </c>
      <c r="D5" s="1" t="s">
        <v>51</v>
      </c>
      <c r="E5" s="1" t="s">
        <v>242</v>
      </c>
      <c r="F5" s="1" t="s">
        <v>243</v>
      </c>
      <c r="G5" s="1" t="s">
        <v>244</v>
      </c>
      <c r="H5" s="1" t="s">
        <v>55</v>
      </c>
      <c r="I5" s="1" t="s">
        <v>245</v>
      </c>
      <c r="J5" s="1" t="s">
        <v>194</v>
      </c>
      <c r="K5" s="1" t="s">
        <v>246</v>
      </c>
      <c r="L5" s="1"/>
    </row>
    <row r="6" spans="1:12" ht="15">
      <c r="A6" s="1" t="s">
        <v>239</v>
      </c>
      <c r="B6" s="1" t="s">
        <v>247</v>
      </c>
      <c r="C6" s="1" t="s">
        <v>248</v>
      </c>
      <c r="D6" s="1" t="s">
        <v>51</v>
      </c>
      <c r="E6" s="1" t="s">
        <v>249</v>
      </c>
      <c r="F6" s="1" t="s">
        <v>250</v>
      </c>
      <c r="G6" s="1" t="s">
        <v>251</v>
      </c>
      <c r="H6" s="1" t="s">
        <v>252</v>
      </c>
      <c r="I6" s="1" t="s">
        <v>253</v>
      </c>
      <c r="J6" s="1" t="s">
        <v>194</v>
      </c>
      <c r="K6" s="1" t="s">
        <v>246</v>
      </c>
      <c r="L6" s="1"/>
    </row>
    <row r="7" spans="1:12" ht="15">
      <c r="A7" s="1" t="s">
        <v>239</v>
      </c>
      <c r="B7" s="1" t="s">
        <v>254</v>
      </c>
      <c r="C7" s="1" t="s">
        <v>255</v>
      </c>
      <c r="D7" s="1" t="s">
        <v>51</v>
      </c>
      <c r="E7" s="1" t="s">
        <v>256</v>
      </c>
      <c r="F7" s="1" t="s">
        <v>257</v>
      </c>
      <c r="G7" s="1" t="s">
        <v>258</v>
      </c>
      <c r="H7" s="1" t="s">
        <v>259</v>
      </c>
      <c r="I7" s="1" t="s">
        <v>260</v>
      </c>
      <c r="J7" s="1" t="s">
        <v>51</v>
      </c>
      <c r="K7" s="1" t="s">
        <v>246</v>
      </c>
      <c r="L7" s="1"/>
    </row>
    <row r="8" spans="1:12" ht="15">
      <c r="A8" s="1" t="s">
        <v>239</v>
      </c>
      <c r="B8" s="1" t="s">
        <v>261</v>
      </c>
      <c r="C8" s="1" t="s">
        <v>119</v>
      </c>
      <c r="D8" s="1" t="s">
        <v>51</v>
      </c>
      <c r="E8" s="1" t="s">
        <v>262</v>
      </c>
      <c r="F8" s="1" t="s">
        <v>263</v>
      </c>
      <c r="G8" s="1" t="s">
        <v>264</v>
      </c>
      <c r="H8" s="1" t="s">
        <v>55</v>
      </c>
      <c r="I8" s="1" t="s">
        <v>265</v>
      </c>
      <c r="J8" s="1" t="s">
        <v>194</v>
      </c>
      <c r="K8" s="1" t="s">
        <v>246</v>
      </c>
      <c r="L8" s="1"/>
    </row>
    <row r="9" spans="1:12" ht="15">
      <c r="A9" s="1" t="s">
        <v>239</v>
      </c>
      <c r="B9" s="1" t="s">
        <v>266</v>
      </c>
      <c r="C9" s="1" t="s">
        <v>267</v>
      </c>
      <c r="D9" s="1" t="s">
        <v>194</v>
      </c>
      <c r="E9" s="1" t="s">
        <v>268</v>
      </c>
      <c r="F9" s="1" t="s">
        <v>269</v>
      </c>
      <c r="G9" s="1" t="s">
        <v>270</v>
      </c>
      <c r="H9" s="1" t="s">
        <v>271</v>
      </c>
      <c r="I9" s="1" t="s">
        <v>272</v>
      </c>
      <c r="J9" s="1" t="s">
        <v>51</v>
      </c>
      <c r="K9" s="1" t="s">
        <v>246</v>
      </c>
      <c r="L9" s="1"/>
    </row>
    <row r="10" spans="1:12" ht="15">
      <c r="A10" s="1" t="s">
        <v>273</v>
      </c>
      <c r="B10" s="1" t="s">
        <v>274</v>
      </c>
      <c r="C10" s="1" t="s">
        <v>275</v>
      </c>
      <c r="D10" s="1" t="s">
        <v>276</v>
      </c>
      <c r="E10" s="1" t="s">
        <v>277</v>
      </c>
      <c r="F10" s="1" t="s">
        <v>250</v>
      </c>
      <c r="G10" s="1" t="s">
        <v>278</v>
      </c>
      <c r="H10" s="1" t="s">
        <v>279</v>
      </c>
      <c r="I10" s="1" t="s">
        <v>280</v>
      </c>
      <c r="J10" s="1" t="s">
        <v>51</v>
      </c>
      <c r="K10" s="1" t="s">
        <v>246</v>
      </c>
      <c r="L10" s="1"/>
    </row>
    <row r="11" spans="1:12" ht="15">
      <c r="A11" s="1" t="s">
        <v>273</v>
      </c>
      <c r="B11" s="1" t="s">
        <v>72</v>
      </c>
      <c r="C11" s="1" t="s">
        <v>281</v>
      </c>
      <c r="D11" s="1" t="s">
        <v>276</v>
      </c>
      <c r="E11" s="1" t="s">
        <v>277</v>
      </c>
      <c r="F11" s="1" t="s">
        <v>250</v>
      </c>
      <c r="G11" s="1" t="s">
        <v>282</v>
      </c>
      <c r="H11" s="1" t="s">
        <v>283</v>
      </c>
      <c r="I11" s="1" t="s">
        <v>280</v>
      </c>
      <c r="J11" s="1" t="s">
        <v>51</v>
      </c>
      <c r="K11" s="1" t="s">
        <v>246</v>
      </c>
      <c r="L11" s="1"/>
    </row>
    <row r="12" spans="1:12" ht="15">
      <c r="A12" s="1" t="s">
        <v>273</v>
      </c>
      <c r="B12" s="1" t="s">
        <v>284</v>
      </c>
      <c r="C12" s="1" t="s">
        <v>285</v>
      </c>
      <c r="D12" s="1" t="s">
        <v>286</v>
      </c>
      <c r="E12" s="1" t="s">
        <v>256</v>
      </c>
      <c r="F12" s="1" t="s">
        <v>287</v>
      </c>
      <c r="G12" s="1" t="s">
        <v>288</v>
      </c>
      <c r="H12" s="1" t="s">
        <v>289</v>
      </c>
      <c r="I12" s="1" t="s">
        <v>280</v>
      </c>
      <c r="J12" s="1" t="s">
        <v>51</v>
      </c>
      <c r="K12" s="1" t="s">
        <v>246</v>
      </c>
      <c r="L12" s="1"/>
    </row>
    <row r="13" spans="1:12" ht="15">
      <c r="A13" s="1" t="s">
        <v>273</v>
      </c>
      <c r="B13" s="1" t="s">
        <v>290</v>
      </c>
      <c r="C13" s="1" t="s">
        <v>291</v>
      </c>
      <c r="D13" s="1" t="s">
        <v>194</v>
      </c>
      <c r="E13" s="1" t="s">
        <v>242</v>
      </c>
      <c r="F13" s="1" t="s">
        <v>292</v>
      </c>
      <c r="G13" s="1" t="s">
        <v>293</v>
      </c>
      <c r="H13" s="1" t="s">
        <v>55</v>
      </c>
      <c r="I13" s="1" t="s">
        <v>280</v>
      </c>
      <c r="J13" s="1" t="s">
        <v>194</v>
      </c>
      <c r="K13" s="1" t="s">
        <v>246</v>
      </c>
      <c r="L13" s="1"/>
    </row>
    <row r="14" spans="1:12" ht="15">
      <c r="A14" s="1" t="s">
        <v>273</v>
      </c>
      <c r="B14" s="1" t="s">
        <v>294</v>
      </c>
      <c r="C14" s="1" t="s">
        <v>295</v>
      </c>
      <c r="D14" s="1" t="s">
        <v>276</v>
      </c>
      <c r="E14" s="1" t="s">
        <v>256</v>
      </c>
      <c r="F14" s="1" t="s">
        <v>296</v>
      </c>
      <c r="G14" s="1" t="s">
        <v>297</v>
      </c>
      <c r="H14" s="1" t="s">
        <v>298</v>
      </c>
      <c r="I14" s="1" t="s">
        <v>105</v>
      </c>
      <c r="J14" s="1" t="s">
        <v>51</v>
      </c>
      <c r="K14" s="1" t="s">
        <v>246</v>
      </c>
      <c r="L14" s="1"/>
    </row>
    <row r="15" spans="1:12" ht="15">
      <c r="A15" s="1" t="s">
        <v>273</v>
      </c>
      <c r="B15" s="1" t="s">
        <v>299</v>
      </c>
      <c r="C15" s="1" t="s">
        <v>300</v>
      </c>
      <c r="D15" s="1" t="s">
        <v>194</v>
      </c>
      <c r="E15" s="1" t="s">
        <v>242</v>
      </c>
      <c r="F15" s="1" t="s">
        <v>292</v>
      </c>
      <c r="G15" s="1" t="s">
        <v>293</v>
      </c>
      <c r="H15" s="1" t="s">
        <v>301</v>
      </c>
      <c r="I15" s="1" t="s">
        <v>105</v>
      </c>
      <c r="J15" s="1" t="s">
        <v>194</v>
      </c>
      <c r="K15" s="1" t="s">
        <v>246</v>
      </c>
      <c r="L15" s="1"/>
    </row>
    <row r="16" spans="1:12" ht="15">
      <c r="A16" s="1" t="s">
        <v>302</v>
      </c>
      <c r="B16" s="1" t="s">
        <v>92</v>
      </c>
      <c r="C16" s="1" t="s">
        <v>303</v>
      </c>
      <c r="D16" s="1" t="s">
        <v>276</v>
      </c>
      <c r="E16" s="1" t="s">
        <v>304</v>
      </c>
      <c r="F16" s="1" t="s">
        <v>305</v>
      </c>
      <c r="G16" s="1" t="s">
        <v>306</v>
      </c>
      <c r="H16" s="1" t="s">
        <v>307</v>
      </c>
      <c r="I16" s="1" t="s">
        <v>95</v>
      </c>
      <c r="J16" s="1" t="s">
        <v>51</v>
      </c>
      <c r="K16" s="1" t="s">
        <v>246</v>
      </c>
      <c r="L16" s="1"/>
    </row>
    <row r="17" spans="1:12" ht="15">
      <c r="A17" s="1" t="s">
        <v>302</v>
      </c>
      <c r="B17" s="1" t="s">
        <v>308</v>
      </c>
      <c r="C17" s="1" t="s">
        <v>309</v>
      </c>
      <c r="D17" s="1" t="s">
        <v>194</v>
      </c>
      <c r="E17" s="1" t="s">
        <v>242</v>
      </c>
      <c r="F17" s="1" t="s">
        <v>243</v>
      </c>
      <c r="G17" s="1" t="s">
        <v>293</v>
      </c>
      <c r="H17" s="1" t="s">
        <v>310</v>
      </c>
      <c r="I17" s="1" t="s">
        <v>95</v>
      </c>
      <c r="J17" s="1" t="s">
        <v>194</v>
      </c>
      <c r="K17" s="1" t="s">
        <v>311</v>
      </c>
      <c r="L17" s="1"/>
    </row>
    <row r="18" spans="1:12" ht="15">
      <c r="A18" s="1" t="s">
        <v>302</v>
      </c>
      <c r="B18" s="1" t="s">
        <v>312</v>
      </c>
      <c r="C18" s="1" t="s">
        <v>313</v>
      </c>
      <c r="D18" s="1" t="s">
        <v>194</v>
      </c>
      <c r="E18" s="1" t="s">
        <v>242</v>
      </c>
      <c r="F18" s="1" t="s">
        <v>243</v>
      </c>
      <c r="G18" s="1" t="s">
        <v>314</v>
      </c>
      <c r="H18" s="1" t="s">
        <v>310</v>
      </c>
      <c r="I18" s="1" t="s">
        <v>95</v>
      </c>
      <c r="J18" s="1" t="s">
        <v>51</v>
      </c>
      <c r="K18" s="1" t="s">
        <v>311</v>
      </c>
      <c r="L18" s="1"/>
    </row>
    <row r="19" spans="1:12" ht="15">
      <c r="A19" s="1" t="s">
        <v>315</v>
      </c>
      <c r="B19" s="1" t="s">
        <v>316</v>
      </c>
      <c r="C19" s="1" t="s">
        <v>317</v>
      </c>
      <c r="D19" s="1" t="s">
        <v>194</v>
      </c>
      <c r="E19" s="1" t="s">
        <v>256</v>
      </c>
      <c r="F19" s="1" t="s">
        <v>318</v>
      </c>
      <c r="G19" s="1" t="s">
        <v>319</v>
      </c>
      <c r="H19" s="1" t="s">
        <v>320</v>
      </c>
      <c r="I19" s="1" t="s">
        <v>321</v>
      </c>
      <c r="J19" s="1" t="s">
        <v>51</v>
      </c>
      <c r="K19" s="1" t="s">
        <v>246</v>
      </c>
      <c r="L19" s="1"/>
    </row>
    <row r="20" spans="1:12" ht="15">
      <c r="A20" s="1" t="s">
        <v>315</v>
      </c>
      <c r="B20" s="1" t="s">
        <v>322</v>
      </c>
      <c r="C20" s="1" t="s">
        <v>317</v>
      </c>
      <c r="D20" s="1" t="s">
        <v>194</v>
      </c>
      <c r="E20" s="1" t="s">
        <v>256</v>
      </c>
      <c r="F20" s="1" t="s">
        <v>318</v>
      </c>
      <c r="G20" s="1" t="s">
        <v>323</v>
      </c>
      <c r="H20" s="1" t="s">
        <v>324</v>
      </c>
      <c r="I20" s="1" t="s">
        <v>321</v>
      </c>
      <c r="J20" s="1" t="s">
        <v>51</v>
      </c>
      <c r="K20" s="1" t="s">
        <v>246</v>
      </c>
      <c r="L20" s="1"/>
    </row>
    <row r="21" spans="1:12" ht="15">
      <c r="A21" s="1" t="s">
        <v>315</v>
      </c>
      <c r="B21" s="1" t="s">
        <v>325</v>
      </c>
      <c r="C21" s="1" t="s">
        <v>317</v>
      </c>
      <c r="D21" s="1" t="s">
        <v>194</v>
      </c>
      <c r="E21" s="1" t="s">
        <v>256</v>
      </c>
      <c r="F21" s="1" t="s">
        <v>318</v>
      </c>
      <c r="G21" s="1" t="s">
        <v>326</v>
      </c>
      <c r="H21" s="1" t="s">
        <v>252</v>
      </c>
      <c r="I21" s="1" t="s">
        <v>321</v>
      </c>
      <c r="J21" s="1" t="s">
        <v>51</v>
      </c>
      <c r="K21" s="1" t="s">
        <v>246</v>
      </c>
      <c r="L21" s="1"/>
    </row>
    <row r="22" spans="1:12" ht="15">
      <c r="A22" s="1" t="s">
        <v>315</v>
      </c>
      <c r="B22" s="1" t="s">
        <v>327</v>
      </c>
      <c r="C22" s="1" t="s">
        <v>328</v>
      </c>
      <c r="D22" s="1" t="s">
        <v>194</v>
      </c>
      <c r="E22" s="1" t="s">
        <v>256</v>
      </c>
      <c r="F22" s="1" t="s">
        <v>318</v>
      </c>
      <c r="G22" s="1" t="s">
        <v>329</v>
      </c>
      <c r="H22" s="1" t="s">
        <v>252</v>
      </c>
      <c r="I22" s="1" t="s">
        <v>321</v>
      </c>
      <c r="J22" s="1" t="s">
        <v>51</v>
      </c>
      <c r="K22" s="1" t="s">
        <v>246</v>
      </c>
      <c r="L22" s="1"/>
    </row>
    <row r="23" spans="1:12" ht="15">
      <c r="A23" s="1" t="s">
        <v>330</v>
      </c>
      <c r="B23" s="1" t="s">
        <v>331</v>
      </c>
      <c r="C23" s="1" t="s">
        <v>332</v>
      </c>
      <c r="D23" s="1" t="s">
        <v>194</v>
      </c>
      <c r="E23" s="1" t="s">
        <v>242</v>
      </c>
      <c r="F23" s="1" t="s">
        <v>333</v>
      </c>
      <c r="G23" s="1" t="s">
        <v>270</v>
      </c>
      <c r="H23" s="1" t="s">
        <v>55</v>
      </c>
      <c r="I23" s="1" t="s">
        <v>334</v>
      </c>
      <c r="J23" s="1" t="s">
        <v>194</v>
      </c>
      <c r="K23" s="1" t="s">
        <v>246</v>
      </c>
      <c r="L23" s="1"/>
    </row>
  </sheetData>
  <mergeCells count="2">
    <mergeCell ref="A1:L1"/>
    <mergeCell ref="A2:L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18"/>
  <sheetViews>
    <sheetView workbookViewId="0"/>
  </sheetViews>
  <sheetFormatPr baseColWidth="10" defaultColWidth="8.83203125" defaultRowHeight="14"/>
  <cols>
    <col min="1" max="1" width="28" customWidth="1"/>
    <col min="2" max="2" width="18" customWidth="1"/>
    <col min="3" max="3" width="52" customWidth="1"/>
    <col min="4" max="4" width="34" customWidth="1"/>
    <col min="5" max="5" width="35" customWidth="1"/>
    <col min="6" max="8" width="20" customWidth="1"/>
    <col min="9" max="9" width="40" customWidth="1"/>
    <col min="10" max="10" width="24" customWidth="1"/>
    <col min="11" max="11" width="45" customWidth="1"/>
    <col min="12" max="12" width="18" customWidth="1"/>
    <col min="13" max="13" width="30" customWidth="1"/>
  </cols>
  <sheetData>
    <row r="1" spans="1:13" ht="42.75" customHeight="1">
      <c r="A1" s="11" t="s">
        <v>335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spans="1:13" ht="40" customHeight="1">
      <c r="A2" s="12" t="s">
        <v>336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</row>
    <row r="4" spans="1:13" ht="16">
      <c r="A4" s="3" t="s">
        <v>337</v>
      </c>
      <c r="B4" s="3" t="s">
        <v>156</v>
      </c>
      <c r="C4" s="3" t="s">
        <v>338</v>
      </c>
      <c r="D4" s="3" t="s">
        <v>339</v>
      </c>
      <c r="E4" s="3" t="s">
        <v>340</v>
      </c>
      <c r="F4" s="3" t="s">
        <v>246</v>
      </c>
      <c r="G4" s="3" t="s">
        <v>341</v>
      </c>
      <c r="H4" s="3" t="s">
        <v>342</v>
      </c>
      <c r="I4" s="3" t="s">
        <v>343</v>
      </c>
      <c r="J4" s="3" t="s">
        <v>344</v>
      </c>
      <c r="K4" s="3" t="s">
        <v>345</v>
      </c>
      <c r="L4" s="3" t="s">
        <v>346</v>
      </c>
      <c r="M4" s="3" t="s">
        <v>347</v>
      </c>
    </row>
    <row r="5" spans="1:13" ht="15">
      <c r="A5" s="1" t="s">
        <v>348</v>
      </c>
      <c r="B5" s="1" t="s">
        <v>349</v>
      </c>
      <c r="C5" s="1" t="s">
        <v>350</v>
      </c>
      <c r="D5" s="1" t="s">
        <v>351</v>
      </c>
      <c r="E5" s="1" t="s">
        <v>55</v>
      </c>
      <c r="F5" s="1" t="s">
        <v>352</v>
      </c>
      <c r="G5" s="1" t="s">
        <v>352</v>
      </c>
      <c r="H5" s="1" t="s">
        <v>352</v>
      </c>
      <c r="I5" s="1" t="s">
        <v>353</v>
      </c>
      <c r="J5" s="1" t="s">
        <v>354</v>
      </c>
      <c r="K5" s="1" t="s">
        <v>355</v>
      </c>
      <c r="L5" s="1" t="s">
        <v>194</v>
      </c>
      <c r="M5" s="1" t="s">
        <v>356</v>
      </c>
    </row>
    <row r="6" spans="1:13" ht="15">
      <c r="A6" s="1" t="s">
        <v>59</v>
      </c>
      <c r="B6" s="1" t="s">
        <v>357</v>
      </c>
      <c r="C6" s="1" t="s">
        <v>358</v>
      </c>
      <c r="D6" s="1" t="s">
        <v>359</v>
      </c>
      <c r="E6" s="1" t="s">
        <v>360</v>
      </c>
      <c r="F6" s="1" t="s">
        <v>361</v>
      </c>
      <c r="G6" s="1" t="s">
        <v>361</v>
      </c>
      <c r="H6" s="1" t="s">
        <v>361</v>
      </c>
      <c r="I6" s="1" t="s">
        <v>362</v>
      </c>
      <c r="J6" s="1" t="s">
        <v>354</v>
      </c>
      <c r="K6" s="1" t="s">
        <v>363</v>
      </c>
      <c r="L6" s="1" t="s">
        <v>194</v>
      </c>
      <c r="M6" s="1" t="s">
        <v>364</v>
      </c>
    </row>
    <row r="7" spans="1:13" ht="15">
      <c r="A7" s="1" t="s">
        <v>274</v>
      </c>
      <c r="B7" s="1" t="s">
        <v>51</v>
      </c>
      <c r="C7" s="1" t="s">
        <v>365</v>
      </c>
      <c r="D7" s="1" t="s">
        <v>366</v>
      </c>
      <c r="E7" s="1" t="s">
        <v>367</v>
      </c>
      <c r="F7" s="1" t="s">
        <v>368</v>
      </c>
      <c r="G7" s="1" t="s">
        <v>369</v>
      </c>
      <c r="H7" s="1" t="s">
        <v>370</v>
      </c>
      <c r="I7" s="1" t="s">
        <v>371</v>
      </c>
      <c r="J7" s="1" t="s">
        <v>354</v>
      </c>
      <c r="K7" s="1" t="s">
        <v>372</v>
      </c>
      <c r="L7" s="1" t="s">
        <v>194</v>
      </c>
      <c r="M7" s="1" t="s">
        <v>373</v>
      </c>
    </row>
    <row r="8" spans="1:13" ht="15">
      <c r="A8" s="1" t="s">
        <v>72</v>
      </c>
      <c r="B8" s="1" t="s">
        <v>51</v>
      </c>
      <c r="C8" s="1" t="s">
        <v>374</v>
      </c>
      <c r="D8" s="1" t="s">
        <v>375</v>
      </c>
      <c r="E8" s="1" t="s">
        <v>283</v>
      </c>
      <c r="F8" s="1" t="s">
        <v>376</v>
      </c>
      <c r="G8" s="1" t="s">
        <v>369</v>
      </c>
      <c r="H8" s="1" t="s">
        <v>377</v>
      </c>
      <c r="I8" s="1" t="s">
        <v>378</v>
      </c>
      <c r="J8" s="1" t="s">
        <v>354</v>
      </c>
      <c r="K8" s="1" t="s">
        <v>379</v>
      </c>
      <c r="L8" s="1" t="s">
        <v>194</v>
      </c>
      <c r="M8" s="1" t="s">
        <v>380</v>
      </c>
    </row>
    <row r="9" spans="1:13" ht="15">
      <c r="A9" s="1" t="s">
        <v>381</v>
      </c>
      <c r="B9" s="1" t="s">
        <v>382</v>
      </c>
      <c r="C9" s="1" t="s">
        <v>383</v>
      </c>
      <c r="D9" s="1" t="s">
        <v>384</v>
      </c>
      <c r="E9" s="1" t="s">
        <v>385</v>
      </c>
      <c r="F9" s="1" t="s">
        <v>376</v>
      </c>
      <c r="G9" s="1" t="s">
        <v>369</v>
      </c>
      <c r="H9" s="1" t="s">
        <v>377</v>
      </c>
      <c r="I9" s="1" t="s">
        <v>386</v>
      </c>
      <c r="J9" s="1" t="s">
        <v>354</v>
      </c>
      <c r="K9" s="1" t="s">
        <v>387</v>
      </c>
      <c r="L9" s="1" t="s">
        <v>194</v>
      </c>
      <c r="M9" s="1" t="s">
        <v>388</v>
      </c>
    </row>
    <row r="10" spans="1:13" ht="15">
      <c r="A10" s="1" t="s">
        <v>389</v>
      </c>
      <c r="B10" s="1" t="s">
        <v>51</v>
      </c>
      <c r="C10" s="1" t="s">
        <v>390</v>
      </c>
      <c r="D10" s="1" t="s">
        <v>252</v>
      </c>
      <c r="E10" s="1" t="s">
        <v>391</v>
      </c>
      <c r="F10" s="1" t="s">
        <v>369</v>
      </c>
      <c r="G10" s="1" t="s">
        <v>369</v>
      </c>
      <c r="H10" s="1" t="s">
        <v>369</v>
      </c>
      <c r="I10" s="1" t="s">
        <v>392</v>
      </c>
      <c r="J10" s="1" t="s">
        <v>354</v>
      </c>
      <c r="K10" s="1" t="s">
        <v>393</v>
      </c>
      <c r="L10" s="1" t="s">
        <v>194</v>
      </c>
      <c r="M10" s="1" t="s">
        <v>55</v>
      </c>
    </row>
    <row r="11" spans="1:13" ht="30">
      <c r="A11" s="1" t="s">
        <v>294</v>
      </c>
      <c r="B11" s="1" t="s">
        <v>394</v>
      </c>
      <c r="C11" s="1" t="s">
        <v>395</v>
      </c>
      <c r="D11" s="1" t="s">
        <v>396</v>
      </c>
      <c r="E11" s="1" t="s">
        <v>397</v>
      </c>
      <c r="F11" s="1" t="s">
        <v>398</v>
      </c>
      <c r="G11" s="1" t="s">
        <v>399</v>
      </c>
      <c r="H11" s="1" t="s">
        <v>400</v>
      </c>
      <c r="I11" s="1" t="s">
        <v>401</v>
      </c>
      <c r="J11" s="1" t="s">
        <v>402</v>
      </c>
      <c r="K11" s="1" t="s">
        <v>403</v>
      </c>
      <c r="L11" s="1" t="s">
        <v>51</v>
      </c>
      <c r="M11" s="1" t="s">
        <v>404</v>
      </c>
    </row>
    <row r="12" spans="1:13" ht="15">
      <c r="A12" s="1" t="s">
        <v>109</v>
      </c>
      <c r="B12" s="1" t="s">
        <v>405</v>
      </c>
      <c r="C12" s="1" t="s">
        <v>406</v>
      </c>
      <c r="D12" s="1" t="s">
        <v>252</v>
      </c>
      <c r="E12" s="1" t="s">
        <v>293</v>
      </c>
      <c r="F12" s="1" t="s">
        <v>369</v>
      </c>
      <c r="G12" s="1" t="s">
        <v>369</v>
      </c>
      <c r="H12" s="1" t="s">
        <v>369</v>
      </c>
      <c r="I12" s="1" t="s">
        <v>407</v>
      </c>
      <c r="J12" s="1" t="s">
        <v>252</v>
      </c>
      <c r="K12" s="1" t="s">
        <v>408</v>
      </c>
      <c r="L12" s="1" t="s">
        <v>51</v>
      </c>
      <c r="M12" s="1" t="s">
        <v>116</v>
      </c>
    </row>
    <row r="13" spans="1:13" ht="15">
      <c r="A13" s="1" t="s">
        <v>95</v>
      </c>
      <c r="B13" s="1" t="s">
        <v>409</v>
      </c>
      <c r="C13" s="1" t="s">
        <v>410</v>
      </c>
      <c r="D13" s="1" t="s">
        <v>339</v>
      </c>
      <c r="E13" s="1" t="s">
        <v>411</v>
      </c>
      <c r="F13" s="1" t="s">
        <v>412</v>
      </c>
      <c r="G13" s="1" t="s">
        <v>413</v>
      </c>
      <c r="H13" s="1" t="s">
        <v>414</v>
      </c>
      <c r="I13" s="1" t="s">
        <v>415</v>
      </c>
      <c r="J13" s="1" t="s">
        <v>416</v>
      </c>
      <c r="K13" s="1" t="s">
        <v>417</v>
      </c>
      <c r="L13" s="1" t="s">
        <v>51</v>
      </c>
      <c r="M13" s="1" t="s">
        <v>418</v>
      </c>
    </row>
    <row r="14" spans="1:13" ht="30">
      <c r="A14" s="1" t="s">
        <v>419</v>
      </c>
      <c r="B14" s="1" t="s">
        <v>420</v>
      </c>
      <c r="C14" s="1" t="s">
        <v>421</v>
      </c>
      <c r="D14" s="1" t="s">
        <v>422</v>
      </c>
      <c r="E14" s="1" t="s">
        <v>55</v>
      </c>
      <c r="F14" s="1" t="s">
        <v>352</v>
      </c>
      <c r="G14" s="1" t="s">
        <v>352</v>
      </c>
      <c r="H14" s="1" t="s">
        <v>352</v>
      </c>
      <c r="I14" s="1" t="s">
        <v>423</v>
      </c>
      <c r="J14" s="1" t="s">
        <v>354</v>
      </c>
      <c r="K14" s="1" t="s">
        <v>424</v>
      </c>
      <c r="L14" s="1" t="s">
        <v>51</v>
      </c>
      <c r="M14" s="1" t="s">
        <v>356</v>
      </c>
    </row>
    <row r="15" spans="1:13" ht="30">
      <c r="A15" s="1" t="s">
        <v>117</v>
      </c>
      <c r="B15" s="1" t="s">
        <v>194</v>
      </c>
      <c r="C15" s="1" t="s">
        <v>425</v>
      </c>
      <c r="D15" s="1" t="s">
        <v>426</v>
      </c>
      <c r="E15" s="1" t="s">
        <v>427</v>
      </c>
      <c r="F15" s="1" t="s">
        <v>352</v>
      </c>
      <c r="G15" s="1" t="s">
        <v>352</v>
      </c>
      <c r="H15" s="1" t="s">
        <v>352</v>
      </c>
      <c r="I15" s="1" t="s">
        <v>428</v>
      </c>
      <c r="J15" s="1" t="s">
        <v>354</v>
      </c>
      <c r="K15" s="1" t="s">
        <v>429</v>
      </c>
      <c r="L15" s="1" t="s">
        <v>51</v>
      </c>
      <c r="M15" s="1" t="s">
        <v>430</v>
      </c>
    </row>
    <row r="16" spans="1:13" ht="30">
      <c r="A16" s="1" t="s">
        <v>317</v>
      </c>
      <c r="B16" s="1" t="s">
        <v>194</v>
      </c>
      <c r="C16" s="1" t="s">
        <v>431</v>
      </c>
      <c r="D16" s="1" t="s">
        <v>432</v>
      </c>
      <c r="E16" s="1" t="s">
        <v>433</v>
      </c>
      <c r="F16" s="1" t="s">
        <v>434</v>
      </c>
      <c r="G16" s="1" t="s">
        <v>369</v>
      </c>
      <c r="H16" s="1" t="s">
        <v>435</v>
      </c>
      <c r="I16" s="1" t="s">
        <v>436</v>
      </c>
      <c r="J16" s="1" t="s">
        <v>402</v>
      </c>
      <c r="K16" s="1" t="s">
        <v>437</v>
      </c>
      <c r="L16" s="1" t="s">
        <v>51</v>
      </c>
      <c r="M16" s="1" t="s">
        <v>438</v>
      </c>
    </row>
    <row r="17" spans="1:13" ht="15">
      <c r="A17" s="1" t="s">
        <v>439</v>
      </c>
      <c r="B17" s="1" t="s">
        <v>194</v>
      </c>
      <c r="C17" s="1" t="s">
        <v>440</v>
      </c>
      <c r="D17" s="1" t="s">
        <v>441</v>
      </c>
      <c r="E17" s="1" t="s">
        <v>442</v>
      </c>
      <c r="F17" s="1" t="s">
        <v>352</v>
      </c>
      <c r="G17" s="1" t="s">
        <v>352</v>
      </c>
      <c r="H17" s="1" t="s">
        <v>352</v>
      </c>
      <c r="I17" s="1" t="s">
        <v>443</v>
      </c>
      <c r="J17" s="1" t="s">
        <v>444</v>
      </c>
      <c r="K17" s="1" t="s">
        <v>445</v>
      </c>
      <c r="L17" s="1" t="s">
        <v>51</v>
      </c>
      <c r="M17" s="1" t="s">
        <v>446</v>
      </c>
    </row>
    <row r="18" spans="1:13" ht="15">
      <c r="A18" s="1" t="s">
        <v>145</v>
      </c>
      <c r="B18" s="1" t="s">
        <v>194</v>
      </c>
      <c r="C18" s="1" t="s">
        <v>447</v>
      </c>
      <c r="D18" s="1" t="s">
        <v>448</v>
      </c>
      <c r="E18" s="1" t="s">
        <v>55</v>
      </c>
      <c r="F18" s="1" t="s">
        <v>449</v>
      </c>
      <c r="G18" s="1" t="s">
        <v>449</v>
      </c>
      <c r="H18" s="1" t="s">
        <v>449</v>
      </c>
      <c r="I18" s="1" t="s">
        <v>150</v>
      </c>
      <c r="J18" s="1" t="s">
        <v>450</v>
      </c>
      <c r="K18" s="1" t="s">
        <v>451</v>
      </c>
      <c r="L18" s="1" t="s">
        <v>51</v>
      </c>
      <c r="M18" s="1" t="s">
        <v>452</v>
      </c>
    </row>
  </sheetData>
  <mergeCells count="2">
    <mergeCell ref="A1:M1"/>
    <mergeCell ref="A2:M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15"/>
  <sheetViews>
    <sheetView workbookViewId="0"/>
  </sheetViews>
  <sheetFormatPr baseColWidth="10" defaultColWidth="8.83203125" defaultRowHeight="14"/>
  <cols>
    <col min="1" max="1" width="12" customWidth="1"/>
    <col min="2" max="2" width="30" customWidth="1"/>
    <col min="3" max="3" width="28" customWidth="1"/>
    <col min="4" max="4" width="18" customWidth="1"/>
    <col min="5" max="5" width="22" customWidth="1"/>
    <col min="6" max="6" width="25" customWidth="1"/>
    <col min="7" max="7" width="24" customWidth="1"/>
    <col min="8" max="8" width="16" customWidth="1"/>
    <col min="9" max="9" width="32" customWidth="1"/>
    <col min="10" max="10" width="62" customWidth="1"/>
    <col min="11" max="11" width="18" customWidth="1"/>
    <col min="12" max="12" width="50" customWidth="1"/>
    <col min="13" max="13" width="48" customWidth="1"/>
    <col min="14" max="14" width="42" customWidth="1"/>
  </cols>
  <sheetData>
    <row r="1" spans="1:14" ht="42.75" customHeight="1">
      <c r="A1" s="11" t="s">
        <v>453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</row>
    <row r="2" spans="1:14" ht="40" customHeight="1">
      <c r="A2" s="12" t="s">
        <v>454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</row>
    <row r="4" spans="1:14" ht="16">
      <c r="A4" s="3" t="s">
        <v>455</v>
      </c>
      <c r="B4" s="3" t="s">
        <v>456</v>
      </c>
      <c r="C4" s="3" t="s">
        <v>457</v>
      </c>
      <c r="D4" s="3" t="s">
        <v>458</v>
      </c>
      <c r="E4" s="3" t="s">
        <v>459</v>
      </c>
      <c r="F4" s="3" t="s">
        <v>460</v>
      </c>
      <c r="G4" s="3" t="s">
        <v>461</v>
      </c>
      <c r="H4" s="3" t="s">
        <v>344</v>
      </c>
      <c r="I4" s="3" t="s">
        <v>462</v>
      </c>
      <c r="J4" s="3" t="s">
        <v>463</v>
      </c>
      <c r="K4" s="3" t="s">
        <v>464</v>
      </c>
      <c r="L4" s="3" t="s">
        <v>465</v>
      </c>
      <c r="M4" s="3" t="s">
        <v>466</v>
      </c>
      <c r="N4" s="3" t="s">
        <v>467</v>
      </c>
    </row>
    <row r="5" spans="1:14" ht="30">
      <c r="A5" s="1" t="s">
        <v>468</v>
      </c>
      <c r="B5" s="1" t="s">
        <v>469</v>
      </c>
      <c r="C5" s="1" t="s">
        <v>470</v>
      </c>
      <c r="D5" s="1" t="s">
        <v>471</v>
      </c>
      <c r="E5" s="1" t="s">
        <v>318</v>
      </c>
      <c r="F5" s="1" t="s">
        <v>472</v>
      </c>
      <c r="G5" s="1" t="s">
        <v>473</v>
      </c>
      <c r="H5" s="1" t="s">
        <v>474</v>
      </c>
      <c r="I5" s="1" t="s">
        <v>475</v>
      </c>
      <c r="J5" s="1" t="s">
        <v>476</v>
      </c>
      <c r="K5" s="1" t="s">
        <v>477</v>
      </c>
      <c r="L5" s="1" t="s">
        <v>478</v>
      </c>
      <c r="M5" s="1" t="s">
        <v>479</v>
      </c>
      <c r="N5" s="1" t="s">
        <v>480</v>
      </c>
    </row>
    <row r="6" spans="1:14" ht="60">
      <c r="A6" s="1" t="s">
        <v>481</v>
      </c>
      <c r="B6" s="1" t="s">
        <v>482</v>
      </c>
      <c r="C6" s="1" t="s">
        <v>483</v>
      </c>
      <c r="D6" s="1" t="s">
        <v>484</v>
      </c>
      <c r="E6" s="1" t="s">
        <v>155</v>
      </c>
      <c r="F6" s="1" t="s">
        <v>472</v>
      </c>
      <c r="G6" s="1" t="s">
        <v>473</v>
      </c>
      <c r="H6" s="1" t="s">
        <v>474</v>
      </c>
      <c r="I6" s="1" t="s">
        <v>83</v>
      </c>
      <c r="J6" s="1" t="s">
        <v>485</v>
      </c>
      <c r="K6" s="1" t="s">
        <v>486</v>
      </c>
      <c r="L6" s="1" t="s">
        <v>487</v>
      </c>
      <c r="M6" s="1" t="s">
        <v>488</v>
      </c>
      <c r="N6" s="1" t="s">
        <v>489</v>
      </c>
    </row>
    <row r="7" spans="1:14" ht="30">
      <c r="A7" s="1" t="s">
        <v>490</v>
      </c>
      <c r="B7" s="1" t="s">
        <v>491</v>
      </c>
      <c r="C7" s="1" t="s">
        <v>492</v>
      </c>
      <c r="D7" s="1" t="s">
        <v>493</v>
      </c>
      <c r="E7" s="1" t="s">
        <v>494</v>
      </c>
      <c r="F7" s="1" t="s">
        <v>472</v>
      </c>
      <c r="G7" s="1" t="s">
        <v>473</v>
      </c>
      <c r="H7" s="1" t="s">
        <v>474</v>
      </c>
      <c r="I7" s="1" t="s">
        <v>83</v>
      </c>
      <c r="J7" s="1" t="s">
        <v>495</v>
      </c>
      <c r="K7" s="1" t="s">
        <v>486</v>
      </c>
      <c r="L7" s="1" t="s">
        <v>496</v>
      </c>
      <c r="M7" s="1" t="s">
        <v>497</v>
      </c>
      <c r="N7" s="1" t="s">
        <v>498</v>
      </c>
    </row>
    <row r="8" spans="1:14" ht="30">
      <c r="A8" s="1" t="s">
        <v>499</v>
      </c>
      <c r="B8" s="1" t="s">
        <v>500</v>
      </c>
      <c r="C8" s="1" t="s">
        <v>501</v>
      </c>
      <c r="D8" s="1" t="s">
        <v>502</v>
      </c>
      <c r="E8" s="1" t="s">
        <v>503</v>
      </c>
      <c r="F8" s="1" t="s">
        <v>504</v>
      </c>
      <c r="G8" s="1" t="s">
        <v>505</v>
      </c>
      <c r="H8" s="1" t="s">
        <v>506</v>
      </c>
      <c r="I8" s="1" t="s">
        <v>507</v>
      </c>
      <c r="J8" s="1" t="s">
        <v>508</v>
      </c>
      <c r="K8" s="1" t="s">
        <v>509</v>
      </c>
      <c r="L8" s="1" t="s">
        <v>510</v>
      </c>
      <c r="M8" s="1" t="s">
        <v>511</v>
      </c>
      <c r="N8" s="1" t="s">
        <v>512</v>
      </c>
    </row>
    <row r="9" spans="1:14" ht="15">
      <c r="A9" s="1" t="s">
        <v>513</v>
      </c>
      <c r="B9" s="1" t="s">
        <v>514</v>
      </c>
      <c r="C9" s="1" t="s">
        <v>515</v>
      </c>
      <c r="D9" s="1" t="s">
        <v>516</v>
      </c>
      <c r="E9" s="1" t="s">
        <v>517</v>
      </c>
      <c r="F9" s="1" t="s">
        <v>504</v>
      </c>
      <c r="G9" s="1" t="s">
        <v>505</v>
      </c>
      <c r="H9" s="1" t="s">
        <v>506</v>
      </c>
      <c r="I9" s="1" t="s">
        <v>518</v>
      </c>
      <c r="J9" s="1" t="s">
        <v>508</v>
      </c>
      <c r="K9" s="1" t="s">
        <v>519</v>
      </c>
      <c r="L9" s="1" t="s">
        <v>520</v>
      </c>
      <c r="M9" s="1" t="s">
        <v>521</v>
      </c>
      <c r="N9" s="1" t="s">
        <v>522</v>
      </c>
    </row>
    <row r="10" spans="1:14" ht="30">
      <c r="A10" s="1" t="s">
        <v>523</v>
      </c>
      <c r="B10" s="1" t="s">
        <v>524</v>
      </c>
      <c r="C10" s="1" t="s">
        <v>515</v>
      </c>
      <c r="D10" s="1" t="s">
        <v>525</v>
      </c>
      <c r="E10" s="1" t="s">
        <v>517</v>
      </c>
      <c r="F10" s="1" t="s">
        <v>504</v>
      </c>
      <c r="G10" s="1" t="s">
        <v>505</v>
      </c>
      <c r="H10" s="1" t="s">
        <v>506</v>
      </c>
      <c r="I10" s="1" t="s">
        <v>526</v>
      </c>
      <c r="J10" s="1" t="s">
        <v>527</v>
      </c>
      <c r="K10" s="1" t="s">
        <v>519</v>
      </c>
      <c r="L10" s="1" t="s">
        <v>528</v>
      </c>
      <c r="M10" s="1" t="s">
        <v>529</v>
      </c>
      <c r="N10" s="1" t="s">
        <v>530</v>
      </c>
    </row>
    <row r="11" spans="1:14" ht="30">
      <c r="A11" s="1" t="s">
        <v>531</v>
      </c>
      <c r="B11" s="1" t="s">
        <v>294</v>
      </c>
      <c r="C11" s="1" t="s">
        <v>532</v>
      </c>
      <c r="D11" s="1" t="s">
        <v>533</v>
      </c>
      <c r="E11" s="1" t="s">
        <v>534</v>
      </c>
      <c r="F11" s="1" t="s">
        <v>504</v>
      </c>
      <c r="G11" s="1" t="s">
        <v>505</v>
      </c>
      <c r="H11" s="1" t="s">
        <v>506</v>
      </c>
      <c r="I11" s="1" t="s">
        <v>535</v>
      </c>
      <c r="J11" s="1" t="s">
        <v>536</v>
      </c>
      <c r="K11" s="1" t="s">
        <v>537</v>
      </c>
      <c r="L11" s="1" t="s">
        <v>538</v>
      </c>
      <c r="M11" s="1" t="s">
        <v>539</v>
      </c>
      <c r="N11" s="1" t="s">
        <v>540</v>
      </c>
    </row>
    <row r="12" spans="1:14" ht="15">
      <c r="A12" s="1" t="s">
        <v>541</v>
      </c>
      <c r="B12" s="1" t="s">
        <v>542</v>
      </c>
      <c r="C12" s="1" t="s">
        <v>543</v>
      </c>
      <c r="D12" s="1" t="s">
        <v>544</v>
      </c>
      <c r="E12" s="1" t="s">
        <v>545</v>
      </c>
      <c r="F12" s="1" t="s">
        <v>472</v>
      </c>
      <c r="G12" s="1" t="s">
        <v>473</v>
      </c>
      <c r="H12" s="1" t="s">
        <v>474</v>
      </c>
      <c r="I12" s="1" t="s">
        <v>546</v>
      </c>
      <c r="J12" s="1" t="s">
        <v>547</v>
      </c>
      <c r="K12" s="1" t="s">
        <v>509</v>
      </c>
      <c r="L12" s="1" t="s">
        <v>548</v>
      </c>
      <c r="M12" s="1" t="s">
        <v>549</v>
      </c>
      <c r="N12" s="1" t="s">
        <v>550</v>
      </c>
    </row>
    <row r="13" spans="1:14" ht="15">
      <c r="A13" s="1" t="s">
        <v>551</v>
      </c>
      <c r="B13" s="1" t="s">
        <v>552</v>
      </c>
      <c r="C13" s="1" t="s">
        <v>543</v>
      </c>
      <c r="D13" s="1" t="s">
        <v>553</v>
      </c>
      <c r="E13" s="1" t="s">
        <v>545</v>
      </c>
      <c r="F13" s="1" t="s">
        <v>472</v>
      </c>
      <c r="G13" s="1" t="s">
        <v>473</v>
      </c>
      <c r="H13" s="1" t="s">
        <v>474</v>
      </c>
      <c r="I13" s="1" t="s">
        <v>554</v>
      </c>
      <c r="J13" s="1" t="s">
        <v>547</v>
      </c>
      <c r="K13" s="1" t="s">
        <v>509</v>
      </c>
      <c r="L13" s="1" t="s">
        <v>555</v>
      </c>
      <c r="M13" s="1" t="s">
        <v>556</v>
      </c>
      <c r="N13" s="1" t="s">
        <v>557</v>
      </c>
    </row>
    <row r="14" spans="1:14" ht="15">
      <c r="A14" s="1" t="s">
        <v>558</v>
      </c>
      <c r="B14" s="1" t="s">
        <v>559</v>
      </c>
      <c r="C14" s="1" t="s">
        <v>560</v>
      </c>
      <c r="D14" s="1" t="s">
        <v>561</v>
      </c>
      <c r="E14" s="1" t="s">
        <v>562</v>
      </c>
      <c r="F14" s="1" t="s">
        <v>504</v>
      </c>
      <c r="G14" s="1" t="s">
        <v>505</v>
      </c>
      <c r="H14" s="1" t="s">
        <v>506</v>
      </c>
      <c r="I14" s="1" t="s">
        <v>563</v>
      </c>
      <c r="J14" s="1"/>
      <c r="K14" s="1" t="s">
        <v>519</v>
      </c>
      <c r="L14" s="1" t="s">
        <v>564</v>
      </c>
      <c r="M14" s="1" t="s">
        <v>565</v>
      </c>
      <c r="N14" s="1" t="s">
        <v>566</v>
      </c>
    </row>
    <row r="15" spans="1:14" ht="15">
      <c r="A15" s="1" t="s">
        <v>567</v>
      </c>
      <c r="B15" s="1" t="s">
        <v>568</v>
      </c>
      <c r="C15" s="1" t="s">
        <v>560</v>
      </c>
      <c r="D15" s="1" t="s">
        <v>569</v>
      </c>
      <c r="E15" s="1" t="s">
        <v>562</v>
      </c>
      <c r="F15" s="1" t="s">
        <v>504</v>
      </c>
      <c r="G15" s="1" t="s">
        <v>505</v>
      </c>
      <c r="H15" s="1" t="s">
        <v>506</v>
      </c>
      <c r="I15" s="1" t="s">
        <v>563</v>
      </c>
      <c r="J15" s="1"/>
      <c r="K15" s="1" t="s">
        <v>519</v>
      </c>
      <c r="L15" s="1" t="s">
        <v>564</v>
      </c>
      <c r="M15" s="1" t="s">
        <v>570</v>
      </c>
      <c r="N15" s="1" t="s">
        <v>566</v>
      </c>
    </row>
  </sheetData>
  <mergeCells count="2">
    <mergeCell ref="A1:N1"/>
    <mergeCell ref="A2:N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0"/>
  <sheetViews>
    <sheetView workbookViewId="0"/>
  </sheetViews>
  <sheetFormatPr baseColWidth="10" defaultColWidth="8.83203125" defaultRowHeight="14"/>
  <cols>
    <col min="1" max="1" width="30" customWidth="1"/>
    <col min="2" max="2" width="100" customWidth="1"/>
  </cols>
  <sheetData>
    <row r="1" spans="1:8" ht="42.75" customHeight="1">
      <c r="A1" s="11" t="s">
        <v>571</v>
      </c>
      <c r="B1" s="11"/>
      <c r="C1" s="11"/>
      <c r="D1" s="11"/>
      <c r="E1" s="11"/>
      <c r="F1" s="11"/>
      <c r="G1" s="11"/>
      <c r="H1" s="11"/>
    </row>
    <row r="2" spans="1:8" ht="40" customHeight="1">
      <c r="A2" s="12" t="s">
        <v>572</v>
      </c>
      <c r="B2" s="12"/>
      <c r="C2" s="12"/>
      <c r="D2" s="12"/>
      <c r="E2" s="12"/>
      <c r="F2" s="12"/>
      <c r="G2" s="12"/>
      <c r="H2" s="12"/>
    </row>
    <row r="4" spans="1:8" ht="16">
      <c r="A4" s="3" t="s">
        <v>573</v>
      </c>
      <c r="B4" s="3" t="s">
        <v>574</v>
      </c>
    </row>
    <row r="5" spans="1:8" ht="15">
      <c r="A5" s="1" t="s">
        <v>575</v>
      </c>
      <c r="B5" s="1" t="s">
        <v>576</v>
      </c>
    </row>
    <row r="6" spans="1:8" ht="15">
      <c r="A6" s="1" t="s">
        <v>577</v>
      </c>
      <c r="B6" s="1" t="s">
        <v>578</v>
      </c>
    </row>
    <row r="7" spans="1:8" ht="15">
      <c r="A7" s="1" t="s">
        <v>579</v>
      </c>
      <c r="B7" s="1" t="s">
        <v>580</v>
      </c>
    </row>
    <row r="8" spans="1:8" ht="15">
      <c r="A8" s="1" t="s">
        <v>581</v>
      </c>
      <c r="B8" s="1" t="s">
        <v>582</v>
      </c>
    </row>
    <row r="9" spans="1:8" ht="15">
      <c r="A9" s="1" t="s">
        <v>583</v>
      </c>
      <c r="B9" s="1" t="s">
        <v>584</v>
      </c>
    </row>
    <row r="10" spans="1:8" ht="15">
      <c r="A10" s="1" t="s">
        <v>145</v>
      </c>
      <c r="B10" s="1" t="s">
        <v>585</v>
      </c>
    </row>
  </sheetData>
  <mergeCells count="2">
    <mergeCell ref="A1:H1"/>
    <mergeCell ref="A2:H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29"/>
  <sheetViews>
    <sheetView workbookViewId="0"/>
  </sheetViews>
  <sheetFormatPr baseColWidth="10" defaultColWidth="8.83203125" defaultRowHeight="14"/>
  <cols>
    <col min="1" max="1" width="28" customWidth="1"/>
    <col min="2" max="2" width="16" customWidth="1"/>
    <col min="3" max="3" width="24" customWidth="1"/>
    <col min="4" max="4" width="36" customWidth="1"/>
    <col min="5" max="5" width="15" customWidth="1"/>
    <col min="6" max="6" width="27" customWidth="1"/>
    <col min="7" max="7" width="18" customWidth="1"/>
    <col min="8" max="8" width="42" customWidth="1"/>
    <col min="9" max="12" width="16" customWidth="1"/>
    <col min="13" max="13" width="20" customWidth="1"/>
    <col min="14" max="14" width="18" customWidth="1"/>
    <col min="15" max="15" width="24" customWidth="1"/>
  </cols>
  <sheetData>
    <row r="1" spans="1:15" ht="42.75" customHeight="1">
      <c r="A1" s="11" t="s">
        <v>586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</row>
    <row r="2" spans="1:15" ht="40" customHeight="1">
      <c r="A2" s="12" t="s">
        <v>587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</row>
    <row r="4" spans="1:15" ht="16">
      <c r="A4" s="3" t="s">
        <v>588</v>
      </c>
      <c r="B4" s="3" t="s">
        <v>458</v>
      </c>
      <c r="C4" s="3" t="s">
        <v>589</v>
      </c>
      <c r="D4" s="3" t="s">
        <v>590</v>
      </c>
      <c r="F4" s="3" t="s">
        <v>591</v>
      </c>
      <c r="G4" s="3" t="s">
        <v>458</v>
      </c>
      <c r="H4" s="3" t="s">
        <v>592</v>
      </c>
    </row>
    <row r="5" spans="1:15" ht="15">
      <c r="A5" s="1" t="s">
        <v>240</v>
      </c>
      <c r="B5" s="5">
        <v>400000</v>
      </c>
      <c r="C5" s="1" t="s">
        <v>593</v>
      </c>
      <c r="D5" s="1"/>
      <c r="F5" s="1" t="s">
        <v>247</v>
      </c>
      <c r="G5" s="7">
        <f>B5*B6</f>
        <v>80000</v>
      </c>
      <c r="H5" s="1" t="s">
        <v>594</v>
      </c>
    </row>
    <row r="6" spans="1:15" ht="15">
      <c r="A6" s="1" t="s">
        <v>595</v>
      </c>
      <c r="B6" s="6">
        <v>0.2</v>
      </c>
      <c r="C6" s="1" t="s">
        <v>593</v>
      </c>
      <c r="D6" s="1"/>
      <c r="F6" s="1" t="s">
        <v>348</v>
      </c>
      <c r="G6" s="7">
        <f>B5-G5</f>
        <v>320000</v>
      </c>
      <c r="H6" s="1" t="s">
        <v>350</v>
      </c>
    </row>
    <row r="7" spans="1:15" ht="15">
      <c r="A7" s="1" t="s">
        <v>469</v>
      </c>
      <c r="B7" s="6">
        <v>6.5000000000000002E-2</v>
      </c>
      <c r="C7" s="1" t="s">
        <v>593</v>
      </c>
      <c r="D7" s="1" t="s">
        <v>596</v>
      </c>
      <c r="F7" s="1" t="s">
        <v>597</v>
      </c>
      <c r="G7" s="7">
        <f>B7/12</f>
        <v>5.4166666666666669E-3</v>
      </c>
      <c r="H7" s="1" t="s">
        <v>598</v>
      </c>
    </row>
    <row r="8" spans="1:15" ht="15">
      <c r="A8" s="1" t="s">
        <v>599</v>
      </c>
      <c r="B8" s="4">
        <v>30</v>
      </c>
      <c r="C8" s="1" t="s">
        <v>593</v>
      </c>
      <c r="D8" s="1"/>
      <c r="F8" s="1" t="s">
        <v>600</v>
      </c>
      <c r="G8" s="7">
        <f>B8*12</f>
        <v>360</v>
      </c>
      <c r="H8" s="1" t="s">
        <v>601</v>
      </c>
    </row>
    <row r="9" spans="1:15" ht="15">
      <c r="A9" s="1" t="s">
        <v>602</v>
      </c>
      <c r="B9" s="6">
        <v>1.0999999999999999E-2</v>
      </c>
      <c r="C9" s="1" t="s">
        <v>504</v>
      </c>
      <c r="D9" s="1" t="s">
        <v>603</v>
      </c>
      <c r="F9" s="1" t="s">
        <v>59</v>
      </c>
      <c r="G9" s="7">
        <f>G6*G7*(1+G7)^G8/((1+G7)^G8-1)</f>
        <v>2022.6176751774913</v>
      </c>
      <c r="H9" s="1" t="s">
        <v>604</v>
      </c>
    </row>
    <row r="10" spans="1:15" ht="15">
      <c r="A10" s="1" t="s">
        <v>605</v>
      </c>
      <c r="B10" s="6">
        <v>5.0000000000000001E-3</v>
      </c>
      <c r="C10" s="1" t="s">
        <v>504</v>
      </c>
      <c r="D10" s="1" t="s">
        <v>606</v>
      </c>
      <c r="F10" s="1" t="s">
        <v>607</v>
      </c>
      <c r="G10" s="7">
        <f>B5*B9/12</f>
        <v>366.66666666666669</v>
      </c>
      <c r="H10" s="1" t="s">
        <v>608</v>
      </c>
    </row>
    <row r="11" spans="1:15" ht="15">
      <c r="A11" s="1" t="s">
        <v>284</v>
      </c>
      <c r="B11" s="4">
        <v>6.0000000000000001E-3</v>
      </c>
      <c r="C11" s="1" t="s">
        <v>504</v>
      </c>
      <c r="D11" s="1" t="s">
        <v>609</v>
      </c>
      <c r="F11" s="1" t="s">
        <v>610</v>
      </c>
      <c r="G11" s="7">
        <f>B5*B10/12</f>
        <v>166.66666666666666</v>
      </c>
      <c r="H11" s="1" t="s">
        <v>611</v>
      </c>
    </row>
    <row r="12" spans="1:15" ht="15">
      <c r="A12" s="1" t="s">
        <v>390</v>
      </c>
      <c r="B12" s="5">
        <v>0</v>
      </c>
      <c r="C12" s="1" t="s">
        <v>593</v>
      </c>
      <c r="D12" s="1"/>
      <c r="F12" s="1" t="s">
        <v>80</v>
      </c>
      <c r="G12" s="7">
        <f>IF(B6&lt;0.2,G6*B11/12,0)</f>
        <v>0</v>
      </c>
      <c r="H12" s="1" t="s">
        <v>612</v>
      </c>
    </row>
    <row r="13" spans="1:15" ht="15">
      <c r="A13" s="1" t="s">
        <v>613</v>
      </c>
      <c r="B13" s="6">
        <v>0.01</v>
      </c>
      <c r="C13" s="1" t="s">
        <v>504</v>
      </c>
      <c r="D13" s="1" t="s">
        <v>614</v>
      </c>
      <c r="F13" s="1" t="s">
        <v>615</v>
      </c>
      <c r="G13" s="7">
        <f>B5*B13/12</f>
        <v>333.33333333333331</v>
      </c>
      <c r="H13" s="1" t="s">
        <v>616</v>
      </c>
    </row>
    <row r="14" spans="1:15" ht="15">
      <c r="A14" s="1" t="s">
        <v>617</v>
      </c>
      <c r="B14" s="5">
        <v>300</v>
      </c>
      <c r="C14" s="1" t="s">
        <v>593</v>
      </c>
      <c r="D14" s="1" t="s">
        <v>112</v>
      </c>
      <c r="F14" s="1" t="s">
        <v>180</v>
      </c>
      <c r="G14" s="7">
        <f>SUM(G9:G12)+B12</f>
        <v>2555.9510085108245</v>
      </c>
      <c r="H14" s="1" t="s">
        <v>618</v>
      </c>
    </row>
    <row r="15" spans="1:15" ht="15">
      <c r="A15" s="1" t="s">
        <v>619</v>
      </c>
      <c r="B15" s="4">
        <v>0.03</v>
      </c>
      <c r="C15" s="1" t="s">
        <v>504</v>
      </c>
      <c r="D15" s="1" t="s">
        <v>307</v>
      </c>
      <c r="F15" s="1" t="s">
        <v>620</v>
      </c>
      <c r="G15" s="7">
        <f>G14+G13+B14</f>
        <v>3189.284341844158</v>
      </c>
      <c r="H15" s="1" t="s">
        <v>621</v>
      </c>
    </row>
    <row r="16" spans="1:15" ht="30">
      <c r="A16" s="1" t="s">
        <v>622</v>
      </c>
      <c r="B16" s="5">
        <v>0</v>
      </c>
      <c r="C16" s="1" t="s">
        <v>593</v>
      </c>
      <c r="D16" s="1" t="s">
        <v>623</v>
      </c>
      <c r="F16" s="1" t="s">
        <v>624</v>
      </c>
      <c r="G16" s="7">
        <f>G5+B5*B15+B16</f>
        <v>92000</v>
      </c>
      <c r="H16" s="1" t="s">
        <v>625</v>
      </c>
    </row>
    <row r="17" spans="1:15" ht="15">
      <c r="A17" s="1" t="s">
        <v>626</v>
      </c>
      <c r="B17" s="4">
        <v>12000</v>
      </c>
      <c r="C17" s="1" t="s">
        <v>593</v>
      </c>
      <c r="D17" s="1" t="s">
        <v>627</v>
      </c>
      <c r="F17" s="1" t="s">
        <v>439</v>
      </c>
      <c r="G17" s="8">
        <f>IF(B17=0,0,G15/B17)</f>
        <v>0.26577369515367982</v>
      </c>
      <c r="H17" s="1" t="s">
        <v>440</v>
      </c>
    </row>
    <row r="18" spans="1:15" ht="15">
      <c r="A18" s="1" t="s">
        <v>628</v>
      </c>
      <c r="B18" s="6">
        <v>2.5000000000000001E-2</v>
      </c>
      <c r="C18" s="1" t="s">
        <v>504</v>
      </c>
      <c r="D18" s="1" t="s">
        <v>560</v>
      </c>
    </row>
    <row r="19" spans="1:15" ht="15">
      <c r="A19" s="1" t="s">
        <v>629</v>
      </c>
      <c r="B19" s="6">
        <v>0.04</v>
      </c>
      <c r="C19" s="1" t="s">
        <v>504</v>
      </c>
      <c r="D19" s="1" t="s">
        <v>560</v>
      </c>
    </row>
    <row r="20" spans="1:15" ht="16">
      <c r="A20" s="1" t="s">
        <v>630</v>
      </c>
      <c r="B20" s="6">
        <v>0.03</v>
      </c>
      <c r="C20" s="1" t="s">
        <v>504</v>
      </c>
      <c r="D20" s="1" t="s">
        <v>560</v>
      </c>
      <c r="F20" s="3" t="s">
        <v>145</v>
      </c>
      <c r="G20" s="3" t="s">
        <v>631</v>
      </c>
      <c r="H20" s="3" t="s">
        <v>155</v>
      </c>
    </row>
    <row r="21" spans="1:15" ht="15">
      <c r="A21" s="1" t="s">
        <v>632</v>
      </c>
      <c r="B21" s="6">
        <v>2.5000000000000001E-2</v>
      </c>
      <c r="C21" s="1" t="s">
        <v>504</v>
      </c>
      <c r="D21" s="1" t="s">
        <v>560</v>
      </c>
      <c r="F21" s="1" t="s">
        <v>575</v>
      </c>
      <c r="G21" s="10">
        <v>0.05</v>
      </c>
      <c r="H21" s="1" t="s">
        <v>633</v>
      </c>
    </row>
    <row r="22" spans="1:15" ht="30">
      <c r="F22" s="1" t="s">
        <v>577</v>
      </c>
      <c r="G22" s="10">
        <v>0.3</v>
      </c>
      <c r="H22" s="1" t="s">
        <v>634</v>
      </c>
    </row>
    <row r="23" spans="1:15" ht="30">
      <c r="F23" s="1" t="s">
        <v>579</v>
      </c>
      <c r="G23" s="10">
        <v>0.65</v>
      </c>
      <c r="H23" s="1" t="s">
        <v>635</v>
      </c>
    </row>
    <row r="25" spans="1:15" ht="32">
      <c r="A25" s="3" t="s">
        <v>636</v>
      </c>
      <c r="B25" s="3" t="s">
        <v>637</v>
      </c>
      <c r="C25" s="3" t="s">
        <v>638</v>
      </c>
      <c r="D25" s="3" t="s">
        <v>639</v>
      </c>
      <c r="E25" s="3" t="s">
        <v>640</v>
      </c>
      <c r="F25" s="3" t="s">
        <v>641</v>
      </c>
      <c r="G25" s="3" t="s">
        <v>642</v>
      </c>
      <c r="H25" s="3" t="s">
        <v>381</v>
      </c>
      <c r="I25" s="3" t="s">
        <v>389</v>
      </c>
      <c r="J25" s="3" t="s">
        <v>643</v>
      </c>
      <c r="K25" s="3" t="s">
        <v>109</v>
      </c>
      <c r="L25" s="3" t="s">
        <v>644</v>
      </c>
      <c r="M25" s="3" t="s">
        <v>645</v>
      </c>
      <c r="N25" s="3" t="s">
        <v>646</v>
      </c>
      <c r="O25" s="3" t="s">
        <v>647</v>
      </c>
    </row>
    <row r="26" spans="1:15" ht="15">
      <c r="A26" s="1" t="s">
        <v>648</v>
      </c>
      <c r="B26" s="1">
        <v>12</v>
      </c>
      <c r="C26" s="9">
        <f>$G$9*B26</f>
        <v>24271.412102129896</v>
      </c>
      <c r="D26" s="9">
        <f>$G$6-($G$6*(1+$G$7)^B26-$G$9*((1+$G$7)^B26-1)/$G$7)</f>
        <v>3576.7215006719925</v>
      </c>
      <c r="E26" s="9">
        <f>C26-D26</f>
        <v>20694.690601457904</v>
      </c>
      <c r="F26" s="9">
        <f>$G$10*B26</f>
        <v>4400</v>
      </c>
      <c r="G26" s="9">
        <f>$G$11*B26</f>
        <v>2000</v>
      </c>
      <c r="H26" s="9">
        <f>$G$12*B26</f>
        <v>0</v>
      </c>
      <c r="I26" s="9">
        <f>$B$12*B26</f>
        <v>0</v>
      </c>
      <c r="J26" s="9">
        <f>$G$13*B26</f>
        <v>4000</v>
      </c>
      <c r="K26" s="9">
        <f>$B$14*B26</f>
        <v>3600</v>
      </c>
      <c r="L26" s="9">
        <f>$G$16</f>
        <v>92000</v>
      </c>
      <c r="M26" s="9">
        <f>SUM(C26,F26:L26)</f>
        <v>130271.41210212989</v>
      </c>
      <c r="N26" s="9">
        <f>$G$5+D26</f>
        <v>83576.721500671993</v>
      </c>
      <c r="O26" s="9">
        <f>M26-N26</f>
        <v>46694.6906014579</v>
      </c>
    </row>
    <row r="27" spans="1:15" ht="15">
      <c r="A27" s="1" t="s">
        <v>649</v>
      </c>
      <c r="B27" s="1">
        <v>36</v>
      </c>
      <c r="C27" s="9">
        <f>$G$9*B27</f>
        <v>72814.236306389692</v>
      </c>
      <c r="D27" s="9">
        <f>$G$6-($G$6*(1+$G$7)^B27-$G$9*((1+$G$7)^B27-1)/$G$7)</f>
        <v>11464.825905866979</v>
      </c>
      <c r="E27" s="9">
        <f>C27-D27</f>
        <v>61349.410400522713</v>
      </c>
      <c r="F27" s="9">
        <f>$G$10*B27</f>
        <v>13200</v>
      </c>
      <c r="G27" s="9">
        <f>$G$11*B27</f>
        <v>6000</v>
      </c>
      <c r="H27" s="9">
        <f>$G$12*B27</f>
        <v>0</v>
      </c>
      <c r="I27" s="9">
        <f>$B$12*B27</f>
        <v>0</v>
      </c>
      <c r="J27" s="9">
        <f>$G$13*B27</f>
        <v>12000</v>
      </c>
      <c r="K27" s="9">
        <f>$B$14*B27</f>
        <v>10800</v>
      </c>
      <c r="L27" s="9">
        <f>$G$16</f>
        <v>92000</v>
      </c>
      <c r="M27" s="9">
        <f>SUM(C27,F27:L27)</f>
        <v>206814.23630638968</v>
      </c>
      <c r="N27" s="9">
        <f>$G$5+D27</f>
        <v>91464.825905866979</v>
      </c>
      <c r="O27" s="9">
        <f>M27-N27</f>
        <v>115349.4104005227</v>
      </c>
    </row>
    <row r="28" spans="1:15" ht="15">
      <c r="A28" s="1" t="s">
        <v>650</v>
      </c>
      <c r="B28" s="1">
        <v>60</v>
      </c>
      <c r="C28" s="9">
        <f>$G$9*B28</f>
        <v>121357.06051064948</v>
      </c>
      <c r="D28" s="9">
        <f>$G$6-($G$6*(1+$G$7)^B28-$G$9*((1+$G$7)^B28-1)/$G$7)</f>
        <v>20444.872186995344</v>
      </c>
      <c r="E28" s="9">
        <f>C28-D28</f>
        <v>100912.18832365413</v>
      </c>
      <c r="F28" s="9">
        <f>$G$10*B28</f>
        <v>22000</v>
      </c>
      <c r="G28" s="9">
        <f>$G$11*B28</f>
        <v>10000</v>
      </c>
      <c r="H28" s="9">
        <f>$G$12*B28</f>
        <v>0</v>
      </c>
      <c r="I28" s="9">
        <f>$B$12*B28</f>
        <v>0</v>
      </c>
      <c r="J28" s="9">
        <f>$G$13*B28</f>
        <v>20000</v>
      </c>
      <c r="K28" s="9">
        <f>$B$14*B28</f>
        <v>18000</v>
      </c>
      <c r="L28" s="9">
        <f>$G$16</f>
        <v>92000</v>
      </c>
      <c r="M28" s="9">
        <f>SUM(C28,F28:L28)</f>
        <v>283357.06051064946</v>
      </c>
      <c r="N28" s="9">
        <f>$G$5+D28</f>
        <v>100444.87218699534</v>
      </c>
      <c r="O28" s="9">
        <f>M28-N28</f>
        <v>182912.18832365412</v>
      </c>
    </row>
    <row r="29" spans="1:15" ht="15">
      <c r="A29" s="1" t="s">
        <v>651</v>
      </c>
      <c r="B29" s="1">
        <v>120</v>
      </c>
      <c r="C29" s="9">
        <f>$G$9*B29</f>
        <v>242714.12102129895</v>
      </c>
      <c r="D29" s="9">
        <f>$G$6-($G$6*(1+$G$7)^B29-$G$9*((1+$G$7)^B29-1)/$G$7)</f>
        <v>48716.395638355985</v>
      </c>
      <c r="E29" s="9">
        <f>C29-D29</f>
        <v>193997.72538294297</v>
      </c>
      <c r="F29" s="9">
        <f>$G$10*B29</f>
        <v>44000</v>
      </c>
      <c r="G29" s="9">
        <f>$G$11*B29</f>
        <v>20000</v>
      </c>
      <c r="H29" s="9">
        <f>$G$12*B29</f>
        <v>0</v>
      </c>
      <c r="I29" s="9">
        <f>$B$12*B29</f>
        <v>0</v>
      </c>
      <c r="J29" s="9">
        <f>$G$13*B29</f>
        <v>40000</v>
      </c>
      <c r="K29" s="9">
        <f>$B$14*B29</f>
        <v>36000</v>
      </c>
      <c r="L29" s="9">
        <f>$G$16</f>
        <v>92000</v>
      </c>
      <c r="M29" s="9">
        <f>SUM(C29,F29:L29)</f>
        <v>474714.12102129892</v>
      </c>
      <c r="N29" s="9">
        <f>$G$5+D29</f>
        <v>128716.39563835599</v>
      </c>
      <c r="O29" s="9">
        <f>M29-N29</f>
        <v>345997.72538294294</v>
      </c>
    </row>
  </sheetData>
  <mergeCells count="2">
    <mergeCell ref="A1:O1"/>
    <mergeCell ref="A2:O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13"/>
  <sheetViews>
    <sheetView workbookViewId="0"/>
  </sheetViews>
  <sheetFormatPr baseColWidth="10" defaultColWidth="8.83203125" defaultRowHeight="14"/>
  <cols>
    <col min="1" max="1" width="20" customWidth="1"/>
    <col min="2" max="2" width="38" customWidth="1"/>
    <col min="3" max="3" width="40" customWidth="1"/>
    <col min="4" max="4" width="38" customWidth="1"/>
    <col min="5" max="5" width="14" customWidth="1"/>
    <col min="6" max="6" width="22" customWidth="1"/>
    <col min="7" max="7" width="34" customWidth="1"/>
    <col min="8" max="8" width="35" customWidth="1"/>
    <col min="9" max="9" width="25" customWidth="1"/>
    <col min="10" max="10" width="45" customWidth="1"/>
    <col min="11" max="11" width="16" customWidth="1"/>
  </cols>
  <sheetData>
    <row r="1" spans="1:11" ht="42.75" customHeight="1">
      <c r="A1" s="11" t="s">
        <v>652</v>
      </c>
      <c r="B1" s="11"/>
      <c r="C1" s="11"/>
      <c r="D1" s="11"/>
      <c r="E1" s="11"/>
      <c r="F1" s="11"/>
      <c r="G1" s="11"/>
      <c r="H1" s="11"/>
      <c r="I1" s="11"/>
      <c r="J1" s="11"/>
      <c r="K1" s="11"/>
    </row>
    <row r="2" spans="1:11" ht="40" customHeight="1">
      <c r="A2" s="12" t="s">
        <v>653</v>
      </c>
      <c r="B2" s="12"/>
      <c r="C2" s="12"/>
      <c r="D2" s="12"/>
      <c r="E2" s="12"/>
      <c r="F2" s="12"/>
      <c r="G2" s="12"/>
      <c r="H2" s="12"/>
      <c r="I2" s="12"/>
      <c r="J2" s="12"/>
      <c r="K2" s="12"/>
    </row>
    <row r="4" spans="1:11" ht="16">
      <c r="A4" s="3" t="s">
        <v>36</v>
      </c>
      <c r="B4" s="3" t="s">
        <v>654</v>
      </c>
      <c r="C4" s="3" t="s">
        <v>655</v>
      </c>
      <c r="D4" s="3" t="s">
        <v>656</v>
      </c>
      <c r="E4" s="3" t="s">
        <v>231</v>
      </c>
      <c r="F4" s="3" t="s">
        <v>657</v>
      </c>
      <c r="G4" s="3" t="s">
        <v>658</v>
      </c>
      <c r="H4" s="3" t="s">
        <v>659</v>
      </c>
      <c r="I4" s="3" t="s">
        <v>660</v>
      </c>
      <c r="J4" s="3" t="s">
        <v>661</v>
      </c>
      <c r="K4" s="3" t="s">
        <v>344</v>
      </c>
    </row>
    <row r="5" spans="1:11" ht="30">
      <c r="A5" s="1" t="s">
        <v>662</v>
      </c>
      <c r="B5" s="1" t="s">
        <v>663</v>
      </c>
      <c r="C5" s="1" t="s">
        <v>664</v>
      </c>
      <c r="D5" s="1" t="s">
        <v>665</v>
      </c>
      <c r="E5" s="1" t="s">
        <v>51</v>
      </c>
      <c r="F5" s="1" t="s">
        <v>666</v>
      </c>
      <c r="G5" s="1" t="s">
        <v>667</v>
      </c>
      <c r="H5" s="1" t="s">
        <v>668</v>
      </c>
      <c r="I5" s="1" t="s">
        <v>669</v>
      </c>
      <c r="J5" s="1" t="s">
        <v>670</v>
      </c>
      <c r="K5" s="1" t="s">
        <v>671</v>
      </c>
    </row>
    <row r="6" spans="1:11" ht="30">
      <c r="A6" s="1" t="s">
        <v>672</v>
      </c>
      <c r="B6" s="1" t="s">
        <v>673</v>
      </c>
      <c r="C6" s="1" t="s">
        <v>674</v>
      </c>
      <c r="D6" s="1" t="s">
        <v>675</v>
      </c>
      <c r="E6" s="1" t="s">
        <v>51</v>
      </c>
      <c r="F6" s="1" t="s">
        <v>676</v>
      </c>
      <c r="G6" s="1" t="s">
        <v>677</v>
      </c>
      <c r="H6" s="1" t="s">
        <v>678</v>
      </c>
      <c r="I6" s="1" t="s">
        <v>679</v>
      </c>
      <c r="J6" s="1" t="s">
        <v>680</v>
      </c>
      <c r="K6" s="1" t="s">
        <v>671</v>
      </c>
    </row>
    <row r="7" spans="1:11" ht="15">
      <c r="A7" s="1" t="s">
        <v>681</v>
      </c>
      <c r="B7" s="1" t="s">
        <v>682</v>
      </c>
      <c r="C7" s="1" t="s">
        <v>683</v>
      </c>
      <c r="D7" s="1" t="s">
        <v>684</v>
      </c>
      <c r="E7" s="1" t="s">
        <v>51</v>
      </c>
      <c r="F7" s="1" t="s">
        <v>685</v>
      </c>
      <c r="G7" s="1" t="s">
        <v>686</v>
      </c>
      <c r="H7" s="1" t="s">
        <v>687</v>
      </c>
      <c r="I7" s="1" t="s">
        <v>688</v>
      </c>
      <c r="J7" s="1" t="s">
        <v>689</v>
      </c>
      <c r="K7" s="1" t="s">
        <v>671</v>
      </c>
    </row>
    <row r="8" spans="1:11" ht="30">
      <c r="A8" s="1" t="s">
        <v>330</v>
      </c>
      <c r="B8" s="1" t="s">
        <v>690</v>
      </c>
      <c r="C8" s="1" t="s">
        <v>691</v>
      </c>
      <c r="D8" s="1" t="s">
        <v>692</v>
      </c>
      <c r="E8" s="1" t="s">
        <v>51</v>
      </c>
      <c r="F8" s="1" t="s">
        <v>693</v>
      </c>
      <c r="G8" s="1" t="s">
        <v>694</v>
      </c>
      <c r="H8" s="1" t="s">
        <v>695</v>
      </c>
      <c r="I8" s="1" t="s">
        <v>696</v>
      </c>
      <c r="J8" s="1" t="s">
        <v>697</v>
      </c>
      <c r="K8" s="1" t="s">
        <v>671</v>
      </c>
    </row>
    <row r="9" spans="1:11" ht="15">
      <c r="A9" s="1" t="s">
        <v>698</v>
      </c>
      <c r="B9" s="1" t="s">
        <v>699</v>
      </c>
      <c r="C9" s="1" t="s">
        <v>700</v>
      </c>
      <c r="D9" s="1" t="s">
        <v>701</v>
      </c>
      <c r="E9" s="1" t="s">
        <v>112</v>
      </c>
      <c r="F9" s="1" t="s">
        <v>702</v>
      </c>
      <c r="G9" s="1" t="s">
        <v>703</v>
      </c>
      <c r="H9" s="1" t="s">
        <v>704</v>
      </c>
      <c r="I9" s="1" t="s">
        <v>705</v>
      </c>
      <c r="J9" s="1" t="s">
        <v>706</v>
      </c>
      <c r="K9" s="1" t="s">
        <v>671</v>
      </c>
    </row>
    <row r="10" spans="1:11" ht="30">
      <c r="A10" s="1" t="s">
        <v>707</v>
      </c>
      <c r="B10" s="1" t="s">
        <v>708</v>
      </c>
      <c r="C10" s="1" t="s">
        <v>709</v>
      </c>
      <c r="D10" s="1" t="s">
        <v>710</v>
      </c>
      <c r="E10" s="1" t="s">
        <v>711</v>
      </c>
      <c r="F10" s="1" t="s">
        <v>712</v>
      </c>
      <c r="G10" s="1" t="s">
        <v>713</v>
      </c>
      <c r="H10" s="1" t="s">
        <v>714</v>
      </c>
      <c r="I10" s="1" t="s">
        <v>715</v>
      </c>
      <c r="J10" s="1" t="s">
        <v>716</v>
      </c>
      <c r="K10" s="1" t="s">
        <v>717</v>
      </c>
    </row>
    <row r="11" spans="1:11" ht="15">
      <c r="A11" s="1" t="s">
        <v>145</v>
      </c>
      <c r="B11" s="1" t="s">
        <v>718</v>
      </c>
      <c r="C11" s="1" t="s">
        <v>719</v>
      </c>
      <c r="D11" s="1" t="s">
        <v>720</v>
      </c>
      <c r="E11" s="1" t="s">
        <v>51</v>
      </c>
      <c r="F11" s="1" t="s">
        <v>721</v>
      </c>
      <c r="G11" s="1" t="s">
        <v>150</v>
      </c>
      <c r="H11" s="1" t="s">
        <v>722</v>
      </c>
      <c r="I11" s="1" t="s">
        <v>723</v>
      </c>
      <c r="J11" s="1" t="s">
        <v>724</v>
      </c>
      <c r="K11" s="1" t="s">
        <v>671</v>
      </c>
    </row>
    <row r="12" spans="1:11" ht="15">
      <c r="A12" s="1" t="s">
        <v>465</v>
      </c>
      <c r="B12" s="1" t="s">
        <v>725</v>
      </c>
      <c r="C12" s="1" t="s">
        <v>726</v>
      </c>
      <c r="D12" s="1" t="s">
        <v>727</v>
      </c>
      <c r="E12" s="1" t="s">
        <v>51</v>
      </c>
      <c r="F12" s="1" t="s">
        <v>728</v>
      </c>
      <c r="G12" s="1" t="s">
        <v>729</v>
      </c>
      <c r="H12" s="1" t="s">
        <v>730</v>
      </c>
      <c r="I12" s="1" t="s">
        <v>731</v>
      </c>
      <c r="J12" s="1" t="s">
        <v>732</v>
      </c>
      <c r="K12" s="1" t="s">
        <v>671</v>
      </c>
    </row>
    <row r="13" spans="1:11" ht="15">
      <c r="A13" s="1" t="s">
        <v>733</v>
      </c>
      <c r="B13" s="1" t="s">
        <v>734</v>
      </c>
      <c r="C13" s="1" t="s">
        <v>735</v>
      </c>
      <c r="D13" s="1" t="s">
        <v>736</v>
      </c>
      <c r="E13" s="1" t="s">
        <v>51</v>
      </c>
      <c r="F13" s="1" t="s">
        <v>737</v>
      </c>
      <c r="G13" s="1" t="s">
        <v>738</v>
      </c>
      <c r="H13" s="1" t="s">
        <v>739</v>
      </c>
      <c r="I13" s="1" t="s">
        <v>740</v>
      </c>
      <c r="J13" s="1" t="s">
        <v>741</v>
      </c>
      <c r="K13" s="1" t="s">
        <v>671</v>
      </c>
    </row>
  </sheetData>
  <mergeCells count="2">
    <mergeCell ref="A1:K1"/>
    <mergeCell ref="A2:K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14"/>
  <sheetViews>
    <sheetView workbookViewId="0"/>
  </sheetViews>
  <sheetFormatPr baseColWidth="10" defaultColWidth="8.83203125" defaultRowHeight="14"/>
  <cols>
    <col min="1" max="1" width="22" customWidth="1"/>
    <col min="2" max="2" width="58" customWidth="1"/>
    <col min="3" max="3" width="40" customWidth="1"/>
    <col min="4" max="4" width="34" customWidth="1"/>
    <col min="5" max="5" width="15" customWidth="1"/>
    <col min="6" max="7" width="18" customWidth="1"/>
    <col min="8" max="8" width="42" customWidth="1"/>
    <col min="9" max="9" width="18" customWidth="1"/>
  </cols>
  <sheetData>
    <row r="1" spans="1:9" ht="42.75" customHeight="1">
      <c r="A1" s="11" t="s">
        <v>742</v>
      </c>
      <c r="B1" s="11"/>
      <c r="C1" s="11"/>
      <c r="D1" s="11"/>
      <c r="E1" s="11"/>
      <c r="F1" s="11"/>
      <c r="G1" s="11"/>
      <c r="H1" s="11"/>
      <c r="I1" s="11"/>
    </row>
    <row r="2" spans="1:9" ht="40" customHeight="1">
      <c r="A2" s="12" t="s">
        <v>743</v>
      </c>
      <c r="B2" s="12"/>
      <c r="C2" s="12"/>
      <c r="D2" s="12"/>
      <c r="E2" s="12"/>
      <c r="F2" s="12"/>
      <c r="G2" s="12"/>
      <c r="H2" s="12"/>
      <c r="I2" s="12"/>
    </row>
    <row r="4" spans="1:9" ht="16">
      <c r="A4" s="3" t="s">
        <v>36</v>
      </c>
      <c r="B4" s="3" t="s">
        <v>744</v>
      </c>
      <c r="C4" s="3" t="s">
        <v>745</v>
      </c>
      <c r="D4" s="3" t="s">
        <v>746</v>
      </c>
      <c r="E4" s="3" t="s">
        <v>747</v>
      </c>
      <c r="F4" s="3" t="s">
        <v>748</v>
      </c>
      <c r="G4" s="3" t="s">
        <v>344</v>
      </c>
      <c r="H4" s="3" t="s">
        <v>749</v>
      </c>
      <c r="I4" s="3" t="s">
        <v>750</v>
      </c>
    </row>
    <row r="5" spans="1:9" ht="30">
      <c r="A5" s="1" t="s">
        <v>119</v>
      </c>
      <c r="B5" s="1" t="s">
        <v>751</v>
      </c>
      <c r="C5" s="1" t="s">
        <v>752</v>
      </c>
      <c r="D5" s="1" t="s">
        <v>753</v>
      </c>
      <c r="E5" s="1" t="s">
        <v>754</v>
      </c>
      <c r="F5" s="1"/>
      <c r="G5" s="1" t="s">
        <v>755</v>
      </c>
      <c r="H5" s="1"/>
      <c r="I5" s="1"/>
    </row>
    <row r="6" spans="1:9" ht="15">
      <c r="A6" s="1" t="s">
        <v>381</v>
      </c>
      <c r="B6" s="1" t="s">
        <v>756</v>
      </c>
      <c r="C6" s="1" t="s">
        <v>757</v>
      </c>
      <c r="D6" s="1" t="s">
        <v>758</v>
      </c>
      <c r="E6" s="1" t="s">
        <v>342</v>
      </c>
      <c r="F6" s="1"/>
      <c r="G6" s="1" t="s">
        <v>755</v>
      </c>
      <c r="H6" s="1"/>
      <c r="I6" s="1"/>
    </row>
    <row r="7" spans="1:9" ht="15">
      <c r="A7" s="1" t="s">
        <v>641</v>
      </c>
      <c r="B7" s="1" t="s">
        <v>759</v>
      </c>
      <c r="C7" s="1" t="s">
        <v>373</v>
      </c>
      <c r="D7" s="1" t="s">
        <v>760</v>
      </c>
      <c r="E7" s="1" t="s">
        <v>342</v>
      </c>
      <c r="F7" s="1"/>
      <c r="G7" s="1" t="s">
        <v>755</v>
      </c>
      <c r="H7" s="1"/>
      <c r="I7" s="1"/>
    </row>
    <row r="8" spans="1:9" ht="15">
      <c r="A8" s="1" t="s">
        <v>642</v>
      </c>
      <c r="B8" s="1" t="s">
        <v>761</v>
      </c>
      <c r="C8" s="1" t="s">
        <v>762</v>
      </c>
      <c r="D8" s="1" t="s">
        <v>763</v>
      </c>
      <c r="E8" s="1" t="s">
        <v>754</v>
      </c>
      <c r="F8" s="1"/>
      <c r="G8" s="1" t="s">
        <v>755</v>
      </c>
      <c r="H8" s="1"/>
      <c r="I8" s="1"/>
    </row>
    <row r="9" spans="1:9" ht="15">
      <c r="A9" s="1" t="s">
        <v>643</v>
      </c>
      <c r="B9" s="1" t="s">
        <v>764</v>
      </c>
      <c r="C9" s="1" t="s">
        <v>765</v>
      </c>
      <c r="D9" s="1" t="s">
        <v>766</v>
      </c>
      <c r="E9" s="1" t="s">
        <v>342</v>
      </c>
      <c r="F9" s="1"/>
      <c r="G9" s="1" t="s">
        <v>755</v>
      </c>
      <c r="H9" s="1"/>
      <c r="I9" s="1"/>
    </row>
    <row r="10" spans="1:9" ht="30">
      <c r="A10" s="1" t="s">
        <v>92</v>
      </c>
      <c r="B10" s="1" t="s">
        <v>767</v>
      </c>
      <c r="C10" s="1" t="s">
        <v>768</v>
      </c>
      <c r="D10" s="1" t="s">
        <v>769</v>
      </c>
      <c r="E10" s="1" t="s">
        <v>754</v>
      </c>
      <c r="F10" s="1"/>
      <c r="G10" s="1" t="s">
        <v>755</v>
      </c>
      <c r="H10" s="1"/>
      <c r="I10" s="1"/>
    </row>
    <row r="11" spans="1:9" ht="15">
      <c r="A11" s="1" t="s">
        <v>770</v>
      </c>
      <c r="B11" s="1" t="s">
        <v>771</v>
      </c>
      <c r="C11" s="1" t="s">
        <v>772</v>
      </c>
      <c r="D11" s="1" t="s">
        <v>356</v>
      </c>
      <c r="E11" s="1" t="s">
        <v>754</v>
      </c>
      <c r="F11" s="1"/>
      <c r="G11" s="1" t="s">
        <v>755</v>
      </c>
      <c r="H11" s="1"/>
      <c r="I11" s="1"/>
    </row>
    <row r="12" spans="1:9" ht="15">
      <c r="A12" s="1" t="s">
        <v>773</v>
      </c>
      <c r="B12" s="1" t="s">
        <v>774</v>
      </c>
      <c r="C12" s="1" t="s">
        <v>219</v>
      </c>
      <c r="D12" s="1" t="s">
        <v>775</v>
      </c>
      <c r="E12" s="1" t="s">
        <v>342</v>
      </c>
      <c r="F12" s="1"/>
      <c r="G12" s="1" t="s">
        <v>755</v>
      </c>
      <c r="H12" s="1"/>
      <c r="I12" s="1"/>
    </row>
    <row r="13" spans="1:9" ht="15">
      <c r="A13" s="1" t="s">
        <v>776</v>
      </c>
      <c r="B13" s="1" t="s">
        <v>777</v>
      </c>
      <c r="C13" s="1" t="s">
        <v>149</v>
      </c>
      <c r="D13" s="1" t="s">
        <v>778</v>
      </c>
      <c r="E13" s="1" t="s">
        <v>342</v>
      </c>
      <c r="F13" s="1"/>
      <c r="G13" s="1" t="s">
        <v>755</v>
      </c>
      <c r="H13" s="1"/>
      <c r="I13" s="1"/>
    </row>
    <row r="14" spans="1:9" ht="15">
      <c r="A14" s="1" t="s">
        <v>779</v>
      </c>
      <c r="B14" s="1" t="s">
        <v>780</v>
      </c>
      <c r="C14" s="1" t="s">
        <v>781</v>
      </c>
      <c r="D14" s="1" t="s">
        <v>782</v>
      </c>
      <c r="E14" s="1" t="s">
        <v>342</v>
      </c>
      <c r="F14" s="1"/>
      <c r="G14" s="1" t="s">
        <v>755</v>
      </c>
      <c r="H14" s="1"/>
      <c r="I14" s="1"/>
    </row>
  </sheetData>
  <mergeCells count="2">
    <mergeCell ref="A1:I1"/>
    <mergeCell ref="A2:I2"/>
  </mergeCells>
  <dataValidations count="1">
    <dataValidation type="list" sqref="G5:G14" xr:uid="{00000000-0002-0000-0900-000000000000}">
      <formula1>"Open,In Review,Validated,Rejected,Deferred"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11"/>
  <sheetViews>
    <sheetView workbookViewId="0"/>
  </sheetViews>
  <sheetFormatPr baseColWidth="10" defaultColWidth="8.83203125" defaultRowHeight="14"/>
  <cols>
    <col min="1" max="1" width="30" customWidth="1"/>
    <col min="2" max="2" width="34" customWidth="1"/>
    <col min="3" max="3" width="42" customWidth="1"/>
    <col min="4" max="4" width="40" customWidth="1"/>
    <col min="5" max="5" width="65" customWidth="1"/>
    <col min="6" max="7" width="18" customWidth="1"/>
    <col min="8" max="8" width="45" customWidth="1"/>
  </cols>
  <sheetData>
    <row r="1" spans="1:8" ht="42.75" customHeight="1">
      <c r="A1" s="11" t="s">
        <v>783</v>
      </c>
      <c r="B1" s="11"/>
      <c r="C1" s="11"/>
      <c r="D1" s="11"/>
      <c r="E1" s="11"/>
      <c r="F1" s="11"/>
      <c r="G1" s="11"/>
      <c r="H1" s="11"/>
    </row>
    <row r="2" spans="1:8" ht="40" customHeight="1">
      <c r="A2" s="12" t="s">
        <v>784</v>
      </c>
      <c r="B2" s="12"/>
      <c r="C2" s="12"/>
      <c r="D2" s="12"/>
      <c r="E2" s="12"/>
      <c r="F2" s="12"/>
      <c r="G2" s="12"/>
      <c r="H2" s="12"/>
    </row>
    <row r="4" spans="1:8" ht="16">
      <c r="A4" s="3" t="s">
        <v>462</v>
      </c>
      <c r="B4" s="3" t="s">
        <v>785</v>
      </c>
      <c r="C4" s="3" t="s">
        <v>786</v>
      </c>
      <c r="D4" s="3" t="s">
        <v>787</v>
      </c>
      <c r="E4" s="3" t="s">
        <v>463</v>
      </c>
      <c r="F4" s="3" t="s">
        <v>464</v>
      </c>
      <c r="G4" s="3" t="s">
        <v>788</v>
      </c>
      <c r="H4" s="3" t="s">
        <v>789</v>
      </c>
    </row>
    <row r="5" spans="1:8" ht="15">
      <c r="A5" s="1" t="s">
        <v>98</v>
      </c>
      <c r="B5" s="1" t="s">
        <v>790</v>
      </c>
      <c r="C5" s="1" t="s">
        <v>791</v>
      </c>
      <c r="D5" s="1" t="s">
        <v>792</v>
      </c>
      <c r="E5" s="1" t="s">
        <v>508</v>
      </c>
      <c r="F5" s="1" t="s">
        <v>509</v>
      </c>
      <c r="G5" s="1" t="s">
        <v>51</v>
      </c>
      <c r="H5" s="1" t="s">
        <v>793</v>
      </c>
    </row>
    <row r="6" spans="1:8" ht="45">
      <c r="A6" s="1" t="s">
        <v>794</v>
      </c>
      <c r="B6" s="1" t="s">
        <v>795</v>
      </c>
      <c r="C6" s="1" t="s">
        <v>796</v>
      </c>
      <c r="D6" s="1" t="s">
        <v>797</v>
      </c>
      <c r="E6" s="1" t="s">
        <v>485</v>
      </c>
      <c r="F6" s="1" t="s">
        <v>509</v>
      </c>
      <c r="G6" s="1" t="s">
        <v>51</v>
      </c>
      <c r="H6" s="1" t="s">
        <v>798</v>
      </c>
    </row>
    <row r="7" spans="1:8" ht="30">
      <c r="A7" s="1" t="s">
        <v>799</v>
      </c>
      <c r="B7" s="1" t="s">
        <v>795</v>
      </c>
      <c r="C7" s="1" t="s">
        <v>800</v>
      </c>
      <c r="D7" s="1" t="s">
        <v>801</v>
      </c>
      <c r="E7" s="1" t="s">
        <v>495</v>
      </c>
      <c r="F7" s="1" t="s">
        <v>509</v>
      </c>
      <c r="G7" s="1" t="s">
        <v>51</v>
      </c>
      <c r="H7" s="1" t="s">
        <v>84</v>
      </c>
    </row>
    <row r="8" spans="1:8" ht="15">
      <c r="A8" s="1" t="s">
        <v>475</v>
      </c>
      <c r="B8" s="1" t="s">
        <v>90</v>
      </c>
      <c r="C8" s="1" t="s">
        <v>802</v>
      </c>
      <c r="D8" s="1" t="s">
        <v>803</v>
      </c>
      <c r="E8" s="1" t="s">
        <v>476</v>
      </c>
      <c r="F8" s="1" t="s">
        <v>477</v>
      </c>
      <c r="G8" s="1" t="s">
        <v>51</v>
      </c>
      <c r="H8" s="1" t="s">
        <v>804</v>
      </c>
    </row>
    <row r="9" spans="1:8" ht="15">
      <c r="A9" s="1" t="s">
        <v>805</v>
      </c>
      <c r="B9" s="1" t="s">
        <v>90</v>
      </c>
      <c r="C9" s="1" t="s">
        <v>806</v>
      </c>
      <c r="D9" s="1" t="s">
        <v>807</v>
      </c>
      <c r="E9" s="1" t="s">
        <v>527</v>
      </c>
      <c r="F9" s="1" t="s">
        <v>509</v>
      </c>
      <c r="G9" s="1" t="s">
        <v>51</v>
      </c>
      <c r="H9" s="1" t="s">
        <v>808</v>
      </c>
    </row>
    <row r="10" spans="1:8" ht="30">
      <c r="A10" s="1" t="s">
        <v>809</v>
      </c>
      <c r="B10" s="1" t="s">
        <v>810</v>
      </c>
      <c r="C10" s="1" t="s">
        <v>811</v>
      </c>
      <c r="D10" s="1" t="s">
        <v>812</v>
      </c>
      <c r="E10" s="1" t="s">
        <v>536</v>
      </c>
      <c r="F10" s="1" t="s">
        <v>537</v>
      </c>
      <c r="G10" s="1" t="s">
        <v>813</v>
      </c>
      <c r="H10" s="1" t="s">
        <v>814</v>
      </c>
    </row>
    <row r="11" spans="1:8" ht="15">
      <c r="A11" s="1" t="s">
        <v>815</v>
      </c>
      <c r="B11" s="1" t="s">
        <v>554</v>
      </c>
      <c r="C11" s="1" t="s">
        <v>816</v>
      </c>
      <c r="D11" s="1" t="s">
        <v>334</v>
      </c>
      <c r="E11" s="1" t="s">
        <v>547</v>
      </c>
      <c r="F11" s="1" t="s">
        <v>509</v>
      </c>
      <c r="G11" s="1" t="s">
        <v>51</v>
      </c>
      <c r="H11" s="1" t="s">
        <v>817</v>
      </c>
    </row>
  </sheetData>
  <mergeCells count="2">
    <mergeCell ref="A1:H1"/>
    <mergeCell ref="A2:H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10"/>
  <sheetViews>
    <sheetView workbookViewId="0"/>
  </sheetViews>
  <sheetFormatPr baseColWidth="10" defaultColWidth="8.83203125" defaultRowHeight="14"/>
  <cols>
    <col min="1" max="1" width="28" customWidth="1"/>
    <col min="2" max="2" width="105" customWidth="1"/>
  </cols>
  <sheetData>
    <row r="1" spans="1:8" ht="42.75" customHeight="1">
      <c r="A1" s="11" t="s">
        <v>818</v>
      </c>
      <c r="B1" s="11"/>
      <c r="C1" s="11"/>
      <c r="D1" s="11"/>
      <c r="E1" s="11"/>
      <c r="F1" s="11"/>
      <c r="G1" s="11"/>
      <c r="H1" s="11"/>
    </row>
    <row r="2" spans="1:8" ht="40" customHeight="1">
      <c r="A2" s="12" t="s">
        <v>819</v>
      </c>
      <c r="B2" s="12"/>
      <c r="C2" s="12"/>
      <c r="D2" s="12"/>
      <c r="E2" s="12"/>
      <c r="F2" s="12"/>
      <c r="G2" s="12"/>
      <c r="H2" s="12"/>
    </row>
    <row r="4" spans="1:8" ht="16">
      <c r="A4" s="3" t="s">
        <v>820</v>
      </c>
      <c r="B4" s="3" t="s">
        <v>821</v>
      </c>
    </row>
    <row r="5" spans="1:8" ht="15">
      <c r="A5" s="1" t="s">
        <v>822</v>
      </c>
      <c r="B5" s="1" t="s">
        <v>823</v>
      </c>
    </row>
    <row r="6" spans="1:8" ht="15">
      <c r="A6" s="1" t="s">
        <v>824</v>
      </c>
      <c r="B6" s="1" t="s">
        <v>825</v>
      </c>
    </row>
    <row r="7" spans="1:8" ht="15">
      <c r="A7" s="1" t="s">
        <v>826</v>
      </c>
      <c r="B7" s="1" t="s">
        <v>827</v>
      </c>
    </row>
    <row r="8" spans="1:8" ht="15">
      <c r="A8" s="1" t="s">
        <v>17</v>
      </c>
      <c r="B8" s="1" t="s">
        <v>828</v>
      </c>
    </row>
    <row r="9" spans="1:8" ht="15">
      <c r="A9" s="1" t="s">
        <v>829</v>
      </c>
      <c r="B9" s="1" t="s">
        <v>830</v>
      </c>
    </row>
    <row r="10" spans="1:8" ht="15">
      <c r="A10" s="1" t="s">
        <v>831</v>
      </c>
      <c r="B10" s="1" t="s">
        <v>832</v>
      </c>
    </row>
  </sheetData>
  <mergeCells count="2">
    <mergeCell ref="A1:H1"/>
    <mergeCell ref="A2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00 Read Me</vt:lpstr>
      <vt:lpstr>01 Competitor Baseline</vt:lpstr>
      <vt:lpstr>02 Results Design</vt:lpstr>
      <vt:lpstr>03 User Questions</vt:lpstr>
      <vt:lpstr>04 Calculation Model</vt:lpstr>
      <vt:lpstr>05 Benchmark Library</vt:lpstr>
      <vt:lpstr>How We Built These Estimates</vt:lpstr>
      <vt:lpstr>06 Sample Scenario</vt:lpstr>
      <vt:lpstr>07 Web App Spec</vt:lpstr>
      <vt:lpstr>08 Validation Checklist</vt:lpstr>
      <vt:lpstr>09 Sources</vt:lpstr>
      <vt:lpstr>10 Refinement 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Lydia Bailey</cp:lastModifiedBy>
  <dcterms:created xsi:type="dcterms:W3CDTF">2026-07-16T21:45:04Z</dcterms:created>
  <dcterms:modified xsi:type="dcterms:W3CDTF">2026-07-16T21:45:04Z</dcterms:modified>
</cp:coreProperties>
</file>