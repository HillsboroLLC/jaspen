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dbailey/Projects/jaspen-git/jaspen/docs/marketing/"/>
    </mc:Choice>
  </mc:AlternateContent>
  <xr:revisionPtr revIDLastSave="0" documentId="8_{A92DE0BD-0865-4D47-9AE0-22A16FEE4EF3}" xr6:coauthVersionLast="47" xr6:coauthVersionMax="47" xr10:uidLastSave="{00000000-0000-0000-0000-000000000000}"/>
  <bookViews>
    <workbookView xWindow="0" yWindow="680" windowWidth="30240" windowHeight="18980" firstSheet="1" activeTab="8" xr2:uid="{00000000-000D-0000-FFFF-FFFF00000000}"/>
  </bookViews>
  <sheets>
    <sheet name="00 Read Me" sheetId="1" r:id="rId1"/>
    <sheet name="01 Competitor Baseline" sheetId="2" r:id="rId2"/>
    <sheet name="02 Results Design" sheetId="3" r:id="rId3"/>
    <sheet name="03 User Questions" sheetId="4" r:id="rId4"/>
    <sheet name="04 Calculation Model" sheetId="5" r:id="rId5"/>
    <sheet name="05 Benchmark Library" sheetId="6" r:id="rId6"/>
    <sheet name="06 Sample Scenario" sheetId="7" r:id="rId7"/>
    <sheet name="07 Web App Spec" sheetId="8" r:id="rId8"/>
    <sheet name="08 Validation Checklist" sheetId="9" r:id="rId9"/>
    <sheet name="09 Sour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7" l="1"/>
  <c r="E25" i="7"/>
  <c r="D25" i="7"/>
  <c r="C25" i="7"/>
  <c r="G9" i="7"/>
  <c r="G8" i="7"/>
  <c r="G5" i="7"/>
  <c r="E26" i="7" l="1"/>
  <c r="C26" i="7"/>
  <c r="D26" i="7"/>
  <c r="D32" i="7"/>
  <c r="C29" i="7"/>
  <c r="E27" i="7"/>
  <c r="E32" i="7"/>
  <c r="C32" i="7"/>
  <c r="E31" i="7"/>
  <c r="D31" i="7"/>
  <c r="C31" i="7"/>
  <c r="D29" i="7"/>
  <c r="D27" i="7"/>
  <c r="C27" i="7"/>
  <c r="G10" i="7"/>
  <c r="G6" i="7"/>
  <c r="G7" i="7"/>
  <c r="D35" i="7" l="1"/>
  <c r="C28" i="7"/>
  <c r="E28" i="7"/>
  <c r="D28" i="7"/>
  <c r="D30" i="7"/>
  <c r="C30" i="7"/>
  <c r="C35" i="7" s="1"/>
  <c r="E30" i="7"/>
  <c r="E35" i="7" s="1"/>
  <c r="C36" i="7" l="1"/>
  <c r="C34" i="7"/>
  <c r="E34" i="7"/>
  <c r="E36" i="7"/>
  <c r="D36" i="7"/>
  <c r="D34" i="7"/>
  <c r="J32" i="7" l="1"/>
  <c r="J31" i="7"/>
  <c r="J28" i="7"/>
  <c r="J30" i="7"/>
  <c r="J29" i="7"/>
  <c r="J27" i="7"/>
  <c r="J26" i="7"/>
  <c r="J25" i="7"/>
  <c r="G14" i="7"/>
  <c r="G15" i="7" s="1"/>
</calcChain>
</file>

<file path=xl/sharedStrings.xml><?xml version="1.0" encoding="utf-8"?>
<sst xmlns="http://schemas.openxmlformats.org/spreadsheetml/2006/main" count="1569" uniqueCount="1013">
  <si>
    <t>Jaspen Estimated Cost of Turnover + Institutional Memory Utility</t>
  </si>
  <si>
    <t>Comprehensive review workbook: competitor baseline, proposed user flow, benchmark defaults, calculation methodology, results design, and web-app build requirements.</t>
  </si>
  <si>
    <t>Workbook purpose</t>
  </si>
  <si>
    <t>Define a credible, transparent web utility that estimates the cost of employee turnover and extends standard calculators to include the cost of losing tacit knowledge, project context, lessons learned, and institutional memory.</t>
  </si>
  <si>
    <t>Primary user promise</t>
  </si>
  <si>
    <t>Estimate what losing a person in a specific role may cost your organization, including costs that traditional turnover calculators commonly omit.</t>
  </si>
  <si>
    <t>Utility boundary</t>
  </si>
  <si>
    <t>The utility does not predict whether a project will succeed, prevent turnover, or claim Jaspen eliminates the full estimated cost.</t>
  </si>
  <si>
    <t>Jaspen connection</t>
  </si>
  <si>
    <t>After the utility delivers standalone value, Jaspen is introduced as a contextual thought partner that can preserve project history, assumptions, lessons learned, and connected business context over time.</t>
  </si>
  <si>
    <t>Target experience</t>
  </si>
  <si>
    <t>Zillow-like: start with credible defaults, let the user review or replace them, show sources, calculate immediately, and disclose how much of the estimate used benchmarks versus customized inputs.</t>
  </si>
  <si>
    <t>Recommended launch geography</t>
  </si>
  <si>
    <t>United States first. Country defaults to United States and is hidden or lightly displayed in v1.</t>
  </si>
  <si>
    <t>Benchmark hierarchy</t>
  </si>
  <si>
    <t>1) Organization input, 2) occupation/role-level benchmark, 3) industry refinement when available, 4) national fallback.</t>
  </si>
  <si>
    <t>Key transparency element</t>
  </si>
  <si>
    <t>Built Using: percentage of calculation weight based on published benchmarks versus organization-specific inputs.</t>
  </si>
  <si>
    <t>Current status</t>
  </si>
  <si>
    <t>Design model for review and external validation. Not production-ready until benchmark licensing, methodology, and double-counting tests are completed.</t>
  </si>
  <si>
    <t>Recommended review order</t>
  </si>
  <si>
    <t>1</t>
  </si>
  <si>
    <t>Review 02 Results Design</t>
  </si>
  <si>
    <t>2</t>
  </si>
  <si>
    <t>Review 03 User Questions</t>
  </si>
  <si>
    <t>3</t>
  </si>
  <si>
    <t>Review 04 Calculation Model and double-counting rules</t>
  </si>
  <si>
    <t>4</t>
  </si>
  <si>
    <t>Review 05 Benchmark Library and identify missing licensed/proprietary data</t>
  </si>
  <si>
    <t>5</t>
  </si>
  <si>
    <t>Test formulas in 06 Sample Scenario</t>
  </si>
  <si>
    <t>6</t>
  </si>
  <si>
    <t>Use 07 Web App Spec to validate with Claude/Sonnet</t>
  </si>
  <si>
    <t>7</t>
  </si>
  <si>
    <t>Use 08 Validation Checklist before asking Codex to build</t>
  </si>
  <si>
    <t>Competitor Baseline and Market Overlap</t>
  </si>
  <si>
    <t>Consolidates the common structure observed across turnover, attrition, cost-per-hire, ROI, knowledge-loss, and organizational-amnesia calculators reviewed.</t>
  </si>
  <si>
    <t>Cost / Input Area</t>
  </si>
  <si>
    <t>Common in Existing Tools?</t>
  </si>
  <si>
    <t>Typical User Question</t>
  </si>
  <si>
    <t>Typical Formula / Treatment</t>
  </si>
  <si>
    <t>Keep in Jaspen Utility?</t>
  </si>
  <si>
    <t>Jaspen Enhancement</t>
  </si>
  <si>
    <t>Risk / Note</t>
  </si>
  <si>
    <t>Source Type</t>
  </si>
  <si>
    <t>Validation Status</t>
  </si>
  <si>
    <t>Priority</t>
  </si>
  <si>
    <t>Owner Note</t>
  </si>
  <si>
    <t>Annual salary / compensation</t>
  </si>
  <si>
    <t>Yes - nearly universal</t>
  </si>
  <si>
    <t>What is the annual salary for this role?</t>
  </si>
  <si>
    <t>Base compensation used to derive daily/hourly cost</t>
  </si>
  <si>
    <t>Yes</t>
  </si>
  <si>
    <t>Pre-fill from BLS occupation/role benchmark; user can overwrite</t>
  </si>
  <si>
    <t>Salary alone understates employer cost</t>
  </si>
  <si>
    <t>Existing calculators + BLS</t>
  </si>
  <si>
    <t>Grounded</t>
  </si>
  <si>
    <t>Must have</t>
  </si>
  <si>
    <t>Fully loaded compensation</t>
  </si>
  <si>
    <t>Sometimes</t>
  </si>
  <si>
    <t>What does this employee cost after benefits and employer costs?</t>
  </si>
  <si>
    <t>Salary ÷ wage share of total compensation</t>
  </si>
  <si>
    <t>Use BLS ECEC wage/benefit split; show multiplier</t>
  </si>
  <si>
    <t>Do not double-count direct recruiting costs</t>
  </si>
  <si>
    <t>BLS ECEC</t>
  </si>
  <si>
    <t>Number of departures / turnover</t>
  </si>
  <si>
    <t>How many people in this role leave each year?</t>
  </si>
  <si>
    <t>Headcount × annual turnover rate or direct departures</t>
  </si>
  <si>
    <t>Allow direct number or benchmark turnover rate</t>
  </si>
  <si>
    <t>Quits rate is not identical to all turnover</t>
  </si>
  <si>
    <t>BLS JOLTS</t>
  </si>
  <si>
    <t>Grounded with caveat</t>
  </si>
  <si>
    <t>Recruiting / sourcing</t>
  </si>
  <si>
    <t>What do you spend to recruit one replacement?</t>
  </si>
  <si>
    <t>Cost per hire × departures</t>
  </si>
  <si>
    <t>Default by executive vs nonexecutive level</t>
  </si>
  <si>
    <t>SHRM cost-per-hire includes mixed cost definitions</t>
  </si>
  <si>
    <t>SHRM</t>
  </si>
  <si>
    <t>Interview / hiring administration</t>
  </si>
  <si>
    <t>Often</t>
  </si>
  <si>
    <t>How many employee hours are spent interviewing and processing a hire?</t>
  </si>
  <si>
    <t>Internal hours × blended labor rate</t>
  </si>
  <si>
    <t>Yes, but optional</t>
  </si>
  <si>
    <t>Keep visible as part of hiring cost; avoid long questionnaire</t>
  </si>
  <si>
    <t>May already be embedded in SHRM cost-per-hire</t>
  </si>
  <si>
    <t>Existing tools</t>
  </si>
  <si>
    <t>Needs double-count test</t>
  </si>
  <si>
    <t>Should have</t>
  </si>
  <si>
    <t>Time to fill / vacancy</t>
  </si>
  <si>
    <t>How long is the role typically vacant?</t>
  </si>
  <si>
    <t>Vacancy days × productive-capacity value</t>
  </si>
  <si>
    <t>Pre-fill by role level; user edits</t>
  </si>
  <si>
    <t>Lost capacity is not necessarily 100% of compensation</t>
  </si>
  <si>
    <t>Grounded + model choice</t>
  </si>
  <si>
    <t>Vacancy coverage</t>
  </si>
  <si>
    <t>How much of the work is absorbed by others, deferred, or lost?</t>
  </si>
  <si>
    <t>Vacancy cost × uncovered-work percentage</t>
  </si>
  <si>
    <t>Use one simple coverage slider or dropdown</t>
  </si>
  <si>
    <t>Prevents assuming all salary equals lost value</t>
  </si>
  <si>
    <t>Model design</t>
  </si>
  <si>
    <t>Needs validation</t>
  </si>
  <si>
    <t>Onboarding / training</t>
  </si>
  <si>
    <t>What direct training and onboarding spend is required?</t>
  </si>
  <si>
    <t>Direct cost × departures</t>
  </si>
  <si>
    <t>Benchmark default plus edit</t>
  </si>
  <si>
    <t>Separate cash spend from labor time</t>
  </si>
  <si>
    <t>Needs source</t>
  </si>
  <si>
    <t>Ramp-up productivity</t>
  </si>
  <si>
    <t>How long until a replacement is performing at the expected level?</t>
  </si>
  <si>
    <t>Ramp period × average productivity gap × loaded labor cost</t>
  </si>
  <si>
    <t>Editable benchmark; no claim that one ramp period fits all jobs</t>
  </si>
  <si>
    <t>Benchmark may vary more by occupation and complexity than industry</t>
  </si>
  <si>
    <t>Existing tools + research</t>
  </si>
  <si>
    <t>Needs calibrated benchmark</t>
  </si>
  <si>
    <t>Knowledge transfer</t>
  </si>
  <si>
    <t>Some</t>
  </si>
  <si>
    <t>How much time do departing and receiving employees spend transferring knowledge?</t>
  </si>
  <si>
    <t>Transfer hours × combined loaded hourly rates</t>
  </si>
  <si>
    <t>Add structured handoff time, overlap, and internal recipient time</t>
  </si>
  <si>
    <t>Only available when departure is planned</t>
  </si>
  <si>
    <t>Knowledge-loss tools</t>
  </si>
  <si>
    <t>Needs benchmark</t>
  </si>
  <si>
    <t>Differentiator</t>
  </si>
  <si>
    <t>Context rediscovery</t>
  </si>
  <si>
    <t>Rare</t>
  </si>
  <si>
    <t>How long will a replacement spend rebuilding historical context that was not transferred?</t>
  </si>
  <si>
    <t>Rediscovery hours × replacement loaded hourly rate</t>
  </si>
  <si>
    <t>Explicitly include why processes exist, prior tradeoffs, vendor/customer history, past project context</t>
  </si>
  <si>
    <t>Must distinguish from ordinary ramp-up</t>
  </si>
  <si>
    <t>Jaspen enhancement</t>
  </si>
  <si>
    <t>Methodology proposed</t>
  </si>
  <si>
    <t>Institutional-memory reconstruction</t>
  </si>
  <si>
    <t>How much coworker time will be spent recreating missing documents, lessons, or history?</t>
  </si>
  <si>
    <t>Internal support hours × blended loaded hourly rate</t>
  </si>
  <si>
    <t>Calculate time paid twice to recreate knowledge the organization previously held</t>
  </si>
  <si>
    <t>Potential overlap with rediscovery and project disruption</t>
  </si>
  <si>
    <t>Project disruption</t>
  </si>
  <si>
    <t>How many active initiatives depend on this role and how much additional effort or delay follows?</t>
  </si>
  <si>
    <t>Affected projects × added team hours × blended rate; optional delay cost</t>
  </si>
  <si>
    <t>Yes, optional module</t>
  </si>
  <si>
    <t>Use labor-based impact in v1; avoid speculative project-value prediction</t>
  </si>
  <si>
    <t>Needs strict double-counting rule</t>
  </si>
  <si>
    <t>Customer / supplier relationship loss</t>
  </si>
  <si>
    <t>Occasional</t>
  </si>
  <si>
    <t>Does this role own relationships that may be lost or disrupted?</t>
  </si>
  <si>
    <t>At-risk relationships × replacement/acquisition/recovery cost</t>
  </si>
  <si>
    <t>Optional</t>
  </si>
  <si>
    <t>Include only when user can supply customer/supplier economics</t>
  </si>
  <si>
    <t>CAC × churn is not universally correct; requires a scenario-specific model</t>
  </si>
  <si>
    <t>Turnover calculators</t>
  </si>
  <si>
    <t>Needs careful scoping</t>
  </si>
  <si>
    <t>Total cost</t>
  </si>
  <si>
    <t>What is the estimated cost of losing this role?</t>
  </si>
  <si>
    <t>Sum of non-overlapping cost components</t>
  </si>
  <si>
    <t>Show standard turnover subtotal plus added knowledge/context subtotal</t>
  </si>
  <si>
    <t>Never add overlapping subtotals twice</t>
  </si>
  <si>
    <t>All</t>
  </si>
  <si>
    <t>Core design</t>
  </si>
  <si>
    <t>Benchmark vs customized makeup</t>
  </si>
  <si>
    <t>How much of this result used my data versus defaults?</t>
  </si>
  <si>
    <t>Weighted percentage by modeled cost contribution</t>
  </si>
  <si>
    <t>Built Using: X% published benchmarks / Y% organization inputs</t>
  </si>
  <si>
    <t>Composition is not accuracy or confidence</t>
  </si>
  <si>
    <t>Proposed Results Page</t>
  </si>
  <si>
    <t>The user should receive a useful financial estimate before seeing any Jaspen connection. Standard turnover costs and added institutional-memory costs are separated for clarity.</t>
  </si>
  <si>
    <t>Section</t>
  </si>
  <si>
    <t>Displayed Result</t>
  </si>
  <si>
    <t>Definition</t>
  </si>
  <si>
    <t>Additive to Total?</t>
  </si>
  <si>
    <t>Format</t>
  </si>
  <si>
    <t>Formula Source</t>
  </si>
  <si>
    <t>User Value</t>
  </si>
  <si>
    <t>Jaspen Relevance</t>
  </si>
  <si>
    <t>V1?</t>
  </si>
  <si>
    <t>Review Decision</t>
  </si>
  <si>
    <t>Hero</t>
  </si>
  <si>
    <t>Estimated cost of losing this role</t>
  </si>
  <si>
    <t>Total modeled turnover and knowledge-loss cost for the selected number of departures</t>
  </si>
  <si>
    <t>Large dollar range + midpoint</t>
  </si>
  <si>
    <t>Sum of additive components</t>
  </si>
  <si>
    <t>Immediate answer</t>
  </si>
  <si>
    <t>None in hero</t>
  </si>
  <si>
    <t>Summary</t>
  </si>
  <si>
    <t>Traditional turnover costs</t>
  </si>
  <si>
    <t>Recruiting, hiring, vacancy, onboarding, and productivity costs</t>
  </si>
  <si>
    <t>Subtotal</t>
  </si>
  <si>
    <t>Dollar + % of total</t>
  </si>
  <si>
    <t>Standard model components</t>
  </si>
  <si>
    <t>Recognizable baseline</t>
  </si>
  <si>
    <t>None</t>
  </si>
  <si>
    <t>Knowledge and context costs</t>
  </si>
  <si>
    <t>Knowledge transfer, rediscovery, institutional-memory reconstruction, and project disruption</t>
  </si>
  <si>
    <t>Enhanced model components</t>
  </si>
  <si>
    <t>Shows commonly omitted costs</t>
  </si>
  <si>
    <t>Direct thematic connection</t>
  </si>
  <si>
    <t>Breakdown</t>
  </si>
  <si>
    <t>Recruiting and sourcing</t>
  </si>
  <si>
    <t>External and internal recruiting cost per replacement</t>
  </si>
  <si>
    <t>Dollar</t>
  </si>
  <si>
    <t>Familiar cost</t>
  </si>
  <si>
    <t>No direct claim</t>
  </si>
  <si>
    <t>Hiring administration</t>
  </si>
  <si>
    <t>Interview, screening, offer, and administrative labor not already included in chosen cost-per-hire benchmark</t>
  </si>
  <si>
    <t>Conditional</t>
  </si>
  <si>
    <t>Hours × blended rate</t>
  </si>
  <si>
    <t>Makes internal time visible</t>
  </si>
  <si>
    <t>Vacancy capacity loss</t>
  </si>
  <si>
    <t>Value of work not covered while role is vacant</t>
  </si>
  <si>
    <t>Vacancy days × daily loaded cost × uncovered %</t>
  </si>
  <si>
    <t>Shows cost of empty seat</t>
  </si>
  <si>
    <t>Onboarding and direct training</t>
  </si>
  <si>
    <t>Cash and labor cost to onboard replacement</t>
  </si>
  <si>
    <t>Direct cost + onboarding labor</t>
  </si>
  <si>
    <t>Ramp-up productivity loss</t>
  </si>
  <si>
    <t>Difference between expected and actual productivity during ramp-up</t>
  </si>
  <si>
    <t>Ramp period × avg productivity gap × loaded cost</t>
  </si>
  <si>
    <t>Shows hidden labor cost</t>
  </si>
  <si>
    <t>Time spent transferring role-specific knowledge before or after departure</t>
  </si>
  <si>
    <t>Transfer hours × source/recipient rates</t>
  </si>
  <si>
    <t>Values handoff effort</t>
  </si>
  <si>
    <t>Jaspen can supplement capture, not replace human handoff</t>
  </si>
  <si>
    <t>Replacement time spent reconstructing why work is done a certain way and what happened before</t>
  </si>
  <si>
    <t>Rediscovery hours × replacement rate</t>
  </si>
  <si>
    <t>Quantifies repeated learning</t>
  </si>
  <si>
    <t>Jaspen can preserve context</t>
  </si>
  <si>
    <t>Coworker and leader time spent recreating missing records, lessons, rationale, and history</t>
  </si>
  <si>
    <t>Support hours × blended rate</t>
  </si>
  <si>
    <t>Quantifies knowledge paid for twice</t>
  </si>
  <si>
    <t>Core Jaspen connection</t>
  </si>
  <si>
    <t>Additional project-team effort caused by the knowledge gap</t>
  </si>
  <si>
    <t>Yes if labor-only</t>
  </si>
  <si>
    <t>Projects × added team hours × blended rate</t>
  </si>
  <si>
    <t>Makes active initiative impact visible</t>
  </si>
  <si>
    <t>Connected project history can reduce context gaps</t>
  </si>
  <si>
    <t>Optional v1</t>
  </si>
  <si>
    <t>Customer/supplier continuity</t>
  </si>
  <si>
    <t>Relationship recovery or customer replacement cost where user provides valid economics</t>
  </si>
  <si>
    <t>Scenario-specific</t>
  </si>
  <si>
    <t>Useful for relationship-heavy roles</t>
  </si>
  <si>
    <t>Jaspen does not claim to prevent relationship loss</t>
  </si>
  <si>
    <t>Later</t>
  </si>
  <si>
    <t>Insight</t>
  </si>
  <si>
    <t>Largest cost drivers</t>
  </si>
  <si>
    <t>Top three additive categories</t>
  </si>
  <si>
    <t>No</t>
  </si>
  <si>
    <t>Ranked list</t>
  </si>
  <si>
    <t>Sort component values</t>
  </si>
  <si>
    <t>Prioritizes attention</t>
  </si>
  <si>
    <t>No sales language required</t>
  </si>
  <si>
    <t>Transparency</t>
  </si>
  <si>
    <t>Built Using</t>
  </si>
  <si>
    <t>Share of weighted estimate based on published benchmarks versus customized inputs</t>
  </si>
  <si>
    <t>Two percentages</t>
  </si>
  <si>
    <t>Cost-weighted input provenance</t>
  </si>
  <si>
    <t>Transparent model makeup</t>
  </si>
  <si>
    <t>Supports trustworthy positioning</t>
  </si>
  <si>
    <t>Key assumptions</t>
  </si>
  <si>
    <t>Only assumptions that materially changed the estimate</t>
  </si>
  <si>
    <t>Editable list</t>
  </si>
  <si>
    <t>Input values + source labels</t>
  </si>
  <si>
    <t>Enables review with Finance/HR</t>
  </si>
  <si>
    <t>Estimate range</t>
  </si>
  <si>
    <t>Low, midpoint, and high result based on uncertainty bands for benchmark-driven variables</t>
  </si>
  <si>
    <t>Range</t>
  </si>
  <si>
    <t>Scenario sensitivity</t>
  </si>
  <si>
    <t>Avoids false precision</t>
  </si>
  <si>
    <t>Matches Jaspen's honesty principle</t>
  </si>
  <si>
    <t>Recommended</t>
  </si>
  <si>
    <t>CTA</t>
  </si>
  <si>
    <t>Preserve more of what your organization already knows</t>
  </si>
  <si>
    <t>Brief explanation that Jaspen can retain connected context, project history, lessons, and rationale over time</t>
  </si>
  <si>
    <t>Soft CTA</t>
  </si>
  <si>
    <t>Marketing copy</t>
  </si>
  <si>
    <t>Natural next step</t>
  </si>
  <si>
    <t>Does not promise to eliminate turnover cost</t>
  </si>
  <si>
    <t>Proposed Questionnaire and Benchmark Review Flow</t>
  </si>
  <si>
    <t>Designed to minimize abandonment: six core user inputs, followed by a pre-populated benchmark review screen and a short optional knowledge-impact module.</t>
  </si>
  <si>
    <t>Step</t>
  </si>
  <si>
    <t>Field / Question</t>
  </si>
  <si>
    <t>Purpose</t>
  </si>
  <si>
    <t>Required?</t>
  </si>
  <si>
    <t>Input Type</t>
  </si>
  <si>
    <t>Options / Units</t>
  </si>
  <si>
    <t>Initial Value</t>
  </si>
  <si>
    <t>Fallback Logic</t>
  </si>
  <si>
    <t>Drives Cost Categories</t>
  </si>
  <si>
    <t>Source Label Shown?</t>
  </si>
  <si>
    <t>Abandonment Risk</t>
  </si>
  <si>
    <t>Review Note</t>
  </si>
  <si>
    <t>1. Role setup</t>
  </si>
  <si>
    <t>How many people in this role are expected to leave or be replaced?</t>
  </si>
  <si>
    <t>Scale the calculation</t>
  </si>
  <si>
    <t>Number</t>
  </si>
  <si>
    <t>Departures per year or scenario</t>
  </si>
  <si>
    <t>Low</t>
  </si>
  <si>
    <t>Role category</t>
  </si>
  <si>
    <t>Select appropriate wage and work-pattern benchmark family</t>
  </si>
  <si>
    <t>Dropdown</t>
  </si>
  <si>
    <t>Corporate/knowledge; Operations/field; Technical/engineering; Sales/customer; Executive leadership; Other</t>
  </si>
  <si>
    <t>Corporate/knowledge</t>
  </si>
  <si>
    <t>National category fallback</t>
  </si>
  <si>
    <t>Salary, vacancy, ramp-up</t>
  </si>
  <si>
    <t>Role level</t>
  </si>
  <si>
    <t>Select cost-per-hire, time-to-fill, and wage-level logic</t>
  </si>
  <si>
    <t>Frontline/field; Individual contributor; Supervisor; Manager; Senior manager; Director; VP; C-suite/executive</t>
  </si>
  <si>
    <t>Manager</t>
  </si>
  <si>
    <t>Nearest level fallback</t>
  </si>
  <si>
    <t>Recruiting, salary, vacancy</t>
  </si>
  <si>
    <t>Industry (optional)</t>
  </si>
  <si>
    <t>Refine turnover and compensation benchmark where reliable</t>
  </si>
  <si>
    <t>BLS/JOLTS industry groups</t>
  </si>
  <si>
    <t>Blank</t>
  </si>
  <si>
    <t>National private-sector default</t>
  </si>
  <si>
    <t>Turnover rate; optional compensation refinement</t>
  </si>
  <si>
    <t>Annual salary</t>
  </si>
  <si>
    <t>Anchor labor-based costs</t>
  </si>
  <si>
    <t>Currency or Use benchmark</t>
  </si>
  <si>
    <t>USD annual</t>
  </si>
  <si>
    <t>Role benchmark</t>
  </si>
  <si>
    <t>BLS OEWS benchmark</t>
  </si>
  <si>
    <t>Vacancy, ramp-up, transfer, rediscovery, memory, projects</t>
  </si>
  <si>
    <t>Annual turnover rate or number of departures</t>
  </si>
  <si>
    <t>Determine expected annual events when calculating annual exposure</t>
  </si>
  <si>
    <t>Percent / number / Use benchmark</t>
  </si>
  <si>
    <t>% or count</t>
  </si>
  <si>
    <t>Use direct count from first question for single-event mode</t>
  </si>
  <si>
    <t>BLS JOLTS if annual mode</t>
  </si>
  <si>
    <t>All annual outputs</t>
  </si>
  <si>
    <t>Medium</t>
  </si>
  <si>
    <t>Offer single-departure and annual modes</t>
  </si>
  <si>
    <t>2. Benchmark review</t>
  </si>
  <si>
    <t>Time to fill</t>
  </si>
  <si>
    <t>Estimate vacancy duration</t>
  </si>
  <si>
    <t>Editable default</t>
  </si>
  <si>
    <t>Days</t>
  </si>
  <si>
    <t>Calendar days</t>
  </si>
  <si>
    <t>39 nonexecutive / 45 provisional executive</t>
  </si>
  <si>
    <t>SHRM benchmark</t>
  </si>
  <si>
    <t>Vacancy</t>
  </si>
  <si>
    <t>Employer cost multiplier</t>
  </si>
  <si>
    <t>Convert salary to fully loaded compensation</t>
  </si>
  <si>
    <t>Multiplier</t>
  </si>
  <si>
    <t>1.00-2.00</t>
  </si>
  <si>
    <t>1.431 private-industry national</t>
  </si>
  <si>
    <t>BLS ECEC: wages are 69.9% of total cost</t>
  </si>
  <si>
    <t>Labor-based categories</t>
  </si>
  <si>
    <t>Recruiting cost per replacement</t>
  </si>
  <si>
    <t>Estimate recruiting and sourcing</t>
  </si>
  <si>
    <t>Currency</t>
  </si>
  <si>
    <t>USD per hire</t>
  </si>
  <si>
    <t>$5,475 nonexecutive / $35,879 executive</t>
  </si>
  <si>
    <t>SHRM 2025</t>
  </si>
  <si>
    <t>Recruiting</t>
  </si>
  <si>
    <t>How much of the vacant role's work is not absorbed by others?</t>
  </si>
  <si>
    <t>Avoid assuming 100% of compensation is lost</t>
  </si>
  <si>
    <t>Slider/dropdown</t>
  </si>
  <si>
    <t>0%-100%</t>
  </si>
  <si>
    <t>50% provisional</t>
  </si>
  <si>
    <t>Model assumption until validated</t>
  </si>
  <si>
    <t>Time to expected productivity</t>
  </si>
  <si>
    <t>Estimate ramp-up period</t>
  </si>
  <si>
    <t>Weeks/months</t>
  </si>
  <si>
    <t>Months</t>
  </si>
  <si>
    <t>Provisional by category/level</t>
  </si>
  <si>
    <t>Research/organization input</t>
  </si>
  <si>
    <t>Ramp-up</t>
  </si>
  <si>
    <t>Average productivity during ramp-up</t>
  </si>
  <si>
    <t>Estimate productivity gap</t>
  </si>
  <si>
    <t>Percent</t>
  </si>
  <si>
    <t>60% provisional</t>
  </si>
  <si>
    <t>Direct onboarding and training cost</t>
  </si>
  <si>
    <t>Capture direct cash costs</t>
  </si>
  <si>
    <t>USD</t>
  </si>
  <si>
    <t>Provisional or user input</t>
  </si>
  <si>
    <t>Benchmark to be validated</t>
  </si>
  <si>
    <t>Onboarding</t>
  </si>
  <si>
    <t>3. Knowledge impact</t>
  </si>
  <si>
    <t>Was there planned overlap or formal knowledge transfer?</t>
  </si>
  <si>
    <t>Choose transfer-cost logic</t>
  </si>
  <si>
    <t>Yes/Partial/No</t>
  </si>
  <si>
    <t>Categorical</t>
  </si>
  <si>
    <t>Partial</t>
  </si>
  <si>
    <t>Knowledge transfer and rediscovery</t>
  </si>
  <si>
    <t>Approximately how many total employee hours are spent transferring this role's knowledge?</t>
  </si>
  <si>
    <t>Calculate direct transfer labor</t>
  </si>
  <si>
    <t>Hours / Use benchmark</t>
  </si>
  <si>
    <t>Total hours across all participants</t>
  </si>
  <si>
    <t>Provisional benchmark</t>
  </si>
  <si>
    <t>Role complexity benchmark</t>
  </si>
  <si>
    <t>How long does it typically take a replacement to understand the historical context needed to perform this role effectively?</t>
  </si>
  <si>
    <t>Calculate context rediscovery</t>
  </si>
  <si>
    <t>Weeks/months / Use benchmark</t>
  </si>
  <si>
    <t>Calendar or working time</t>
  </si>
  <si>
    <t>Role category + level</t>
  </si>
  <si>
    <t>How much coworker or leader time is typically needed to reconstruct missing context, records, or lessons?</t>
  </si>
  <si>
    <t>Calculate institutional-memory reconstruction</t>
  </si>
  <si>
    <t>Total hours</t>
  </si>
  <si>
    <t>Knowledge criticality model</t>
  </si>
  <si>
    <t>Institutional memory</t>
  </si>
  <si>
    <t>How many active projects or initiatives rely materially on this role?</t>
  </si>
  <si>
    <t>Determine project-disruption module relevance</t>
  </si>
  <si>
    <t>0+</t>
  </si>
  <si>
    <t>0</t>
  </si>
  <si>
    <t>For each affected project, how many additional team hours are typically required because the role or context is missing?</t>
  </si>
  <si>
    <t>Calculate labor-based project disruption</t>
  </si>
  <si>
    <t>Hours per project</t>
  </si>
  <si>
    <t>Organization input preferred</t>
  </si>
  <si>
    <t>Does this role own customer or supplier relationships with measurable replacement or recovery economics?</t>
  </si>
  <si>
    <t>Gate optional relationship module</t>
  </si>
  <si>
    <t>Yes/No</t>
  </si>
  <si>
    <t>4. Results</t>
  </si>
  <si>
    <t>Email my report</t>
  </si>
  <si>
    <t>Lead capture after value preview or before full report depending conversion test</t>
  </si>
  <si>
    <t>Optional/experiment</t>
  </si>
  <si>
    <t>Email</t>
  </si>
  <si>
    <t>Email address</t>
  </si>
  <si>
    <t>Lead attribution</t>
  </si>
  <si>
    <t>Recommend preview first, email for downloadable report</t>
  </si>
  <si>
    <t>Calculation Model and Double-Counting Rules</t>
  </si>
  <si>
    <t>Each additive component must have a defensible formula. Subtotals and diagnostic scores must never be added again to the total.</t>
  </si>
  <si>
    <t>Component</t>
  </si>
  <si>
    <t>Additive?</t>
  </si>
  <si>
    <t>Core Formula</t>
  </si>
  <si>
    <t>Required Inputs</t>
  </si>
  <si>
    <t>Benchmark Inputs</t>
  </si>
  <si>
    <t>Low Scenario</t>
  </si>
  <si>
    <t>Mid Scenario</t>
  </si>
  <si>
    <t>High Scenario</t>
  </si>
  <si>
    <t>Avoid Double Counting With</t>
  </si>
  <si>
    <t>Methodology Status</t>
  </si>
  <si>
    <t>Explanation to User</t>
  </si>
  <si>
    <t>Jaspen Enhancement?</t>
  </si>
  <si>
    <t>Validation Needed</t>
  </si>
  <si>
    <t>Recruiting &amp; sourcing</t>
  </si>
  <si>
    <t>Departures × Cost per hire</t>
  </si>
  <si>
    <t>Departures</t>
  </si>
  <si>
    <t>Cost per hire by executive/nonexecutive</t>
  </si>
  <si>
    <t>CPH × 0.85</t>
  </si>
  <si>
    <t>CPH</t>
  </si>
  <si>
    <t>CPH × 1.15</t>
  </si>
  <si>
    <t>Hiring-admin labor if benchmark already includes it</t>
  </si>
  <si>
    <t>Estimated cost to source and recruit a replacement.</t>
  </si>
  <si>
    <t>Confirm what SHRM benchmark includes</t>
  </si>
  <si>
    <t>Departures × internal hiring hours × blended hourly rate</t>
  </si>
  <si>
    <t>Internal hours; rate</t>
  </si>
  <si>
    <t>Optional hours benchmark</t>
  </si>
  <si>
    <t>Hours × 0.8</t>
  </si>
  <si>
    <t>Hours</t>
  </si>
  <si>
    <t>Hours × 1.2</t>
  </si>
  <si>
    <t>Cost per hire benchmark</t>
  </si>
  <si>
    <t>Needs scope decision</t>
  </si>
  <si>
    <t>Internal interview and administrative time not already included in recruiting cost.</t>
  </si>
  <si>
    <t>Choose either bundled or itemized mode</t>
  </si>
  <si>
    <t>Departures × vacancy working days × loaded daily cost × uncovered work %</t>
  </si>
  <si>
    <t>Salary; days; uncovered %</t>
  </si>
  <si>
    <t>Time to fill; compensation multiplier</t>
  </si>
  <si>
    <t>Days × 0.85; uncovered -10 pts</t>
  </si>
  <si>
    <t>Selected inputs</t>
  </si>
  <si>
    <t>Days × 1.15; uncovered +10 pts</t>
  </si>
  <si>
    <t>Ramp-up and project disruption</t>
  </si>
  <si>
    <t>Defensible model</t>
  </si>
  <si>
    <t>Estimated value of work not covered while the role is vacant.</t>
  </si>
  <si>
    <t>Validate uncovered-work default</t>
  </si>
  <si>
    <t>Onboarding &amp; direct training</t>
  </si>
  <si>
    <t>Departures × (direct training cost + onboarding labor hours × blended hourly rate)</t>
  </si>
  <si>
    <t>Direct cost; hours; rate</t>
  </si>
  <si>
    <t>Default direct cost/hours</t>
  </si>
  <si>
    <t>×0.8</t>
  </si>
  <si>
    <t>×1.2</t>
  </si>
  <si>
    <t>Common model</t>
  </si>
  <si>
    <t>Direct training, systems, and employee time required to onboard the replacement.</t>
  </si>
  <si>
    <t>Find robust default benchmark</t>
  </si>
  <si>
    <t>Departures × loaded monthly cost × ramp months × (1 - average productivity %)</t>
  </si>
  <si>
    <t>Salary; ramp months; productivity %</t>
  </si>
  <si>
    <t>Role complexity defaults</t>
  </si>
  <si>
    <t>Ramp -20%; productivity +10 pts</t>
  </si>
  <si>
    <t>Ramp +20%; productivity -10 pts</t>
  </si>
  <si>
    <t>Context rediscovery; onboarding</t>
  </si>
  <si>
    <t>Estimated productivity gap while the replacement builds proficiency.</t>
  </si>
  <si>
    <t>Calibrate defaults by role category/level</t>
  </si>
  <si>
    <t>Departures × transfer hours × blended loaded hourly rate</t>
  </si>
  <si>
    <t>Transfer hours; participant rate</t>
  </si>
  <si>
    <t>Transfer hours by complexity</t>
  </si>
  <si>
    <t>×0.75</t>
  </si>
  <si>
    <t>×1.25</t>
  </si>
  <si>
    <t>Onboarding labor and rediscovery</t>
  </si>
  <si>
    <t>Enhanced model</t>
  </si>
  <si>
    <t>Employee time used to transfer knowledge through overlap, handoffs, mentoring, or documentation.</t>
  </si>
  <si>
    <t>Define participant-rate method</t>
  </si>
  <si>
    <t>Departures × rediscovery working hours × replacement loaded hourly rate</t>
  </si>
  <si>
    <t>Rediscovery time; salary</t>
  </si>
  <si>
    <t>Default by role category/level and transfer quality</t>
  </si>
  <si>
    <t>×0.7</t>
  </si>
  <si>
    <t>×1.3</t>
  </si>
  <si>
    <t>Ramp-up productivity and institutional-memory reconstruction</t>
  </si>
  <si>
    <t>Proposed differentiator</t>
  </si>
  <si>
    <t>Time spent rebuilding historical context, rationale, and practical know-how that was not transferred.</t>
  </si>
  <si>
    <t>Empirical calibration required</t>
  </si>
  <si>
    <t>Departures × support hours × blended loaded hourly rate</t>
  </si>
  <si>
    <t>Support hours; blended rate</t>
  </si>
  <si>
    <t>Default by knowledge criticality/documentation</t>
  </si>
  <si>
    <t>Context rediscovery and project disruption</t>
  </si>
  <si>
    <t>Coworker and leadership time spent recreating missing records, lessons, history, and explanations.</t>
  </si>
  <si>
    <t>Optional additive</t>
  </si>
  <si>
    <t>Departures × affected projects × added team hours per project × blended loaded hourly rate</t>
  </si>
  <si>
    <t>Projects; added hours; rate</t>
  </si>
  <si>
    <t>Default only if validated</t>
  </si>
  <si>
    <t>Vacancy loss and institutional-memory reconstruction</t>
  </si>
  <si>
    <t>Additional labor required on active projects because critical context or expertise is missing.</t>
  </si>
  <si>
    <t>Start labor-only; exclude speculative project value</t>
  </si>
  <si>
    <t>Optional separate module</t>
  </si>
  <si>
    <t>Scenario-specific: affected relationships × expected recovery/replacement cost</t>
  </si>
  <si>
    <t>Relationship economics</t>
  </si>
  <si>
    <t>No universal default recommended</t>
  </si>
  <si>
    <t>User-defined</t>
  </si>
  <si>
    <t>Project disruption and general churn</t>
  </si>
  <si>
    <t>Not v1 core</t>
  </si>
  <si>
    <t>Optional estimate for roles with measurable relationship ownership.</t>
  </si>
  <si>
    <t>No direct Jaspen claim</t>
  </si>
  <si>
    <t>Do not use CAC × churn without fit</t>
  </si>
  <si>
    <t>Traditional turnover subtotal</t>
  </si>
  <si>
    <t>No - subtotal</t>
  </si>
  <si>
    <t>Recruiting + hiring admin + vacancy + onboarding + ramp-up</t>
  </si>
  <si>
    <t>Calculated</t>
  </si>
  <si>
    <t>Sum low</t>
  </si>
  <si>
    <t>Sum mid</t>
  </si>
  <si>
    <t>Sum high</t>
  </si>
  <si>
    <t>Total</t>
  </si>
  <si>
    <t>Core output</t>
  </si>
  <si>
    <t>Costs commonly included in employee-turnover estimates.</t>
  </si>
  <si>
    <t>Knowledge &amp; context subtotal</t>
  </si>
  <si>
    <t>Knowledge transfer + rediscovery + institutional-memory reconstruction + project disruption</t>
  </si>
  <si>
    <t>Additional costs associated with rebuilding knowledge, context, and project continuity.</t>
  </si>
  <si>
    <t>Estimated total cost</t>
  </si>
  <si>
    <t>No - final aggregation</t>
  </si>
  <si>
    <t>Sum of additive components only</t>
  </si>
  <si>
    <t>Sum component lows</t>
  </si>
  <si>
    <t>Sum component mids</t>
  </si>
  <si>
    <t>Sum component highs</t>
  </si>
  <si>
    <t>All subtotals</t>
  </si>
  <si>
    <t>Estimated total cost for the selected role and number of departures.</t>
  </si>
  <si>
    <t>Formula audit</t>
  </si>
  <si>
    <t>Cost-weighted share of components whose primary inputs were benchmark vs customized</t>
  </si>
  <si>
    <t>Input provenance flags; component costs</t>
  </si>
  <si>
    <t>N/A</t>
  </si>
  <si>
    <t>Accuracy/confidence labels</t>
  </si>
  <si>
    <t>Transparency output</t>
  </si>
  <si>
    <t>Shows the makeup of the estimate, not whether it is correct.</t>
  </si>
  <si>
    <t>Define mixed-input weighting</t>
  </si>
  <si>
    <t>Benchmark Library and Default Strategy</t>
  </si>
  <si>
    <t>Only verified values are marked production-candidate. Provisional defaults are included to make the model testable but must be validated before launch.</t>
  </si>
  <si>
    <t>Benchmark ID</t>
  </si>
  <si>
    <t>Variable</t>
  </si>
  <si>
    <t>Segment</t>
  </si>
  <si>
    <t>Value</t>
  </si>
  <si>
    <t>Unit</t>
  </si>
  <si>
    <t>Status</t>
  </si>
  <si>
    <t>Use in V1</t>
  </si>
  <si>
    <t>Fallback Hierarchy</t>
  </si>
  <si>
    <t>Source Organization</t>
  </si>
  <si>
    <t>Source URL</t>
  </si>
  <si>
    <t>Source Date / Data Period</t>
  </si>
  <si>
    <t>Methodology Note</t>
  </si>
  <si>
    <t>B001</t>
  </si>
  <si>
    <t>Cost per hire</t>
  </si>
  <si>
    <t>Nonexecutive</t>
  </si>
  <si>
    <t>Verified public benchmark</t>
  </si>
  <si>
    <t>https://www.shrm.org/about/press-room/shrm-releases-2025-benchmarking-reports--how-does-your-organizat</t>
  </si>
  <si>
    <t>2025 survey</t>
  </si>
  <si>
    <t>Average; survey respondents across U.S. industries and sizes.</t>
  </si>
  <si>
    <t>B002</t>
  </si>
  <si>
    <t>Executive</t>
  </si>
  <si>
    <t>Average executive cost per hire.</t>
  </si>
  <si>
    <t>B003</t>
  </si>
  <si>
    <t>https://www.shrm.org/topics-tools/research/recruiting-benchmarking</t>
  </si>
  <si>
    <t>2026 report</t>
  </si>
  <si>
    <t>Median nonexecutive time to fill.</t>
  </si>
  <si>
    <t>B004</t>
  </si>
  <si>
    <t>Provisional public approximation</t>
  </si>
  <si>
    <t>Yes with disclosure</t>
  </si>
  <si>
    <t>https://www.shrm.org/executive-network/insights/people-strategy/state-of-recruiting-2025-insights-to-maximize-recruitment</t>
  </si>
  <si>
    <t>2025 report</t>
  </si>
  <si>
    <t>SHRM describes roughly a month and a half; replace with licensed exact 2026 value if available.</t>
  </si>
  <si>
    <t>B005</t>
  </si>
  <si>
    <t>Wage share of total private-industry compensation</t>
  </si>
  <si>
    <t>National private industry</t>
  </si>
  <si>
    <t>National → industry/region refinement</t>
  </si>
  <si>
    <t>https://www.bls.gov/news.release/pdf/ecec.pdf</t>
  </si>
  <si>
    <t>March 2026</t>
  </si>
  <si>
    <t>Wages/salaries were 69.9% of total employer compensation.</t>
  </si>
  <si>
    <t>B006</t>
  </si>
  <si>
    <t>Fully loaded compensation multiplier</t>
  </si>
  <si>
    <t>Salary multiplier</t>
  </si>
  <si>
    <t>Derived from verified benchmark</t>
  </si>
  <si>
    <t>1 / wage share</t>
  </si>
  <si>
    <t>Calculated as 1 ÷ 0.699; user may replace with company rate.</t>
  </si>
  <si>
    <t>B007</t>
  </si>
  <si>
    <t>Annual quits rate</t>
  </si>
  <si>
    <t>Total private</t>
  </si>
  <si>
    <t>Monthly average rate</t>
  </si>
  <si>
    <t>Context/refinement</t>
  </si>
  <si>
    <t>Industry → total private</t>
  </si>
  <si>
    <t>https://www.bls.gov/news.release/jolts.t22.htm</t>
  </si>
  <si>
    <t>2025 annual average</t>
  </si>
  <si>
    <t>JOLTS annual average quits rate is based on monthly quits levels; not the same as annualized turnover percentage.</t>
  </si>
  <si>
    <t>B008</t>
  </si>
  <si>
    <t>Manufacturing</t>
  </si>
  <si>
    <t>Optional industry refinement</t>
  </si>
  <si>
    <t>Industry</t>
  </si>
  <si>
    <t>Use carefully and explain definition.</t>
  </si>
  <si>
    <t>B009</t>
  </si>
  <si>
    <t>Retail trade</t>
  </si>
  <si>
    <t>B010</t>
  </si>
  <si>
    <t>Finance and insurance</t>
  </si>
  <si>
    <t>B011</t>
  </si>
  <si>
    <t>Professional and business services</t>
  </si>
  <si>
    <t>B012</t>
  </si>
  <si>
    <t>Health care and social assistance</t>
  </si>
  <si>
    <t>B013</t>
  </si>
  <si>
    <t>Accommodation and food services</t>
  </si>
  <si>
    <t>B014</t>
  </si>
  <si>
    <t>Selected occupation/role</t>
  </si>
  <si>
    <t>Dynamic lookup required</t>
  </si>
  <si>
    <t>User input → BLS occupation/area → national occupation</t>
  </si>
  <si>
    <t>BLS OEWS</t>
  </si>
  <si>
    <t>https://www.bls.gov/oes/tables.htm</t>
  </si>
  <si>
    <t>May 2025</t>
  </si>
  <si>
    <t>Production app should map role category/level or searchable occupation to OEWS wage data.</t>
  </si>
  <si>
    <t>B015</t>
  </si>
  <si>
    <t>Uncovered work during vacancy</t>
  </si>
  <si>
    <t>All roles</t>
  </si>
  <si>
    <t>Provisional model assumption</t>
  </si>
  <si>
    <t>Test only</t>
  </si>
  <si>
    <t>User input → calibrated default</t>
  </si>
  <si>
    <t>Model assumption</t>
  </si>
  <si>
    <t>TBD</t>
  </si>
  <si>
    <t>Not a published universal benchmark. Must be validated through expert review or removed as default.</t>
  </si>
  <si>
    <t>B016</t>
  </si>
  <si>
    <t>Average productivity during ramp</t>
  </si>
  <si>
    <t>User input → role benchmark</t>
  </si>
  <si>
    <t>Requires calibration by role category and level.</t>
  </si>
  <si>
    <t>B017</t>
  </si>
  <si>
    <t>Ramp-up duration</t>
  </si>
  <si>
    <t>Manager / corporate knowledge role</t>
  </si>
  <si>
    <t>Placeholder for model testing, not production claim.</t>
  </si>
  <si>
    <t>B018</t>
  </si>
  <si>
    <t>Direct onboarding/training cost</t>
  </si>
  <si>
    <t>User input → validated benchmark</t>
  </si>
  <si>
    <t>Placeholder; replace with researched or organization-provided value.</t>
  </si>
  <si>
    <t>B019</t>
  </si>
  <si>
    <t>Knowledge transfer time</t>
  </si>
  <si>
    <t>Manager / knowledge role</t>
  </si>
  <si>
    <t>Total employee hours</t>
  </si>
  <si>
    <t>User input → complexity benchmark</t>
  </si>
  <si>
    <t>Includes source and recipient time; ensure no overlap with onboarding labor.</t>
  </si>
  <si>
    <t>B020</t>
  </si>
  <si>
    <t>Context rediscovery time</t>
  </si>
  <si>
    <t>Working hours</t>
  </si>
  <si>
    <t>Provisional Jaspen model</t>
  </si>
  <si>
    <t>User input → calibrated benchmark</t>
  </si>
  <si>
    <t>Jaspen methodology</t>
  </si>
  <si>
    <t>One working month equivalent; must be empirically calibrated.</t>
  </si>
  <si>
    <t>B021</t>
  </si>
  <si>
    <t>Coworker/leader hours</t>
  </si>
  <si>
    <t>Time spent recreating missing records, lessons, and context.</t>
  </si>
  <si>
    <t>B022</t>
  </si>
  <si>
    <t>Project disruption hours</t>
  </si>
  <si>
    <t>Per affected project</t>
  </si>
  <si>
    <t>Team hours</t>
  </si>
  <si>
    <t>Optional test</t>
  </si>
  <si>
    <t>Labor-only impact; excludes speculative lost project value.</t>
  </si>
  <si>
    <t>Working Sample Model</t>
  </si>
  <si>
    <t>Editable example for a U.S. manager-level corporate/knowledge role. Yellow cells are inputs/defaults; formulas calculate a low/mid/high range.</t>
  </si>
  <si>
    <t>Scenario input</t>
  </si>
  <si>
    <t>Source / Composition</t>
  </si>
  <si>
    <t>Notes</t>
  </si>
  <si>
    <t>Derived metric</t>
  </si>
  <si>
    <t>Formula / Value</t>
  </si>
  <si>
    <t>Explanation</t>
  </si>
  <si>
    <t>Number of departures</t>
  </si>
  <si>
    <t>Organization input</t>
  </si>
  <si>
    <t>Single-event estimate</t>
  </si>
  <si>
    <t>Loaded annual cost</t>
  </si>
  <si>
    <t>Salary × fully loaded multiplier</t>
  </si>
  <si>
    <t>Replace with BLS role benchmark if unknown</t>
  </si>
  <si>
    <t>Loaded hourly cost</t>
  </si>
  <si>
    <t>Loaded annual cost ÷ 2,080</t>
  </si>
  <si>
    <t>Fully loaded multiplier</t>
  </si>
  <si>
    <t>Published benchmark</t>
  </si>
  <si>
    <t>BLS ECEC private-industry national</t>
  </si>
  <si>
    <t>Loaded daily cost</t>
  </si>
  <si>
    <t>Loaded annual cost ÷ 260 working days</t>
  </si>
  <si>
    <t>SHRM nonexecutive average</t>
  </si>
  <si>
    <t>Blended support hourly cost</t>
  </si>
  <si>
    <t>Support salary × multiplier ÷ 2,080</t>
  </si>
  <si>
    <t>Time to fill (calendar days)</t>
  </si>
  <si>
    <t>SHRM 2026 median nonexecutive</t>
  </si>
  <si>
    <t>Vacancy working days</t>
  </si>
  <si>
    <t>Calendar days × working-day conversion</t>
  </si>
  <si>
    <t>Working-day conversion</t>
  </si>
  <si>
    <t>Model convention</t>
  </si>
  <si>
    <t>5 working days / 7 calendar days</t>
  </si>
  <si>
    <t>Loaded monthly cost</t>
  </si>
  <si>
    <t>Loaded annual cost ÷ 12</t>
  </si>
  <si>
    <t>User editable</t>
  </si>
  <si>
    <t>Onboarding labor hours</t>
  </si>
  <si>
    <t>Internal employee hours</t>
  </si>
  <si>
    <t>Percentage</t>
  </si>
  <si>
    <t>Blended support salary</t>
  </si>
  <si>
    <t>Used for internal support/project labor</t>
  </si>
  <si>
    <t>Published / provisional benchmarks</t>
  </si>
  <si>
    <t>Cost-weighted share of the midpoint result primarily driven by benchmark defaults.</t>
  </si>
  <si>
    <t>Ramp-up months</t>
  </si>
  <si>
    <t>Organization inputs</t>
  </si>
  <si>
    <t>Cost-weighted share of the midpoint result primarily driven by customized organization values.</t>
  </si>
  <si>
    <t>Knowledge transfer hours</t>
  </si>
  <si>
    <t>All participant hours</t>
  </si>
  <si>
    <t>Context rediscovery hours</t>
  </si>
  <si>
    <t>Replacement working hours</t>
  </si>
  <si>
    <t>Institutional-memory reconstruction hours</t>
  </si>
  <si>
    <t>Affected projects</t>
  </si>
  <si>
    <t>Materially dependent initiatives</t>
  </si>
  <si>
    <t>Added team hours per project</t>
  </si>
  <si>
    <t>Labor-only project disruption</t>
  </si>
  <si>
    <t>Cost component</t>
  </si>
  <si>
    <t>Mid</t>
  </si>
  <si>
    <t>High</t>
  </si>
  <si>
    <t>Primary formula</t>
  </si>
  <si>
    <t>Main provenance</t>
  </si>
  <si>
    <t>Traditional / Added</t>
  </si>
  <si>
    <t>Double-count guard</t>
  </si>
  <si>
    <t>% of Mid Total</t>
  </si>
  <si>
    <t>Review</t>
  </si>
  <si>
    <t>Departures × cost per hire</t>
  </si>
  <si>
    <t>Benchmark</t>
  </si>
  <si>
    <t>Traditional</t>
  </si>
  <si>
    <t>Hiring admin excluded in sample</t>
  </si>
  <si>
    <t>Departures × vacancy working days × daily loaded cost × uncovered %</t>
  </si>
  <si>
    <t>Mixed</t>
  </si>
  <si>
    <t>Project disruption uses added team labor only</t>
  </si>
  <si>
    <t>Departures × (direct cost + onboarding hours × support rate)</t>
  </si>
  <si>
    <t>Ramp-up excludes onboarding hours</t>
  </si>
  <si>
    <t>Departures × monthly loaded cost × ramp months × productivity gap</t>
  </si>
  <si>
    <t>Rediscovery is separate explicit context-building time</t>
  </si>
  <si>
    <t>Departures × transfer hours × support rate</t>
  </si>
  <si>
    <t>Provisional</t>
  </si>
  <si>
    <t>Added</t>
  </si>
  <si>
    <t>Transfer hours excluded from onboarding hours</t>
  </si>
  <si>
    <t>Departures × rediscovery hours × replacement loaded hourly cost</t>
  </si>
  <si>
    <t>Only explicit historical-context work; not whole ramp period</t>
  </si>
  <si>
    <t>Departures × reconstruction hours × support rate</t>
  </si>
  <si>
    <t>Only coworker/leader recreation hours</t>
  </si>
  <si>
    <t>Optional yes</t>
  </si>
  <si>
    <t>Departures × projects × added team hours × support rate</t>
  </si>
  <si>
    <t>Labor-only; no project-value loss</t>
  </si>
  <si>
    <t>Rows 25-28</t>
  </si>
  <si>
    <t>Rows 29-32</t>
  </si>
  <si>
    <t>Rows 25-32</t>
  </si>
  <si>
    <t>Web App Product Requirements</t>
  </si>
  <si>
    <t>Build guidance after methodology validation. The utility should stand alone and provide value before any Jaspen CTA.</t>
  </si>
  <si>
    <t>Requirement Area</t>
  </si>
  <si>
    <t>Requirement</t>
  </si>
  <si>
    <t>User Experience</t>
  </si>
  <si>
    <t>Data / Logic</t>
  </si>
  <si>
    <t>Analytics Event</t>
  </si>
  <si>
    <t>Privacy / Trust</t>
  </si>
  <si>
    <t>SEO / Discovery</t>
  </si>
  <si>
    <t>Accessibility</t>
  </si>
  <si>
    <t>Acceptance Criteria</t>
  </si>
  <si>
    <t>Routing</t>
  </si>
  <si>
    <t>Host on jaspen.ai/tools/employee-turnover-cost or similar</t>
  </si>
  <si>
    <t>Feels like a Jaspen utility, not a separate microsite</t>
  </si>
  <si>
    <t>Same domain authority and analytics</t>
  </si>
  <si>
    <t>utility_view</t>
  </si>
  <si>
    <t>No sensitive HR records required</t>
  </si>
  <si>
    <t>Target cost of turnover, attrition cost, true cost of employee turnover, knowledge loss</t>
  </si>
  <si>
    <t>Semantic headings</t>
  </si>
  <si>
    <t>Public URL is indexable and canonical</t>
  </si>
  <si>
    <t>Proposed</t>
  </si>
  <si>
    <t>Mode</t>
  </si>
  <si>
    <t>Single departure or annual exposure</t>
  </si>
  <si>
    <t>User chooses one person/role or annualized role population</t>
  </si>
  <si>
    <t>Changes scale logic only</t>
  </si>
  <si>
    <t>mode_selected</t>
  </si>
  <si>
    <t>No employee names</t>
  </si>
  <si>
    <t>Supports broader intent</t>
  </si>
  <si>
    <t>Radio buttons labeled</t>
  </si>
  <si>
    <t>Results clearly state selected mode</t>
  </si>
  <si>
    <t>Step 1</t>
  </si>
  <si>
    <t>Role setup</t>
  </si>
  <si>
    <t>Maximum 5-6 visible inputs</t>
  </si>
  <si>
    <t>Role category, level, optional industry, salary, departures</t>
  </si>
  <si>
    <t>role_setup_completed</t>
  </si>
  <si>
    <t>Industry optional</t>
  </si>
  <si>
    <t>Useful content around role cost</t>
  </si>
  <si>
    <t>Keyboard accessible</t>
  </si>
  <si>
    <t>Can proceed without knowing salary</t>
  </si>
  <si>
    <t>Step 2</t>
  </si>
  <si>
    <t>Benchmark review</t>
  </si>
  <si>
    <t>Pre-populated values with source and Edit option</t>
  </si>
  <si>
    <t>Benchmark hierarchy and provenance</t>
  </si>
  <si>
    <t>benchmark_overridden</t>
  </si>
  <si>
    <t>No hidden assumptions</t>
  </si>
  <si>
    <t>Unique trust differentiator</t>
  </si>
  <si>
    <t>Expandable source detail</t>
  </si>
  <si>
    <t>Each default displays source and period</t>
  </si>
  <si>
    <t>Step 3</t>
  </si>
  <si>
    <t>Knowledge impact</t>
  </si>
  <si>
    <t>Short conditional module</t>
  </si>
  <si>
    <t>Show only questions relevant to planned transfer, projects, relationships</t>
  </si>
  <si>
    <t>knowledge_module_completed</t>
  </si>
  <si>
    <t>No proprietary project names requested</t>
  </si>
  <si>
    <t>Differentiated utility angle</t>
  </si>
  <si>
    <t>Progress indicator</t>
  </si>
  <si>
    <t>No more than 4-5 questions in default path</t>
  </si>
  <si>
    <t>Results preview</t>
  </si>
  <si>
    <t>Show total range and category breakdown immediately</t>
  </si>
  <si>
    <t>Do not hold all value behind email gate</t>
  </si>
  <si>
    <t>Calculate client or server side</t>
  </si>
  <si>
    <t>results_viewed</t>
  </si>
  <si>
    <t>Disclose estimate limitations</t>
  </si>
  <si>
    <t>Indexable explanatory copy</t>
  </si>
  <si>
    <t>Charts have text equivalents</t>
  </si>
  <si>
    <t>User sees useful result before email request</t>
  </si>
  <si>
    <t>Lead capture</t>
  </si>
  <si>
    <t>Offer downloadable/email report after preview</t>
  </si>
  <si>
    <t>Optional but compelling</t>
  </si>
  <si>
    <t>Persist inputs and results with consent</t>
  </si>
  <si>
    <t>Experiment</t>
  </si>
  <si>
    <t>report_requested</t>
  </si>
  <si>
    <t>Consent and retention statement</t>
  </si>
  <si>
    <t>Lead source = utility name</t>
  </si>
  <si>
    <t>Clear labels</t>
  </si>
  <si>
    <t>Unsubscribe available for marketing emails</t>
  </si>
  <si>
    <t>Show benchmark/customized composition</t>
  </si>
  <si>
    <t>Simple two-part bar or labels</t>
  </si>
  <si>
    <t>Cost-weighted provenance</t>
  </si>
  <si>
    <t>composition_viewed</t>
  </si>
  <si>
    <t>No accuracy claim</t>
  </si>
  <si>
    <t>Trust content</t>
  </si>
  <si>
    <t>Not color-only</t>
  </si>
  <si>
    <t>Percentages total 100%</t>
  </si>
  <si>
    <t>Assumptions</t>
  </si>
  <si>
    <t>Expandable calculation detail</t>
  </si>
  <si>
    <t>Users can see formula basis and source</t>
  </si>
  <si>
    <t>Component inputs and formulas</t>
  </si>
  <si>
    <t>methodology_opened</t>
  </si>
  <si>
    <t>Source URLs and dates</t>
  </si>
  <si>
    <t>Can rank for methodology questions</t>
  </si>
  <si>
    <t>Readable table</t>
  </si>
  <si>
    <t>Every result traceable to inputs/defaults</t>
  </si>
  <si>
    <t>Soft Jaspen institutional-memory connection</t>
  </si>
  <si>
    <t>Appears after results and explanation</t>
  </si>
  <si>
    <t>No savings guarantee</t>
  </si>
  <si>
    <t>jaspen_cta_clicked</t>
  </si>
  <si>
    <t>No claim Jaspen prevents turnover</t>
  </si>
  <si>
    <t>Links to product/enterprise page</t>
  </si>
  <si>
    <t>Descriptive button</t>
  </si>
  <si>
    <t>Copy says Jaspen can help preserve context, not all cost</t>
  </si>
  <si>
    <t>Admin</t>
  </si>
  <si>
    <t>Benchmark versioning</t>
  </si>
  <si>
    <t>Invisible to visitor</t>
  </si>
  <si>
    <t>Effective dates, source, version, retirement flag</t>
  </si>
  <si>
    <t>n/a</t>
  </si>
  <si>
    <t>Audit trail</t>
  </si>
  <si>
    <t>Freshness supports SEO trust</t>
  </si>
  <si>
    <t>Can update benchmark without code rewrite</t>
  </si>
  <si>
    <t>Analytics</t>
  </si>
  <si>
    <t>Track completion and override behavior</t>
  </si>
  <si>
    <t>No disruption</t>
  </si>
  <si>
    <t>Step dropoff, fields overridden, CTA rate</t>
  </si>
  <si>
    <t>multiple</t>
  </si>
  <si>
    <t>Aggregate data only unless consented</t>
  </si>
  <si>
    <t>Improve utility</t>
  </si>
  <si>
    <t>Dashboard reports funnel and benchmark overrides</t>
  </si>
  <si>
    <t>Methodology and Build Validation Checklist</t>
  </si>
  <si>
    <t>Use this sheet as the prompt/checklist for Claude or another reviewer before Codex implements the web app.</t>
  </si>
  <si>
    <t>Area</t>
  </si>
  <si>
    <t>Validation Question</t>
  </si>
  <si>
    <t>Why It Matters</t>
  </si>
  <si>
    <t>Evidence Required</t>
  </si>
  <si>
    <t>Severity</t>
  </si>
  <si>
    <t>Owner</t>
  </si>
  <si>
    <t>Resolution</t>
  </si>
  <si>
    <t>Sign-off</t>
  </si>
  <si>
    <t>Market baseline</t>
  </si>
  <si>
    <t>Do our standard cost categories match reputable turnover calculators without omitting expected basics?</t>
  </si>
  <si>
    <t>Earn trust before adding differentiated categories</t>
  </si>
  <si>
    <t>Competitor comparison</t>
  </si>
  <si>
    <t>Not reviewed</t>
  </si>
  <si>
    <t>Does selected SHRM benchmark include internal interview/admin labor, and are we avoiding double-counting?</t>
  </si>
  <si>
    <t>Could materially overstate cost</t>
  </si>
  <si>
    <t>SHRM methodology/report</t>
  </si>
  <si>
    <t>Critical</t>
  </si>
  <si>
    <t>Open</t>
  </si>
  <si>
    <t>Should executive and nonexecutive values differ, and do we have licensed/public exact values?</t>
  </si>
  <si>
    <t>Vacancy cost sensitivity</t>
  </si>
  <si>
    <t>SHRM current data</t>
  </si>
  <si>
    <t>Salary lookup</t>
  </si>
  <si>
    <t>Can BLS OEWS support role category + level defaults without forcing exact job title selection?</t>
  </si>
  <si>
    <t>Core Zillow-like prepopulation</t>
  </si>
  <si>
    <t>OEWS mapping design</t>
  </si>
  <si>
    <t>Industry optionality</t>
  </si>
  <si>
    <t>Does optional industry materially improve turnover or wage defaults enough to keep?</t>
  </si>
  <si>
    <t>Avoid unnecessary friction</t>
  </si>
  <si>
    <t>A/B design + data review</t>
  </si>
  <si>
    <t>JOLTS use</t>
  </si>
  <si>
    <t>Are we using quits rates correctly and clearly distinguishing monthly annual-average rates from annual turnover?</t>
  </si>
  <si>
    <t>Prevents misleading benchmark</t>
  </si>
  <si>
    <t>BLS methodology</t>
  </si>
  <si>
    <t>Fully loaded cost</t>
  </si>
  <si>
    <t>Is the national BLS ECEC multiplier suitable as default and can it be refined by industry/region later?</t>
  </si>
  <si>
    <t>Labor cost basis</t>
  </si>
  <si>
    <t>Vacancy model</t>
  </si>
  <si>
    <t>Is uncovered-work percentage the right way to avoid treating the full salary as lost capacity?</t>
  </si>
  <si>
    <t>Material model assumption</t>
  </si>
  <si>
    <t>Expert validation</t>
  </si>
  <si>
    <t>Ramp-up model</t>
  </si>
  <si>
    <t>Can ramp period and productivity curve be calibrated by role category/level?</t>
  </si>
  <si>
    <t>Major output driver</t>
  </si>
  <si>
    <t>Research or customer data</t>
  </si>
  <si>
    <t>Are transfer hours separate from onboarding and ramp-up labor?</t>
  </si>
  <si>
    <t>Double-counting control</t>
  </si>
  <si>
    <t>Formula walkthrough</t>
  </si>
  <si>
    <t>Is the definition narrow enough to avoid duplicating ramp-up productivity?</t>
  </si>
  <si>
    <t>Core differentiator must be credible</t>
  </si>
  <si>
    <t>User testing + expert review</t>
  </si>
  <si>
    <t>Can coworker/leader reconstruction hours be estimated through a short user question or benchmark?</t>
  </si>
  <si>
    <t>Quantifies quiet knowledge loss</t>
  </si>
  <si>
    <t>Research + interviews</t>
  </si>
  <si>
    <t>Does labor-only impact provide value without pretending to predict project failure or project value?</t>
  </si>
  <si>
    <t>Trust boundary</t>
  </si>
  <si>
    <t>Scenario testing</t>
  </si>
  <si>
    <t>Relationship module</t>
  </si>
  <si>
    <t>Should customer/supplier continuity be excluded from v1 unless user supplies exact economics?</t>
  </si>
  <si>
    <t>Avoid weak CAC/churn formula</t>
  </si>
  <si>
    <t>Expert review</t>
  </si>
  <si>
    <t>Range methodology</t>
  </si>
  <si>
    <t>Are low/high factors based on defensible sensitivity ranges rather than arbitrary percentages?</t>
  </si>
  <si>
    <t>Avoid decorative uncertainty</t>
  </si>
  <si>
    <t>Sensitivity analysis</t>
  </si>
  <si>
    <t>Does composition weight provenance by cost contribution and handle mixed-source components correctly?</t>
  </si>
  <si>
    <t>Transparency feature must be truthful</t>
  </si>
  <si>
    <t>Lead flow</t>
  </si>
  <si>
    <t>Should email be requested after a useful preview rather than before results?</t>
  </si>
  <si>
    <t>Completion and trust</t>
  </si>
  <si>
    <t>Conversion test</t>
  </si>
  <si>
    <t>Jaspen copy</t>
  </si>
  <si>
    <t>Does CTA accurately describe institutional-memory value without claiming Jaspen solves recruiting, vacancy, or turnover?</t>
  </si>
  <si>
    <t>Brand credibility</t>
  </si>
  <si>
    <t>Copy review</t>
  </si>
  <si>
    <t>Data freshness</t>
  </si>
  <si>
    <t>Can benchmarks be versioned and updated independently of code?</t>
  </si>
  <si>
    <t>Long-term integrity</t>
  </si>
  <si>
    <t>Technical design</t>
  </si>
  <si>
    <t>Legal/disclaimer</t>
  </si>
  <si>
    <t>Does the utility clearly say estimates are directional and should be validated with HR/Finance?</t>
  </si>
  <si>
    <t>Risk management</t>
  </si>
  <si>
    <t>Legal review</t>
  </si>
  <si>
    <t>Research Sources and Intended Use</t>
  </si>
  <si>
    <t>Primary and authoritative sources used in this workbook. URLs are included for external validation.</t>
  </si>
  <si>
    <t>Source</t>
  </si>
  <si>
    <t>Authority</t>
  </si>
  <si>
    <t>Metric / Insight</t>
  </si>
  <si>
    <t>Value Used</t>
  </si>
  <si>
    <t>URL</t>
  </si>
  <si>
    <t>Date / Period</t>
  </si>
  <si>
    <t>Production Use</t>
  </si>
  <si>
    <t>Caveat</t>
  </si>
  <si>
    <t>U.S. Bureau of Labor Statistics</t>
  </si>
  <si>
    <t>Occupation and industry wage data</t>
  </si>
  <si>
    <t>Dynamic salary defaults</t>
  </si>
  <si>
    <t>Requires occupation/role mapping and update process</t>
  </si>
  <si>
    <t>Private-industry wages 69.9% and benefits 30.1% of total employer cost</t>
  </si>
  <si>
    <t>1.4306 fully loaded multiplier</t>
  </si>
  <si>
    <t>National private-industry average; can be refined</t>
  </si>
  <si>
    <t>BLS JOLTS Table 22</t>
  </si>
  <si>
    <t>Quits rates by industry</t>
  </si>
  <si>
    <t>Optional industry defaults</t>
  </si>
  <si>
    <t>With caution</t>
  </si>
  <si>
    <t>Not equivalent to annualized turnover without conversion/definition</t>
  </si>
  <si>
    <t>SHRM 2025 Benchmarking</t>
  </si>
  <si>
    <t>Society for Human Resource Management</t>
  </si>
  <si>
    <t>Average cost per hire</t>
  </si>
  <si>
    <t>$5,475 nonexecutive; $35,879 executive</t>
  </si>
  <si>
    <t>Confirm cost components included</t>
  </si>
  <si>
    <t>SHRM 2026 Recruiting Benchmarking</t>
  </si>
  <si>
    <t>Median nonexecutive time to fill</t>
  </si>
  <si>
    <t>39 calendar days</t>
  </si>
  <si>
    <t>2026</t>
  </si>
  <si>
    <t>Executive exact figure may require report access</t>
  </si>
  <si>
    <t>SHRM Real Costs of Recruitment</t>
  </si>
  <si>
    <t>Hard/soft recruiting cost context and productivity disruption</t>
  </si>
  <si>
    <t>Methodology context only</t>
  </si>
  <si>
    <t>https://www.shrm.org/topics-tools/news/talent-acquisition/real-costs-recruitment</t>
  </si>
  <si>
    <t>2022</t>
  </si>
  <si>
    <t>Context</t>
  </si>
  <si>
    <t>Article includes expert estimates, not a universal formula</t>
  </si>
  <si>
    <t>APQC Knowledge Transfer</t>
  </si>
  <si>
    <t>APQC</t>
  </si>
  <si>
    <t>Definition and barriers of transferring tacit/contextual knowledge</t>
  </si>
  <si>
    <t>Category definition</t>
  </si>
  <si>
    <t>https://www.apqc.org/blog/what-knowledge-transfer</t>
  </si>
  <si>
    <t>2024</t>
  </si>
  <si>
    <t>Yes for rationale</t>
  </si>
  <si>
    <t>Does not provide universal dollar benchmark</t>
  </si>
  <si>
    <t>APQC Great Retirement</t>
  </si>
  <si>
    <t>Knowledge-capture risk and AI/KM context</t>
  </si>
  <si>
    <t>58% worried; 92% inconsistent capture; 85% not operationalized AI</t>
  </si>
  <si>
    <t>https://www.apqc.org/about-apqc/news-press-release/apqc-study-warns-looming-great-retirement-crisis-highlights-role-ai</t>
  </si>
  <si>
    <t>2025</t>
  </si>
  <si>
    <t>Marketing/context</t>
  </si>
  <si>
    <t>Survey population and report scope should be 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</si>
</sst>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\$#,##0"/>
    <numFmt numFmtId="166" formatCode="0.000"/>
    <numFmt numFmtId="167" formatCode="\$#,##0.00"/>
    <numFmt numFmtId="168" formatCode="0.0%"/>
  </numFmts>
  <fonts count="7">
    <font>
      <sz val="11"/>
      <name val="Carlito"/>
    </font>
    <font>
      <b/>
      <sz val="10"/>
      <color rgb="FF161F3B"/>
      <name val="Aptos"/>
    </font>
    <font>
      <sz val="10"/>
      <color rgb="FF161F3B"/>
      <name val="Aptos"/>
    </font>
    <font>
      <i/>
      <sz val="10"/>
      <color rgb="FF161F3B"/>
      <name val="Aptos"/>
    </font>
    <font>
      <b/>
      <sz val="18"/>
      <color rgb="FFFFFFFF"/>
      <name val="Aptos Display"/>
    </font>
    <font>
      <b/>
      <sz val="14"/>
      <color rgb="FF161F3B"/>
      <name val="Aptos"/>
    </font>
    <font>
      <sz val="14"/>
      <color rgb="FF161F3B"/>
      <name val="Aptos"/>
    </font>
  </fonts>
  <fills count="8">
    <fill>
      <patternFill patternType="none"/>
    </fill>
    <fill>
      <patternFill patternType="gray125"/>
    </fill>
    <fill>
      <patternFill patternType="solid">
        <fgColor rgb="FF161F3B"/>
      </patternFill>
    </fill>
    <fill>
      <patternFill patternType="solid">
        <fgColor rgb="FFEFF9FC"/>
      </patternFill>
    </fill>
    <fill>
      <patternFill patternType="solid">
        <fgColor rgb="FFF8F5F0"/>
      </patternFill>
    </fill>
    <fill>
      <patternFill patternType="solid">
        <fgColor rgb="FFE9B57B"/>
      </patternFill>
    </fill>
    <fill>
      <patternFill patternType="solid">
        <fgColor rgb="FFA0036C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 wrapText="1"/>
    </xf>
    <xf numFmtId="0" fontId="2" fillId="7" borderId="0" xfId="0" applyFont="1" applyFill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165" fontId="2" fillId="7" borderId="0" xfId="0" applyNumberFormat="1" applyFont="1" applyFill="1" applyAlignment="1">
      <alignment vertical="top" wrapText="1"/>
    </xf>
    <xf numFmtId="166" fontId="2" fillId="7" borderId="0" xfId="0" applyNumberFormat="1" applyFont="1" applyFill="1" applyAlignment="1">
      <alignment vertical="top" wrapText="1"/>
    </xf>
    <xf numFmtId="9" fontId="2" fillId="7" borderId="0" xfId="0" applyNumberFormat="1" applyFont="1" applyFill="1" applyAlignment="1">
      <alignment vertical="top" wrapText="1"/>
    </xf>
    <xf numFmtId="9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68" fontId="2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5" fontId="1" fillId="3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wrapText="1"/>
    </xf>
    <xf numFmtId="0" fontId="1" fillId="5" borderId="0" xfId="0" applyFont="1" applyFill="1"/>
    <xf numFmtId="0" fontId="5" fillId="6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FDE2E2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DF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95" customWidth="1"/>
    <col min="3" max="10" width="12" customWidth="1"/>
  </cols>
  <sheetData>
    <row r="1" spans="1:13" ht="42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</row>
    <row r="2" spans="1:13" ht="40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2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0">
      <c r="A5" s="2" t="s">
        <v>4</v>
      </c>
      <c r="B5" s="3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2" t="s">
        <v>6</v>
      </c>
      <c r="B6" s="3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2" t="s">
        <v>8</v>
      </c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2" t="s">
        <v>10</v>
      </c>
      <c r="B8" s="3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2" t="s">
        <v>12</v>
      </c>
      <c r="B9" s="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2" t="s">
        <v>14</v>
      </c>
      <c r="B10" s="3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2" t="s">
        <v>16</v>
      </c>
      <c r="B11" s="3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30">
      <c r="A12" s="2" t="s">
        <v>18</v>
      </c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2" customHeight="1">
      <c r="A14" s="18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1"/>
      <c r="L14" s="1"/>
      <c r="M14" s="1"/>
    </row>
    <row r="15" spans="1:13" ht="15">
      <c r="A15" s="3" t="s">
        <v>21</v>
      </c>
      <c r="B15" s="3" t="s">
        <v>22</v>
      </c>
      <c r="C15" s="3"/>
      <c r="D15" s="3"/>
      <c r="E15" s="3"/>
      <c r="F15" s="3"/>
      <c r="G15" s="3"/>
      <c r="H15" s="3"/>
      <c r="I15" s="3"/>
      <c r="J15" s="3"/>
      <c r="K15" s="1"/>
      <c r="L15" s="1"/>
      <c r="M15" s="1"/>
    </row>
    <row r="16" spans="1:13" ht="15">
      <c r="A16" s="3" t="s">
        <v>23</v>
      </c>
      <c r="B16" s="3" t="s">
        <v>24</v>
      </c>
      <c r="C16" s="3"/>
      <c r="D16" s="3"/>
      <c r="E16" s="3"/>
      <c r="F16" s="3"/>
      <c r="G16" s="3"/>
      <c r="H16" s="3"/>
      <c r="I16" s="3"/>
      <c r="J16" s="3"/>
      <c r="K16" s="1"/>
      <c r="L16" s="1"/>
      <c r="M16" s="1"/>
    </row>
    <row r="17" spans="1:13" ht="15">
      <c r="A17" s="3" t="s">
        <v>25</v>
      </c>
      <c r="B17" s="3" t="s">
        <v>26</v>
      </c>
      <c r="C17" s="3"/>
      <c r="D17" s="3"/>
      <c r="E17" s="3"/>
      <c r="F17" s="3"/>
      <c r="G17" s="3"/>
      <c r="H17" s="3"/>
      <c r="I17" s="3"/>
      <c r="J17" s="3"/>
      <c r="K17" s="1"/>
      <c r="L17" s="1"/>
      <c r="M17" s="1"/>
    </row>
    <row r="18" spans="1:13" ht="15">
      <c r="A18" s="3" t="s">
        <v>27</v>
      </c>
      <c r="B18" s="3" t="s">
        <v>28</v>
      </c>
      <c r="C18" s="3"/>
      <c r="D18" s="3"/>
      <c r="E18" s="3"/>
      <c r="F18" s="3"/>
      <c r="G18" s="3"/>
      <c r="H18" s="3"/>
      <c r="I18" s="3"/>
      <c r="J18" s="3"/>
      <c r="K18" s="1"/>
      <c r="L18" s="1"/>
      <c r="M18" s="1"/>
    </row>
    <row r="19" spans="1:13" ht="15">
      <c r="A19" s="3" t="s">
        <v>29</v>
      </c>
      <c r="B19" s="3" t="s">
        <v>30</v>
      </c>
      <c r="C19" s="3"/>
      <c r="D19" s="3"/>
      <c r="E19" s="3"/>
      <c r="F19" s="3"/>
      <c r="G19" s="3"/>
      <c r="H19" s="3"/>
      <c r="I19" s="3"/>
      <c r="J19" s="3"/>
      <c r="K19" s="1"/>
      <c r="L19" s="1"/>
      <c r="M19" s="1"/>
    </row>
    <row r="20" spans="1:13" ht="15">
      <c r="A20" s="3" t="s">
        <v>31</v>
      </c>
      <c r="B20" s="3" t="s">
        <v>32</v>
      </c>
      <c r="C20" s="3"/>
      <c r="D20" s="3"/>
      <c r="E20" s="3"/>
      <c r="F20" s="3"/>
      <c r="G20" s="3"/>
      <c r="H20" s="3"/>
      <c r="I20" s="3"/>
      <c r="J20" s="3"/>
      <c r="K20" s="1"/>
      <c r="L20" s="1"/>
      <c r="M20" s="1"/>
    </row>
    <row r="21" spans="1:13" ht="15">
      <c r="A21" s="3" t="s">
        <v>33</v>
      </c>
      <c r="B21" s="3" t="s">
        <v>34</v>
      </c>
      <c r="C21" s="3"/>
      <c r="D21" s="3"/>
      <c r="E21" s="3"/>
      <c r="F21" s="3"/>
      <c r="G21" s="3"/>
      <c r="H21" s="3"/>
      <c r="I21" s="3"/>
      <c r="J21" s="3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3">
    <mergeCell ref="A1:J1"/>
    <mergeCell ref="A2:J2"/>
    <mergeCell ref="A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"/>
  <sheetViews>
    <sheetView zoomScaleNormal="100" workbookViewId="0">
      <selection activeCell="A4" sqref="A4:K20"/>
    </sheetView>
  </sheetViews>
  <sheetFormatPr baseColWidth="10" defaultColWidth="8.83203125" defaultRowHeight="14"/>
  <cols>
    <col min="1" max="1" width="27" customWidth="1"/>
    <col min="2" max="2" width="18" customWidth="1"/>
    <col min="3" max="3" width="37" customWidth="1"/>
    <col min="4" max="4" width="38" customWidth="1"/>
    <col min="5" max="5" width="16" customWidth="1"/>
    <col min="6" max="6" width="48" customWidth="1"/>
    <col min="7" max="7" width="38" customWidth="1"/>
    <col min="8" max="8" width="20" customWidth="1"/>
    <col min="9" max="9" width="22" customWidth="1"/>
    <col min="10" max="10" width="16" customWidth="1"/>
    <col min="11" max="11" width="30" customWidth="1"/>
  </cols>
  <sheetData>
    <row r="1" spans="1:13" ht="42.75" customHeight="1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</row>
    <row r="2" spans="1:13" ht="40" customHeight="1">
      <c r="A2" s="17" t="s">
        <v>36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60">
      <c r="A4" s="19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  <c r="H4" s="19" t="s">
        <v>44</v>
      </c>
      <c r="I4" s="19" t="s">
        <v>45</v>
      </c>
      <c r="J4" s="19" t="s">
        <v>46</v>
      </c>
      <c r="K4" s="19" t="s">
        <v>47</v>
      </c>
      <c r="L4" s="1"/>
      <c r="M4" s="1"/>
    </row>
    <row r="5" spans="1:13" ht="40">
      <c r="A5" s="20" t="s">
        <v>48</v>
      </c>
      <c r="B5" s="20" t="s">
        <v>49</v>
      </c>
      <c r="C5" s="20" t="s">
        <v>50</v>
      </c>
      <c r="D5" s="20" t="s">
        <v>51</v>
      </c>
      <c r="E5" s="20" t="s">
        <v>52</v>
      </c>
      <c r="F5" s="20" t="s">
        <v>53</v>
      </c>
      <c r="G5" s="20" t="s">
        <v>54</v>
      </c>
      <c r="H5" s="20" t="s">
        <v>55</v>
      </c>
      <c r="I5" s="20" t="s">
        <v>56</v>
      </c>
      <c r="J5" s="20" t="s">
        <v>57</v>
      </c>
      <c r="K5" s="20"/>
      <c r="L5" s="1"/>
      <c r="M5" s="1"/>
    </row>
    <row r="6" spans="1:13" ht="40">
      <c r="A6" s="20" t="s">
        <v>58</v>
      </c>
      <c r="B6" s="20" t="s">
        <v>59</v>
      </c>
      <c r="C6" s="20" t="s">
        <v>60</v>
      </c>
      <c r="D6" s="20" t="s">
        <v>61</v>
      </c>
      <c r="E6" s="20" t="s">
        <v>52</v>
      </c>
      <c r="F6" s="20" t="s">
        <v>62</v>
      </c>
      <c r="G6" s="20" t="s">
        <v>63</v>
      </c>
      <c r="H6" s="20" t="s">
        <v>64</v>
      </c>
      <c r="I6" s="20" t="s">
        <v>56</v>
      </c>
      <c r="J6" s="20" t="s">
        <v>57</v>
      </c>
      <c r="K6" s="20"/>
      <c r="L6" s="1"/>
      <c r="M6" s="1"/>
    </row>
    <row r="7" spans="1:13" ht="40">
      <c r="A7" s="20" t="s">
        <v>65</v>
      </c>
      <c r="B7" s="20" t="s">
        <v>52</v>
      </c>
      <c r="C7" s="20" t="s">
        <v>66</v>
      </c>
      <c r="D7" s="20" t="s">
        <v>67</v>
      </c>
      <c r="E7" s="20" t="s">
        <v>52</v>
      </c>
      <c r="F7" s="20" t="s">
        <v>68</v>
      </c>
      <c r="G7" s="20" t="s">
        <v>69</v>
      </c>
      <c r="H7" s="20" t="s">
        <v>70</v>
      </c>
      <c r="I7" s="20" t="s">
        <v>71</v>
      </c>
      <c r="J7" s="20" t="s">
        <v>57</v>
      </c>
      <c r="K7" s="20"/>
      <c r="L7" s="1"/>
      <c r="M7" s="1"/>
    </row>
    <row r="8" spans="1:13" ht="40">
      <c r="A8" s="20" t="s">
        <v>72</v>
      </c>
      <c r="B8" s="20" t="s">
        <v>52</v>
      </c>
      <c r="C8" s="20" t="s">
        <v>73</v>
      </c>
      <c r="D8" s="20" t="s">
        <v>74</v>
      </c>
      <c r="E8" s="20" t="s">
        <v>52</v>
      </c>
      <c r="F8" s="20" t="s">
        <v>75</v>
      </c>
      <c r="G8" s="20" t="s">
        <v>76</v>
      </c>
      <c r="H8" s="20" t="s">
        <v>77</v>
      </c>
      <c r="I8" s="20" t="s">
        <v>56</v>
      </c>
      <c r="J8" s="20" t="s">
        <v>57</v>
      </c>
      <c r="K8" s="20"/>
      <c r="L8" s="1"/>
      <c r="M8" s="1"/>
    </row>
    <row r="9" spans="1:13" ht="60">
      <c r="A9" s="20" t="s">
        <v>78</v>
      </c>
      <c r="B9" s="20" t="s">
        <v>79</v>
      </c>
      <c r="C9" s="20" t="s">
        <v>80</v>
      </c>
      <c r="D9" s="20" t="s">
        <v>81</v>
      </c>
      <c r="E9" s="20" t="s">
        <v>82</v>
      </c>
      <c r="F9" s="20" t="s">
        <v>83</v>
      </c>
      <c r="G9" s="20" t="s">
        <v>84</v>
      </c>
      <c r="H9" s="20" t="s">
        <v>85</v>
      </c>
      <c r="I9" s="20" t="s">
        <v>86</v>
      </c>
      <c r="J9" s="20" t="s">
        <v>87</v>
      </c>
      <c r="K9" s="20"/>
      <c r="L9" s="1"/>
      <c r="M9" s="1"/>
    </row>
    <row r="10" spans="1:13" ht="40">
      <c r="A10" s="20" t="s">
        <v>88</v>
      </c>
      <c r="B10" s="20" t="s">
        <v>52</v>
      </c>
      <c r="C10" s="20" t="s">
        <v>89</v>
      </c>
      <c r="D10" s="20" t="s">
        <v>90</v>
      </c>
      <c r="E10" s="20" t="s">
        <v>52</v>
      </c>
      <c r="F10" s="20" t="s">
        <v>91</v>
      </c>
      <c r="G10" s="20" t="s">
        <v>92</v>
      </c>
      <c r="H10" s="20" t="s">
        <v>77</v>
      </c>
      <c r="I10" s="20" t="s">
        <v>93</v>
      </c>
      <c r="J10" s="20" t="s">
        <v>57</v>
      </c>
      <c r="K10" s="20"/>
      <c r="L10" s="1"/>
      <c r="M10" s="1"/>
    </row>
    <row r="11" spans="1:13" ht="60">
      <c r="A11" s="20" t="s">
        <v>94</v>
      </c>
      <c r="B11" s="20" t="s">
        <v>59</v>
      </c>
      <c r="C11" s="20" t="s">
        <v>95</v>
      </c>
      <c r="D11" s="20" t="s">
        <v>96</v>
      </c>
      <c r="E11" s="20" t="s">
        <v>52</v>
      </c>
      <c r="F11" s="20" t="s">
        <v>97</v>
      </c>
      <c r="G11" s="20" t="s">
        <v>98</v>
      </c>
      <c r="H11" s="20" t="s">
        <v>99</v>
      </c>
      <c r="I11" s="20" t="s">
        <v>100</v>
      </c>
      <c r="J11" s="20" t="s">
        <v>57</v>
      </c>
      <c r="K11" s="20"/>
      <c r="L11" s="1"/>
      <c r="M11" s="1"/>
    </row>
    <row r="12" spans="1:13" ht="40">
      <c r="A12" s="20" t="s">
        <v>101</v>
      </c>
      <c r="B12" s="20" t="s">
        <v>52</v>
      </c>
      <c r="C12" s="20" t="s">
        <v>102</v>
      </c>
      <c r="D12" s="20" t="s">
        <v>103</v>
      </c>
      <c r="E12" s="20" t="s">
        <v>52</v>
      </c>
      <c r="F12" s="20" t="s">
        <v>104</v>
      </c>
      <c r="G12" s="20" t="s">
        <v>105</v>
      </c>
      <c r="H12" s="20" t="s">
        <v>85</v>
      </c>
      <c r="I12" s="20" t="s">
        <v>106</v>
      </c>
      <c r="J12" s="20" t="s">
        <v>87</v>
      </c>
      <c r="K12" s="20"/>
      <c r="L12" s="1"/>
      <c r="M12" s="1"/>
    </row>
    <row r="13" spans="1:13" ht="60">
      <c r="A13" s="20" t="s">
        <v>107</v>
      </c>
      <c r="B13" s="20" t="s">
        <v>52</v>
      </c>
      <c r="C13" s="20" t="s">
        <v>108</v>
      </c>
      <c r="D13" s="20" t="s">
        <v>109</v>
      </c>
      <c r="E13" s="20" t="s">
        <v>52</v>
      </c>
      <c r="F13" s="20" t="s">
        <v>110</v>
      </c>
      <c r="G13" s="20" t="s">
        <v>111</v>
      </c>
      <c r="H13" s="20" t="s">
        <v>112</v>
      </c>
      <c r="I13" s="20" t="s">
        <v>113</v>
      </c>
      <c r="J13" s="20" t="s">
        <v>57</v>
      </c>
      <c r="K13" s="20"/>
      <c r="L13" s="1"/>
      <c r="M13" s="1"/>
    </row>
    <row r="14" spans="1:13" ht="60">
      <c r="A14" s="20" t="s">
        <v>114</v>
      </c>
      <c r="B14" s="20" t="s">
        <v>115</v>
      </c>
      <c r="C14" s="20" t="s">
        <v>116</v>
      </c>
      <c r="D14" s="20" t="s">
        <v>117</v>
      </c>
      <c r="E14" s="20" t="s">
        <v>52</v>
      </c>
      <c r="F14" s="20" t="s">
        <v>118</v>
      </c>
      <c r="G14" s="20" t="s">
        <v>119</v>
      </c>
      <c r="H14" s="20" t="s">
        <v>120</v>
      </c>
      <c r="I14" s="20" t="s">
        <v>121</v>
      </c>
      <c r="J14" s="20" t="s">
        <v>122</v>
      </c>
      <c r="K14" s="20"/>
      <c r="L14" s="1"/>
      <c r="M14" s="1"/>
    </row>
    <row r="15" spans="1:13" ht="60">
      <c r="A15" s="20" t="s">
        <v>123</v>
      </c>
      <c r="B15" s="20" t="s">
        <v>124</v>
      </c>
      <c r="C15" s="20" t="s">
        <v>125</v>
      </c>
      <c r="D15" s="20" t="s">
        <v>126</v>
      </c>
      <c r="E15" s="20" t="s">
        <v>52</v>
      </c>
      <c r="F15" s="20" t="s">
        <v>127</v>
      </c>
      <c r="G15" s="20" t="s">
        <v>128</v>
      </c>
      <c r="H15" s="20" t="s">
        <v>129</v>
      </c>
      <c r="I15" s="20" t="s">
        <v>130</v>
      </c>
      <c r="J15" s="20" t="s">
        <v>122</v>
      </c>
      <c r="K15" s="20"/>
      <c r="L15" s="1"/>
      <c r="M15" s="1"/>
    </row>
    <row r="16" spans="1:13" ht="60">
      <c r="A16" s="20" t="s">
        <v>131</v>
      </c>
      <c r="B16" s="20" t="s">
        <v>124</v>
      </c>
      <c r="C16" s="20" t="s">
        <v>132</v>
      </c>
      <c r="D16" s="20" t="s">
        <v>133</v>
      </c>
      <c r="E16" s="20" t="s">
        <v>52</v>
      </c>
      <c r="F16" s="20" t="s">
        <v>134</v>
      </c>
      <c r="G16" s="20" t="s">
        <v>135</v>
      </c>
      <c r="H16" s="20" t="s">
        <v>129</v>
      </c>
      <c r="I16" s="20" t="s">
        <v>130</v>
      </c>
      <c r="J16" s="20" t="s">
        <v>122</v>
      </c>
      <c r="K16" s="20"/>
      <c r="L16" s="1"/>
      <c r="M16" s="1"/>
    </row>
    <row r="17" spans="1:13" ht="80">
      <c r="A17" s="20" t="s">
        <v>136</v>
      </c>
      <c r="B17" s="20" t="s">
        <v>115</v>
      </c>
      <c r="C17" s="20" t="s">
        <v>137</v>
      </c>
      <c r="D17" s="20" t="s">
        <v>138</v>
      </c>
      <c r="E17" s="20" t="s">
        <v>139</v>
      </c>
      <c r="F17" s="20" t="s">
        <v>140</v>
      </c>
      <c r="G17" s="20" t="s">
        <v>141</v>
      </c>
      <c r="H17" s="20" t="s">
        <v>120</v>
      </c>
      <c r="I17" s="20" t="s">
        <v>100</v>
      </c>
      <c r="J17" s="20" t="s">
        <v>122</v>
      </c>
      <c r="K17" s="20"/>
      <c r="L17" s="1"/>
      <c r="M17" s="1"/>
    </row>
    <row r="18" spans="1:13" ht="60">
      <c r="A18" s="20" t="s">
        <v>142</v>
      </c>
      <c r="B18" s="20" t="s">
        <v>143</v>
      </c>
      <c r="C18" s="20" t="s">
        <v>144</v>
      </c>
      <c r="D18" s="20" t="s">
        <v>145</v>
      </c>
      <c r="E18" s="20" t="s">
        <v>146</v>
      </c>
      <c r="F18" s="20" t="s">
        <v>147</v>
      </c>
      <c r="G18" s="20" t="s">
        <v>148</v>
      </c>
      <c r="H18" s="20" t="s">
        <v>149</v>
      </c>
      <c r="I18" s="20" t="s">
        <v>150</v>
      </c>
      <c r="J18" s="20" t="s">
        <v>146</v>
      </c>
      <c r="K18" s="20"/>
      <c r="L18" s="1"/>
      <c r="M18" s="1"/>
    </row>
    <row r="19" spans="1:13" ht="40">
      <c r="A19" s="20" t="s">
        <v>151</v>
      </c>
      <c r="B19" s="20" t="s">
        <v>52</v>
      </c>
      <c r="C19" s="20" t="s">
        <v>152</v>
      </c>
      <c r="D19" s="20" t="s">
        <v>153</v>
      </c>
      <c r="E19" s="20" t="s">
        <v>52</v>
      </c>
      <c r="F19" s="20" t="s">
        <v>154</v>
      </c>
      <c r="G19" s="20" t="s">
        <v>155</v>
      </c>
      <c r="H19" s="20" t="s">
        <v>156</v>
      </c>
      <c r="I19" s="20" t="s">
        <v>157</v>
      </c>
      <c r="J19" s="20" t="s">
        <v>57</v>
      </c>
      <c r="K19" s="20"/>
      <c r="L19" s="1"/>
      <c r="M19" s="1"/>
    </row>
    <row r="20" spans="1:13" ht="40">
      <c r="A20" s="20" t="s">
        <v>158</v>
      </c>
      <c r="B20" s="20" t="s">
        <v>124</v>
      </c>
      <c r="C20" s="20" t="s">
        <v>159</v>
      </c>
      <c r="D20" s="20" t="s">
        <v>160</v>
      </c>
      <c r="E20" s="20" t="s">
        <v>52</v>
      </c>
      <c r="F20" s="20" t="s">
        <v>161</v>
      </c>
      <c r="G20" s="20" t="s">
        <v>162</v>
      </c>
      <c r="H20" s="20" t="s">
        <v>129</v>
      </c>
      <c r="I20" s="20" t="s">
        <v>130</v>
      </c>
      <c r="J20" s="20" t="s">
        <v>122</v>
      </c>
      <c r="K20" s="20"/>
      <c r="L20" s="1"/>
      <c r="M20" s="1"/>
    </row>
    <row r="21" spans="1:13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K1"/>
    <mergeCell ref="A2:K2"/>
  </mergeCells>
  <conditionalFormatting sqref="E5:E20">
    <cfRule type="expression" dxfId="6" priority="1">
      <formula>E5="Yes"</formula>
    </cfRule>
  </conditionalFormatting>
  <conditionalFormatting sqref="I5:I20">
    <cfRule type="expression" dxfId="5" priority="2">
      <formula>ISNUMBER(SEARCH("Needs",I5))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32" customWidth="1"/>
    <col min="3" max="3" width="55" customWidth="1"/>
    <col min="4" max="4" width="17" customWidth="1"/>
    <col min="5" max="5" width="18" customWidth="1"/>
    <col min="6" max="6" width="36" customWidth="1"/>
    <col min="7" max="7" width="31" customWidth="1"/>
    <col min="8" max="8" width="42" customWidth="1"/>
    <col min="9" max="9" width="14" customWidth="1"/>
    <col min="10" max="10" width="28" customWidth="1"/>
  </cols>
  <sheetData>
    <row r="1" spans="1:13" ht="42.75" customHeight="1">
      <c r="A1" s="16" t="s">
        <v>163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</row>
    <row r="2" spans="1:13" ht="40" customHeight="1">
      <c r="A2" s="17" t="s">
        <v>164</v>
      </c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>
      <c r="A4" s="4" t="s">
        <v>165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171</v>
      </c>
      <c r="H4" s="4" t="s">
        <v>172</v>
      </c>
      <c r="I4" s="4" t="s">
        <v>173</v>
      </c>
      <c r="J4" s="4" t="s">
        <v>174</v>
      </c>
      <c r="K4" s="1"/>
      <c r="L4" s="1"/>
      <c r="M4" s="1"/>
    </row>
    <row r="5" spans="1:13" ht="30">
      <c r="A5" s="3" t="s">
        <v>175</v>
      </c>
      <c r="B5" s="3" t="s">
        <v>176</v>
      </c>
      <c r="C5" s="3" t="s">
        <v>177</v>
      </c>
      <c r="D5" s="3" t="s">
        <v>52</v>
      </c>
      <c r="E5" s="3" t="s">
        <v>178</v>
      </c>
      <c r="F5" s="3" t="s">
        <v>179</v>
      </c>
      <c r="G5" s="3" t="s">
        <v>180</v>
      </c>
      <c r="H5" s="3" t="s">
        <v>181</v>
      </c>
      <c r="I5" s="3" t="s">
        <v>52</v>
      </c>
      <c r="J5" s="3"/>
      <c r="K5" s="1"/>
      <c r="L5" s="1"/>
      <c r="M5" s="1"/>
    </row>
    <row r="6" spans="1:13" ht="15">
      <c r="A6" s="3" t="s">
        <v>182</v>
      </c>
      <c r="B6" s="3" t="s">
        <v>183</v>
      </c>
      <c r="C6" s="3" t="s">
        <v>184</v>
      </c>
      <c r="D6" s="3" t="s">
        <v>185</v>
      </c>
      <c r="E6" s="3" t="s">
        <v>186</v>
      </c>
      <c r="F6" s="3" t="s">
        <v>187</v>
      </c>
      <c r="G6" s="3" t="s">
        <v>188</v>
      </c>
      <c r="H6" s="3" t="s">
        <v>189</v>
      </c>
      <c r="I6" s="3" t="s">
        <v>52</v>
      </c>
      <c r="J6" s="3"/>
      <c r="K6" s="1"/>
      <c r="L6" s="1"/>
      <c r="M6" s="1"/>
    </row>
    <row r="7" spans="1:13" ht="30">
      <c r="A7" s="3" t="s">
        <v>182</v>
      </c>
      <c r="B7" s="3" t="s">
        <v>190</v>
      </c>
      <c r="C7" s="3" t="s">
        <v>191</v>
      </c>
      <c r="D7" s="3" t="s">
        <v>185</v>
      </c>
      <c r="E7" s="3" t="s">
        <v>186</v>
      </c>
      <c r="F7" s="3" t="s">
        <v>192</v>
      </c>
      <c r="G7" s="3" t="s">
        <v>193</v>
      </c>
      <c r="H7" s="3" t="s">
        <v>194</v>
      </c>
      <c r="I7" s="3" t="s">
        <v>52</v>
      </c>
      <c r="J7" s="3"/>
      <c r="K7" s="1"/>
      <c r="L7" s="1"/>
      <c r="M7" s="1"/>
    </row>
    <row r="8" spans="1:13" ht="15">
      <c r="A8" s="3" t="s">
        <v>195</v>
      </c>
      <c r="B8" s="3" t="s">
        <v>196</v>
      </c>
      <c r="C8" s="3" t="s">
        <v>197</v>
      </c>
      <c r="D8" s="3" t="s">
        <v>52</v>
      </c>
      <c r="E8" s="3" t="s">
        <v>198</v>
      </c>
      <c r="F8" s="3" t="s">
        <v>74</v>
      </c>
      <c r="G8" s="3" t="s">
        <v>199</v>
      </c>
      <c r="H8" s="3" t="s">
        <v>200</v>
      </c>
      <c r="I8" s="3" t="s">
        <v>52</v>
      </c>
      <c r="J8" s="3"/>
      <c r="K8" s="1"/>
      <c r="L8" s="1"/>
      <c r="M8" s="1"/>
    </row>
    <row r="9" spans="1:13" ht="30">
      <c r="A9" s="3" t="s">
        <v>195</v>
      </c>
      <c r="B9" s="3" t="s">
        <v>201</v>
      </c>
      <c r="C9" s="3" t="s">
        <v>202</v>
      </c>
      <c r="D9" s="3" t="s">
        <v>203</v>
      </c>
      <c r="E9" s="3" t="s">
        <v>198</v>
      </c>
      <c r="F9" s="3" t="s">
        <v>204</v>
      </c>
      <c r="G9" s="3" t="s">
        <v>205</v>
      </c>
      <c r="H9" s="3" t="s">
        <v>200</v>
      </c>
      <c r="I9" s="3" t="s">
        <v>146</v>
      </c>
      <c r="J9" s="3"/>
      <c r="K9" s="1"/>
      <c r="L9" s="1"/>
      <c r="M9" s="1"/>
    </row>
    <row r="10" spans="1:13" ht="30">
      <c r="A10" s="3" t="s">
        <v>195</v>
      </c>
      <c r="B10" s="3" t="s">
        <v>206</v>
      </c>
      <c r="C10" s="3" t="s">
        <v>207</v>
      </c>
      <c r="D10" s="3" t="s">
        <v>52</v>
      </c>
      <c r="E10" s="3" t="s">
        <v>198</v>
      </c>
      <c r="F10" s="3" t="s">
        <v>208</v>
      </c>
      <c r="G10" s="3" t="s">
        <v>209</v>
      </c>
      <c r="H10" s="3" t="s">
        <v>200</v>
      </c>
      <c r="I10" s="3" t="s">
        <v>52</v>
      </c>
      <c r="J10" s="3"/>
      <c r="K10" s="1"/>
      <c r="L10" s="1"/>
      <c r="M10" s="1"/>
    </row>
    <row r="11" spans="1:13" ht="15">
      <c r="A11" s="3" t="s">
        <v>195</v>
      </c>
      <c r="B11" s="3" t="s">
        <v>210</v>
      </c>
      <c r="C11" s="3" t="s">
        <v>211</v>
      </c>
      <c r="D11" s="3" t="s">
        <v>52</v>
      </c>
      <c r="E11" s="3" t="s">
        <v>198</v>
      </c>
      <c r="F11" s="3" t="s">
        <v>212</v>
      </c>
      <c r="G11" s="3" t="s">
        <v>199</v>
      </c>
      <c r="H11" s="3" t="s">
        <v>200</v>
      </c>
      <c r="I11" s="3" t="s">
        <v>52</v>
      </c>
      <c r="J11" s="3"/>
      <c r="K11" s="1"/>
      <c r="L11" s="1"/>
      <c r="M11" s="1"/>
    </row>
    <row r="12" spans="1:13" ht="30">
      <c r="A12" s="3" t="s">
        <v>195</v>
      </c>
      <c r="B12" s="3" t="s">
        <v>213</v>
      </c>
      <c r="C12" s="3" t="s">
        <v>214</v>
      </c>
      <c r="D12" s="3" t="s">
        <v>52</v>
      </c>
      <c r="E12" s="3" t="s">
        <v>198</v>
      </c>
      <c r="F12" s="3" t="s">
        <v>215</v>
      </c>
      <c r="G12" s="3" t="s">
        <v>216</v>
      </c>
      <c r="H12" s="3" t="s">
        <v>200</v>
      </c>
      <c r="I12" s="3" t="s">
        <v>52</v>
      </c>
      <c r="J12" s="3"/>
      <c r="K12" s="1"/>
      <c r="L12" s="1"/>
      <c r="M12" s="1"/>
    </row>
    <row r="13" spans="1:13" ht="30">
      <c r="A13" s="3" t="s">
        <v>195</v>
      </c>
      <c r="B13" s="3" t="s">
        <v>114</v>
      </c>
      <c r="C13" s="3" t="s">
        <v>217</v>
      </c>
      <c r="D13" s="3" t="s">
        <v>52</v>
      </c>
      <c r="E13" s="3" t="s">
        <v>198</v>
      </c>
      <c r="F13" s="3" t="s">
        <v>218</v>
      </c>
      <c r="G13" s="3" t="s">
        <v>219</v>
      </c>
      <c r="H13" s="3" t="s">
        <v>220</v>
      </c>
      <c r="I13" s="3" t="s">
        <v>52</v>
      </c>
      <c r="J13" s="3"/>
      <c r="K13" s="1"/>
      <c r="L13" s="1"/>
      <c r="M13" s="1"/>
    </row>
    <row r="14" spans="1:13" ht="30">
      <c r="A14" s="3" t="s">
        <v>195</v>
      </c>
      <c r="B14" s="3" t="s">
        <v>123</v>
      </c>
      <c r="C14" s="3" t="s">
        <v>221</v>
      </c>
      <c r="D14" s="3" t="s">
        <v>52</v>
      </c>
      <c r="E14" s="3" t="s">
        <v>198</v>
      </c>
      <c r="F14" s="3" t="s">
        <v>222</v>
      </c>
      <c r="G14" s="3" t="s">
        <v>223</v>
      </c>
      <c r="H14" s="3" t="s">
        <v>224</v>
      </c>
      <c r="I14" s="3" t="s">
        <v>52</v>
      </c>
      <c r="J14" s="3"/>
      <c r="K14" s="1"/>
      <c r="L14" s="1"/>
      <c r="M14" s="1"/>
    </row>
    <row r="15" spans="1:13" ht="30">
      <c r="A15" s="3" t="s">
        <v>195</v>
      </c>
      <c r="B15" s="3" t="s">
        <v>131</v>
      </c>
      <c r="C15" s="3" t="s">
        <v>225</v>
      </c>
      <c r="D15" s="3" t="s">
        <v>52</v>
      </c>
      <c r="E15" s="3" t="s">
        <v>198</v>
      </c>
      <c r="F15" s="3" t="s">
        <v>226</v>
      </c>
      <c r="G15" s="3" t="s">
        <v>227</v>
      </c>
      <c r="H15" s="3" t="s">
        <v>228</v>
      </c>
      <c r="I15" s="3" t="s">
        <v>52</v>
      </c>
      <c r="J15" s="3"/>
      <c r="K15" s="1"/>
      <c r="L15" s="1"/>
      <c r="M15" s="1"/>
    </row>
    <row r="16" spans="1:13" ht="15">
      <c r="A16" s="3" t="s">
        <v>195</v>
      </c>
      <c r="B16" s="3" t="s">
        <v>136</v>
      </c>
      <c r="C16" s="3" t="s">
        <v>229</v>
      </c>
      <c r="D16" s="3" t="s">
        <v>230</v>
      </c>
      <c r="E16" s="3" t="s">
        <v>198</v>
      </c>
      <c r="F16" s="3" t="s">
        <v>231</v>
      </c>
      <c r="G16" s="3" t="s">
        <v>232</v>
      </c>
      <c r="H16" s="3" t="s">
        <v>233</v>
      </c>
      <c r="I16" s="3" t="s">
        <v>234</v>
      </c>
      <c r="J16" s="3"/>
      <c r="K16" s="1"/>
      <c r="L16" s="1"/>
      <c r="M16" s="1"/>
    </row>
    <row r="17" spans="1:13" ht="30">
      <c r="A17" s="3" t="s">
        <v>195</v>
      </c>
      <c r="B17" s="3" t="s">
        <v>235</v>
      </c>
      <c r="C17" s="3" t="s">
        <v>236</v>
      </c>
      <c r="D17" s="3" t="s">
        <v>146</v>
      </c>
      <c r="E17" s="3" t="s">
        <v>198</v>
      </c>
      <c r="F17" s="3" t="s">
        <v>237</v>
      </c>
      <c r="G17" s="3" t="s">
        <v>238</v>
      </c>
      <c r="H17" s="3" t="s">
        <v>239</v>
      </c>
      <c r="I17" s="3" t="s">
        <v>240</v>
      </c>
      <c r="J17" s="3"/>
      <c r="K17" s="1"/>
      <c r="L17" s="1"/>
      <c r="M17" s="1"/>
    </row>
    <row r="18" spans="1:13" ht="15">
      <c r="A18" s="3" t="s">
        <v>241</v>
      </c>
      <c r="B18" s="3" t="s">
        <v>242</v>
      </c>
      <c r="C18" s="3" t="s">
        <v>243</v>
      </c>
      <c r="D18" s="3" t="s">
        <v>244</v>
      </c>
      <c r="E18" s="3" t="s">
        <v>245</v>
      </c>
      <c r="F18" s="3" t="s">
        <v>246</v>
      </c>
      <c r="G18" s="3" t="s">
        <v>247</v>
      </c>
      <c r="H18" s="3" t="s">
        <v>248</v>
      </c>
      <c r="I18" s="3" t="s">
        <v>52</v>
      </c>
      <c r="J18" s="3"/>
      <c r="K18" s="1"/>
      <c r="L18" s="1"/>
      <c r="M18" s="1"/>
    </row>
    <row r="19" spans="1:13" ht="30">
      <c r="A19" s="3" t="s">
        <v>249</v>
      </c>
      <c r="B19" s="3" t="s">
        <v>250</v>
      </c>
      <c r="C19" s="3" t="s">
        <v>251</v>
      </c>
      <c r="D19" s="3" t="s">
        <v>244</v>
      </c>
      <c r="E19" s="3" t="s">
        <v>252</v>
      </c>
      <c r="F19" s="3" t="s">
        <v>253</v>
      </c>
      <c r="G19" s="3" t="s">
        <v>254</v>
      </c>
      <c r="H19" s="3" t="s">
        <v>255</v>
      </c>
      <c r="I19" s="3" t="s">
        <v>52</v>
      </c>
      <c r="J19" s="3"/>
      <c r="K19" s="1"/>
      <c r="L19" s="1"/>
      <c r="M19" s="1"/>
    </row>
    <row r="20" spans="1:13" ht="15">
      <c r="A20" s="3" t="s">
        <v>249</v>
      </c>
      <c r="B20" s="3" t="s">
        <v>256</v>
      </c>
      <c r="C20" s="3" t="s">
        <v>257</v>
      </c>
      <c r="D20" s="3" t="s">
        <v>244</v>
      </c>
      <c r="E20" s="3" t="s">
        <v>258</v>
      </c>
      <c r="F20" s="3" t="s">
        <v>259</v>
      </c>
      <c r="G20" s="3" t="s">
        <v>260</v>
      </c>
      <c r="H20" s="3" t="s">
        <v>200</v>
      </c>
      <c r="I20" s="3" t="s">
        <v>52</v>
      </c>
      <c r="J20" s="3"/>
      <c r="K20" s="1"/>
      <c r="L20" s="1"/>
      <c r="M20" s="1"/>
    </row>
    <row r="21" spans="1:13" ht="30">
      <c r="A21" s="3" t="s">
        <v>249</v>
      </c>
      <c r="B21" s="3" t="s">
        <v>261</v>
      </c>
      <c r="C21" s="3" t="s">
        <v>262</v>
      </c>
      <c r="D21" s="3" t="s">
        <v>244</v>
      </c>
      <c r="E21" s="3" t="s">
        <v>263</v>
      </c>
      <c r="F21" s="3" t="s">
        <v>264</v>
      </c>
      <c r="G21" s="3" t="s">
        <v>265</v>
      </c>
      <c r="H21" s="3" t="s">
        <v>266</v>
      </c>
      <c r="I21" s="3" t="s">
        <v>267</v>
      </c>
      <c r="J21" s="3"/>
      <c r="K21" s="1"/>
      <c r="L21" s="1"/>
      <c r="M21" s="1"/>
    </row>
    <row r="22" spans="1:13" ht="30">
      <c r="A22" s="3" t="s">
        <v>268</v>
      </c>
      <c r="B22" s="3" t="s">
        <v>269</v>
      </c>
      <c r="C22" s="3" t="s">
        <v>270</v>
      </c>
      <c r="D22" s="3" t="s">
        <v>244</v>
      </c>
      <c r="E22" s="3" t="s">
        <v>271</v>
      </c>
      <c r="F22" s="3" t="s">
        <v>272</v>
      </c>
      <c r="G22" s="3" t="s">
        <v>273</v>
      </c>
      <c r="H22" s="3" t="s">
        <v>274</v>
      </c>
      <c r="I22" s="3" t="s">
        <v>52</v>
      </c>
      <c r="J22" s="3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"/>
  <sheetViews>
    <sheetView workbookViewId="0">
      <selection sqref="A1:L1"/>
    </sheetView>
  </sheetViews>
  <sheetFormatPr baseColWidth="10" defaultColWidth="8.83203125" defaultRowHeight="14"/>
  <cols>
    <col min="1" max="1" width="18" customWidth="1"/>
    <col min="2" max="2" width="50" customWidth="1"/>
    <col min="3" max="3" width="35" customWidth="1"/>
    <col min="4" max="4" width="16" customWidth="1"/>
    <col min="5" max="5" width="19" customWidth="1"/>
    <col min="6" max="6" width="28" customWidth="1"/>
    <col min="7" max="7" width="30" customWidth="1"/>
    <col min="8" max="9" width="34" customWidth="1"/>
    <col min="10" max="10" width="17" customWidth="1"/>
    <col min="11" max="11" width="18" customWidth="1"/>
    <col min="12" max="12" width="36" customWidth="1"/>
  </cols>
  <sheetData>
    <row r="1" spans="1:13" ht="42.75" customHeight="1">
      <c r="A1" s="16" t="s">
        <v>275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</row>
    <row r="2" spans="1:13" ht="40" customHeight="1">
      <c r="A2" s="17" t="s">
        <v>276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4" t="s">
        <v>277</v>
      </c>
      <c r="B4" s="4" t="s">
        <v>278</v>
      </c>
      <c r="C4" s="4" t="s">
        <v>279</v>
      </c>
      <c r="D4" s="4" t="s">
        <v>280</v>
      </c>
      <c r="E4" s="4" t="s">
        <v>281</v>
      </c>
      <c r="F4" s="4" t="s">
        <v>282</v>
      </c>
      <c r="G4" s="4" t="s">
        <v>283</v>
      </c>
      <c r="H4" s="4" t="s">
        <v>284</v>
      </c>
      <c r="I4" s="4" t="s">
        <v>285</v>
      </c>
      <c r="J4" s="4" t="s">
        <v>286</v>
      </c>
      <c r="K4" s="4" t="s">
        <v>287</v>
      </c>
      <c r="L4" s="4" t="s">
        <v>288</v>
      </c>
      <c r="M4" s="1"/>
    </row>
    <row r="5" spans="1:13" ht="30">
      <c r="A5" s="3" t="s">
        <v>289</v>
      </c>
      <c r="B5" s="3" t="s">
        <v>290</v>
      </c>
      <c r="C5" s="3" t="s">
        <v>291</v>
      </c>
      <c r="D5" s="3" t="s">
        <v>52</v>
      </c>
      <c r="E5" s="3" t="s">
        <v>292</v>
      </c>
      <c r="F5" s="3" t="s">
        <v>293</v>
      </c>
      <c r="G5" s="3" t="s">
        <v>21</v>
      </c>
      <c r="H5" s="3" t="s">
        <v>189</v>
      </c>
      <c r="I5" s="3" t="s">
        <v>156</v>
      </c>
      <c r="J5" s="3" t="s">
        <v>244</v>
      </c>
      <c r="K5" s="3" t="s">
        <v>294</v>
      </c>
      <c r="L5" s="3"/>
      <c r="M5" s="1"/>
    </row>
    <row r="6" spans="1:13" ht="75">
      <c r="A6" s="3" t="s">
        <v>289</v>
      </c>
      <c r="B6" s="3" t="s">
        <v>295</v>
      </c>
      <c r="C6" s="3" t="s">
        <v>296</v>
      </c>
      <c r="D6" s="3" t="s">
        <v>52</v>
      </c>
      <c r="E6" s="3" t="s">
        <v>297</v>
      </c>
      <c r="F6" s="3" t="s">
        <v>298</v>
      </c>
      <c r="G6" s="3" t="s">
        <v>299</v>
      </c>
      <c r="H6" s="3" t="s">
        <v>300</v>
      </c>
      <c r="I6" s="3" t="s">
        <v>301</v>
      </c>
      <c r="J6" s="3" t="s">
        <v>52</v>
      </c>
      <c r="K6" s="3" t="s">
        <v>294</v>
      </c>
      <c r="L6" s="3"/>
      <c r="M6" s="1"/>
    </row>
    <row r="7" spans="1:13" ht="60">
      <c r="A7" s="3" t="s">
        <v>289</v>
      </c>
      <c r="B7" s="3" t="s">
        <v>302</v>
      </c>
      <c r="C7" s="3" t="s">
        <v>303</v>
      </c>
      <c r="D7" s="3" t="s">
        <v>52</v>
      </c>
      <c r="E7" s="3" t="s">
        <v>297</v>
      </c>
      <c r="F7" s="3" t="s">
        <v>304</v>
      </c>
      <c r="G7" s="3" t="s">
        <v>305</v>
      </c>
      <c r="H7" s="3" t="s">
        <v>306</v>
      </c>
      <c r="I7" s="3" t="s">
        <v>307</v>
      </c>
      <c r="J7" s="3" t="s">
        <v>52</v>
      </c>
      <c r="K7" s="3" t="s">
        <v>294</v>
      </c>
      <c r="L7" s="3"/>
      <c r="M7" s="1"/>
    </row>
    <row r="8" spans="1:13" ht="30">
      <c r="A8" s="3" t="s">
        <v>289</v>
      </c>
      <c r="B8" s="3" t="s">
        <v>308</v>
      </c>
      <c r="C8" s="3" t="s">
        <v>309</v>
      </c>
      <c r="D8" s="3" t="s">
        <v>244</v>
      </c>
      <c r="E8" s="3" t="s">
        <v>297</v>
      </c>
      <c r="F8" s="3" t="s">
        <v>310</v>
      </c>
      <c r="G8" s="3" t="s">
        <v>311</v>
      </c>
      <c r="H8" s="3" t="s">
        <v>312</v>
      </c>
      <c r="I8" s="3" t="s">
        <v>313</v>
      </c>
      <c r="J8" s="3" t="s">
        <v>52</v>
      </c>
      <c r="K8" s="3" t="s">
        <v>294</v>
      </c>
      <c r="L8" s="3"/>
      <c r="M8" s="1"/>
    </row>
    <row r="9" spans="1:13" ht="30">
      <c r="A9" s="3" t="s">
        <v>289</v>
      </c>
      <c r="B9" s="3" t="s">
        <v>314</v>
      </c>
      <c r="C9" s="3" t="s">
        <v>315</v>
      </c>
      <c r="D9" s="3" t="s">
        <v>244</v>
      </c>
      <c r="E9" s="3" t="s">
        <v>316</v>
      </c>
      <c r="F9" s="3" t="s">
        <v>317</v>
      </c>
      <c r="G9" s="3" t="s">
        <v>318</v>
      </c>
      <c r="H9" s="3" t="s">
        <v>319</v>
      </c>
      <c r="I9" s="3" t="s">
        <v>320</v>
      </c>
      <c r="J9" s="3" t="s">
        <v>52</v>
      </c>
      <c r="K9" s="3" t="s">
        <v>294</v>
      </c>
      <c r="L9" s="3"/>
      <c r="M9" s="1"/>
    </row>
    <row r="10" spans="1:13" ht="30">
      <c r="A10" s="3" t="s">
        <v>289</v>
      </c>
      <c r="B10" s="3" t="s">
        <v>321</v>
      </c>
      <c r="C10" s="3" t="s">
        <v>322</v>
      </c>
      <c r="D10" s="3" t="s">
        <v>203</v>
      </c>
      <c r="E10" s="3" t="s">
        <v>323</v>
      </c>
      <c r="F10" s="3" t="s">
        <v>324</v>
      </c>
      <c r="G10" s="3" t="s">
        <v>325</v>
      </c>
      <c r="H10" s="3" t="s">
        <v>326</v>
      </c>
      <c r="I10" s="3" t="s">
        <v>327</v>
      </c>
      <c r="J10" s="3" t="s">
        <v>52</v>
      </c>
      <c r="K10" s="3" t="s">
        <v>328</v>
      </c>
      <c r="L10" s="3" t="s">
        <v>329</v>
      </c>
      <c r="M10" s="1"/>
    </row>
    <row r="11" spans="1:13" ht="30">
      <c r="A11" s="3" t="s">
        <v>330</v>
      </c>
      <c r="B11" s="3" t="s">
        <v>331</v>
      </c>
      <c r="C11" s="3" t="s">
        <v>332</v>
      </c>
      <c r="D11" s="3" t="s">
        <v>333</v>
      </c>
      <c r="E11" s="3" t="s">
        <v>334</v>
      </c>
      <c r="F11" s="3" t="s">
        <v>335</v>
      </c>
      <c r="G11" s="3" t="s">
        <v>336</v>
      </c>
      <c r="H11" s="3" t="s">
        <v>337</v>
      </c>
      <c r="I11" s="3" t="s">
        <v>338</v>
      </c>
      <c r="J11" s="3" t="s">
        <v>52</v>
      </c>
      <c r="K11" s="3" t="s">
        <v>294</v>
      </c>
      <c r="L11" s="3"/>
      <c r="M11" s="1"/>
    </row>
    <row r="12" spans="1:13" ht="15">
      <c r="A12" s="3" t="s">
        <v>330</v>
      </c>
      <c r="B12" s="3" t="s">
        <v>339</v>
      </c>
      <c r="C12" s="3" t="s">
        <v>340</v>
      </c>
      <c r="D12" s="3" t="s">
        <v>333</v>
      </c>
      <c r="E12" s="3" t="s">
        <v>341</v>
      </c>
      <c r="F12" s="3" t="s">
        <v>342</v>
      </c>
      <c r="G12" s="3" t="s">
        <v>343</v>
      </c>
      <c r="H12" s="3" t="s">
        <v>344</v>
      </c>
      <c r="I12" s="3" t="s">
        <v>345</v>
      </c>
      <c r="J12" s="3" t="s">
        <v>52</v>
      </c>
      <c r="K12" s="3" t="s">
        <v>294</v>
      </c>
      <c r="L12" s="3"/>
      <c r="M12" s="1"/>
    </row>
    <row r="13" spans="1:13" ht="15">
      <c r="A13" s="3" t="s">
        <v>330</v>
      </c>
      <c r="B13" s="3" t="s">
        <v>346</v>
      </c>
      <c r="C13" s="3" t="s">
        <v>347</v>
      </c>
      <c r="D13" s="3" t="s">
        <v>333</v>
      </c>
      <c r="E13" s="3" t="s">
        <v>348</v>
      </c>
      <c r="F13" s="3" t="s">
        <v>349</v>
      </c>
      <c r="G13" s="3" t="s">
        <v>350</v>
      </c>
      <c r="H13" s="3" t="s">
        <v>351</v>
      </c>
      <c r="I13" s="3" t="s">
        <v>352</v>
      </c>
      <c r="J13" s="3" t="s">
        <v>52</v>
      </c>
      <c r="K13" s="3" t="s">
        <v>294</v>
      </c>
      <c r="L13" s="3"/>
      <c r="M13" s="1"/>
    </row>
    <row r="14" spans="1:13" ht="30">
      <c r="A14" s="3" t="s">
        <v>330</v>
      </c>
      <c r="B14" s="3" t="s">
        <v>353</v>
      </c>
      <c r="C14" s="3" t="s">
        <v>354</v>
      </c>
      <c r="D14" s="3" t="s">
        <v>333</v>
      </c>
      <c r="E14" s="3" t="s">
        <v>355</v>
      </c>
      <c r="F14" s="3" t="s">
        <v>356</v>
      </c>
      <c r="G14" s="3" t="s">
        <v>357</v>
      </c>
      <c r="H14" s="3" t="s">
        <v>358</v>
      </c>
      <c r="I14" s="3" t="s">
        <v>338</v>
      </c>
      <c r="J14" s="3" t="s">
        <v>52</v>
      </c>
      <c r="K14" s="3" t="s">
        <v>328</v>
      </c>
      <c r="L14" s="3"/>
      <c r="M14" s="1"/>
    </row>
    <row r="15" spans="1:13" ht="15">
      <c r="A15" s="3" t="s">
        <v>330</v>
      </c>
      <c r="B15" s="3" t="s">
        <v>359</v>
      </c>
      <c r="C15" s="3" t="s">
        <v>360</v>
      </c>
      <c r="D15" s="3" t="s">
        <v>333</v>
      </c>
      <c r="E15" s="3" t="s">
        <v>361</v>
      </c>
      <c r="F15" s="3" t="s">
        <v>362</v>
      </c>
      <c r="G15" s="3" t="s">
        <v>363</v>
      </c>
      <c r="H15" s="3" t="s">
        <v>364</v>
      </c>
      <c r="I15" s="3" t="s">
        <v>365</v>
      </c>
      <c r="J15" s="3" t="s">
        <v>52</v>
      </c>
      <c r="K15" s="3" t="s">
        <v>294</v>
      </c>
      <c r="L15" s="3"/>
      <c r="M15" s="1"/>
    </row>
    <row r="16" spans="1:13" ht="15">
      <c r="A16" s="3" t="s">
        <v>330</v>
      </c>
      <c r="B16" s="3" t="s">
        <v>366</v>
      </c>
      <c r="C16" s="3" t="s">
        <v>367</v>
      </c>
      <c r="D16" s="3" t="s">
        <v>333</v>
      </c>
      <c r="E16" s="3" t="s">
        <v>368</v>
      </c>
      <c r="F16" s="3" t="s">
        <v>356</v>
      </c>
      <c r="G16" s="3" t="s">
        <v>369</v>
      </c>
      <c r="H16" s="3" t="s">
        <v>358</v>
      </c>
      <c r="I16" s="3" t="s">
        <v>365</v>
      </c>
      <c r="J16" s="3" t="s">
        <v>52</v>
      </c>
      <c r="K16" s="3" t="s">
        <v>328</v>
      </c>
      <c r="L16" s="3"/>
      <c r="M16" s="1"/>
    </row>
    <row r="17" spans="1:13" ht="15">
      <c r="A17" s="3" t="s">
        <v>330</v>
      </c>
      <c r="B17" s="3" t="s">
        <v>370</v>
      </c>
      <c r="C17" s="3" t="s">
        <v>371</v>
      </c>
      <c r="D17" s="3" t="s">
        <v>333</v>
      </c>
      <c r="E17" s="3" t="s">
        <v>348</v>
      </c>
      <c r="F17" s="3" t="s">
        <v>372</v>
      </c>
      <c r="G17" s="3" t="s">
        <v>373</v>
      </c>
      <c r="H17" s="3" t="s">
        <v>374</v>
      </c>
      <c r="I17" s="3" t="s">
        <v>375</v>
      </c>
      <c r="J17" s="3" t="s">
        <v>52</v>
      </c>
      <c r="K17" s="3" t="s">
        <v>294</v>
      </c>
      <c r="L17" s="3"/>
      <c r="M17" s="1"/>
    </row>
    <row r="18" spans="1:13" ht="15">
      <c r="A18" s="3" t="s">
        <v>376</v>
      </c>
      <c r="B18" s="3" t="s">
        <v>377</v>
      </c>
      <c r="C18" s="3" t="s">
        <v>378</v>
      </c>
      <c r="D18" s="3" t="s">
        <v>52</v>
      </c>
      <c r="E18" s="3" t="s">
        <v>379</v>
      </c>
      <c r="F18" s="3" t="s">
        <v>380</v>
      </c>
      <c r="G18" s="3" t="s">
        <v>381</v>
      </c>
      <c r="H18" s="3" t="s">
        <v>189</v>
      </c>
      <c r="I18" s="3" t="s">
        <v>382</v>
      </c>
      <c r="J18" s="3" t="s">
        <v>244</v>
      </c>
      <c r="K18" s="3" t="s">
        <v>294</v>
      </c>
      <c r="L18" s="3"/>
      <c r="M18" s="1"/>
    </row>
    <row r="19" spans="1:13" ht="30">
      <c r="A19" s="3" t="s">
        <v>376</v>
      </c>
      <c r="B19" s="3" t="s">
        <v>383</v>
      </c>
      <c r="C19" s="3" t="s">
        <v>384</v>
      </c>
      <c r="D19" s="3" t="s">
        <v>244</v>
      </c>
      <c r="E19" s="3" t="s">
        <v>385</v>
      </c>
      <c r="F19" s="3" t="s">
        <v>386</v>
      </c>
      <c r="G19" s="3" t="s">
        <v>387</v>
      </c>
      <c r="H19" s="3" t="s">
        <v>388</v>
      </c>
      <c r="I19" s="3" t="s">
        <v>114</v>
      </c>
      <c r="J19" s="3" t="s">
        <v>52</v>
      </c>
      <c r="K19" s="3" t="s">
        <v>328</v>
      </c>
      <c r="L19" s="3"/>
      <c r="M19" s="1"/>
    </row>
    <row r="20" spans="1:13" ht="30">
      <c r="A20" s="3" t="s">
        <v>376</v>
      </c>
      <c r="B20" s="3" t="s">
        <v>389</v>
      </c>
      <c r="C20" s="3" t="s">
        <v>390</v>
      </c>
      <c r="D20" s="3" t="s">
        <v>244</v>
      </c>
      <c r="E20" s="3" t="s">
        <v>391</v>
      </c>
      <c r="F20" s="3" t="s">
        <v>392</v>
      </c>
      <c r="G20" s="3" t="s">
        <v>387</v>
      </c>
      <c r="H20" s="3" t="s">
        <v>393</v>
      </c>
      <c r="I20" s="3" t="s">
        <v>123</v>
      </c>
      <c r="J20" s="3" t="s">
        <v>52</v>
      </c>
      <c r="K20" s="3" t="s">
        <v>328</v>
      </c>
      <c r="L20" s="3"/>
      <c r="M20" s="1"/>
    </row>
    <row r="21" spans="1:13" ht="30">
      <c r="A21" s="3" t="s">
        <v>376</v>
      </c>
      <c r="B21" s="3" t="s">
        <v>394</v>
      </c>
      <c r="C21" s="3" t="s">
        <v>395</v>
      </c>
      <c r="D21" s="3" t="s">
        <v>244</v>
      </c>
      <c r="E21" s="3" t="s">
        <v>385</v>
      </c>
      <c r="F21" s="3" t="s">
        <v>396</v>
      </c>
      <c r="G21" s="3" t="s">
        <v>387</v>
      </c>
      <c r="H21" s="3" t="s">
        <v>397</v>
      </c>
      <c r="I21" s="3" t="s">
        <v>398</v>
      </c>
      <c r="J21" s="3" t="s">
        <v>52</v>
      </c>
      <c r="K21" s="3" t="s">
        <v>328</v>
      </c>
      <c r="L21" s="3"/>
      <c r="M21" s="1"/>
    </row>
    <row r="22" spans="1:13" ht="30">
      <c r="A22" s="3" t="s">
        <v>376</v>
      </c>
      <c r="B22" s="3" t="s">
        <v>399</v>
      </c>
      <c r="C22" s="3" t="s">
        <v>400</v>
      </c>
      <c r="D22" s="3" t="s">
        <v>244</v>
      </c>
      <c r="E22" s="3" t="s">
        <v>292</v>
      </c>
      <c r="F22" s="3" t="s">
        <v>401</v>
      </c>
      <c r="G22" s="3" t="s">
        <v>402</v>
      </c>
      <c r="H22" s="3" t="s">
        <v>189</v>
      </c>
      <c r="I22" s="3" t="s">
        <v>136</v>
      </c>
      <c r="J22" s="3" t="s">
        <v>244</v>
      </c>
      <c r="K22" s="3" t="s">
        <v>294</v>
      </c>
      <c r="L22" s="3"/>
      <c r="M22" s="1"/>
    </row>
    <row r="23" spans="1:13" ht="30">
      <c r="A23" s="3" t="s">
        <v>376</v>
      </c>
      <c r="B23" s="3" t="s">
        <v>403</v>
      </c>
      <c r="C23" s="3" t="s">
        <v>404</v>
      </c>
      <c r="D23" s="3" t="s">
        <v>203</v>
      </c>
      <c r="E23" s="3" t="s">
        <v>385</v>
      </c>
      <c r="F23" s="3" t="s">
        <v>405</v>
      </c>
      <c r="G23" s="3" t="s">
        <v>387</v>
      </c>
      <c r="H23" s="3" t="s">
        <v>406</v>
      </c>
      <c r="I23" s="3" t="s">
        <v>136</v>
      </c>
      <c r="J23" s="3" t="s">
        <v>52</v>
      </c>
      <c r="K23" s="3" t="s">
        <v>328</v>
      </c>
      <c r="L23" s="3"/>
      <c r="M23" s="1"/>
    </row>
    <row r="24" spans="1:13" ht="30">
      <c r="A24" s="3" t="s">
        <v>376</v>
      </c>
      <c r="B24" s="3" t="s">
        <v>407</v>
      </c>
      <c r="C24" s="3" t="s">
        <v>408</v>
      </c>
      <c r="D24" s="3" t="s">
        <v>244</v>
      </c>
      <c r="E24" s="3" t="s">
        <v>409</v>
      </c>
      <c r="F24" s="3" t="s">
        <v>380</v>
      </c>
      <c r="G24" s="3" t="s">
        <v>244</v>
      </c>
      <c r="H24" s="3" t="s">
        <v>189</v>
      </c>
      <c r="I24" s="3" t="s">
        <v>235</v>
      </c>
      <c r="J24" s="3" t="s">
        <v>244</v>
      </c>
      <c r="K24" s="3" t="s">
        <v>294</v>
      </c>
      <c r="L24" s="3"/>
      <c r="M24" s="1"/>
    </row>
    <row r="25" spans="1:13" ht="30">
      <c r="A25" s="3" t="s">
        <v>410</v>
      </c>
      <c r="B25" s="3" t="s">
        <v>411</v>
      </c>
      <c r="C25" s="3" t="s">
        <v>412</v>
      </c>
      <c r="D25" s="3" t="s">
        <v>413</v>
      </c>
      <c r="E25" s="3" t="s">
        <v>414</v>
      </c>
      <c r="F25" s="3" t="s">
        <v>415</v>
      </c>
      <c r="G25" s="3" t="s">
        <v>311</v>
      </c>
      <c r="H25" s="3" t="s">
        <v>189</v>
      </c>
      <c r="I25" s="3" t="s">
        <v>416</v>
      </c>
      <c r="J25" s="3" t="s">
        <v>244</v>
      </c>
      <c r="K25" s="3" t="s">
        <v>328</v>
      </c>
      <c r="L25" s="3" t="s">
        <v>417</v>
      </c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selection sqref="A1:M1"/>
    </sheetView>
  </sheetViews>
  <sheetFormatPr baseColWidth="10" defaultColWidth="8.83203125" defaultRowHeight="14"/>
  <cols>
    <col min="1" max="1" width="30" customWidth="1"/>
    <col min="2" max="2" width="18" customWidth="1"/>
    <col min="3" max="3" width="52" customWidth="1"/>
    <col min="4" max="4" width="33" customWidth="1"/>
    <col min="5" max="5" width="34" customWidth="1"/>
    <col min="6" max="8" width="28" customWidth="1"/>
    <col min="9" max="9" width="38" customWidth="1"/>
    <col min="10" max="10" width="24" customWidth="1"/>
    <col min="11" max="11" width="48" customWidth="1"/>
    <col min="12" max="12" width="18" customWidth="1"/>
    <col min="13" max="13" width="35" customWidth="1"/>
  </cols>
  <sheetData>
    <row r="1" spans="1:13" ht="42.75" customHeight="1">
      <c r="A1" s="16" t="s">
        <v>418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0" customHeight="1">
      <c r="A2" s="17" t="s">
        <v>419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4" t="s">
        <v>420</v>
      </c>
      <c r="B4" s="4" t="s">
        <v>421</v>
      </c>
      <c r="C4" s="4" t="s">
        <v>422</v>
      </c>
      <c r="D4" s="4" t="s">
        <v>423</v>
      </c>
      <c r="E4" s="4" t="s">
        <v>424</v>
      </c>
      <c r="F4" s="4" t="s">
        <v>425</v>
      </c>
      <c r="G4" s="4" t="s">
        <v>426</v>
      </c>
      <c r="H4" s="4" t="s">
        <v>427</v>
      </c>
      <c r="I4" s="4" t="s">
        <v>428</v>
      </c>
      <c r="J4" s="4" t="s">
        <v>429</v>
      </c>
      <c r="K4" s="4" t="s">
        <v>430</v>
      </c>
      <c r="L4" s="4" t="s">
        <v>431</v>
      </c>
      <c r="M4" s="4" t="s">
        <v>432</v>
      </c>
    </row>
    <row r="5" spans="1:13" ht="30">
      <c r="A5" s="3" t="s">
        <v>433</v>
      </c>
      <c r="B5" s="3" t="s">
        <v>52</v>
      </c>
      <c r="C5" s="3" t="s">
        <v>434</v>
      </c>
      <c r="D5" s="3" t="s">
        <v>435</v>
      </c>
      <c r="E5" s="3" t="s">
        <v>436</v>
      </c>
      <c r="F5" s="3" t="s">
        <v>437</v>
      </c>
      <c r="G5" s="3" t="s">
        <v>438</v>
      </c>
      <c r="H5" s="3" t="s">
        <v>439</v>
      </c>
      <c r="I5" s="3" t="s">
        <v>440</v>
      </c>
      <c r="J5" s="3" t="s">
        <v>56</v>
      </c>
      <c r="K5" s="3" t="s">
        <v>441</v>
      </c>
      <c r="L5" s="3" t="s">
        <v>244</v>
      </c>
      <c r="M5" s="3" t="s">
        <v>442</v>
      </c>
    </row>
    <row r="6" spans="1:13" ht="30">
      <c r="A6" s="3" t="s">
        <v>201</v>
      </c>
      <c r="B6" s="3" t="s">
        <v>203</v>
      </c>
      <c r="C6" s="3" t="s">
        <v>443</v>
      </c>
      <c r="D6" s="3" t="s">
        <v>444</v>
      </c>
      <c r="E6" s="3" t="s">
        <v>445</v>
      </c>
      <c r="F6" s="3" t="s">
        <v>446</v>
      </c>
      <c r="G6" s="3" t="s">
        <v>447</v>
      </c>
      <c r="H6" s="3" t="s">
        <v>448</v>
      </c>
      <c r="I6" s="3" t="s">
        <v>449</v>
      </c>
      <c r="J6" s="3" t="s">
        <v>450</v>
      </c>
      <c r="K6" s="3" t="s">
        <v>451</v>
      </c>
      <c r="L6" s="3" t="s">
        <v>244</v>
      </c>
      <c r="M6" s="3" t="s">
        <v>452</v>
      </c>
    </row>
    <row r="7" spans="1:13" ht="30">
      <c r="A7" s="3" t="s">
        <v>206</v>
      </c>
      <c r="B7" s="3" t="s">
        <v>52</v>
      </c>
      <c r="C7" s="3" t="s">
        <v>453</v>
      </c>
      <c r="D7" s="3" t="s">
        <v>454</v>
      </c>
      <c r="E7" s="3" t="s">
        <v>455</v>
      </c>
      <c r="F7" s="3" t="s">
        <v>456</v>
      </c>
      <c r="G7" s="3" t="s">
        <v>457</v>
      </c>
      <c r="H7" s="3" t="s">
        <v>458</v>
      </c>
      <c r="I7" s="3" t="s">
        <v>459</v>
      </c>
      <c r="J7" s="3" t="s">
        <v>460</v>
      </c>
      <c r="K7" s="3" t="s">
        <v>461</v>
      </c>
      <c r="L7" s="3" t="s">
        <v>244</v>
      </c>
      <c r="M7" s="3" t="s">
        <v>462</v>
      </c>
    </row>
    <row r="8" spans="1:13" ht="30">
      <c r="A8" s="3" t="s">
        <v>463</v>
      </c>
      <c r="B8" s="3" t="s">
        <v>52</v>
      </c>
      <c r="C8" s="3" t="s">
        <v>464</v>
      </c>
      <c r="D8" s="3" t="s">
        <v>465</v>
      </c>
      <c r="E8" s="3" t="s">
        <v>466</v>
      </c>
      <c r="F8" s="3" t="s">
        <v>467</v>
      </c>
      <c r="G8" s="3" t="s">
        <v>457</v>
      </c>
      <c r="H8" s="3" t="s">
        <v>468</v>
      </c>
      <c r="I8" s="3" t="s">
        <v>107</v>
      </c>
      <c r="J8" s="3" t="s">
        <v>469</v>
      </c>
      <c r="K8" s="3" t="s">
        <v>470</v>
      </c>
      <c r="L8" s="3" t="s">
        <v>244</v>
      </c>
      <c r="M8" s="3" t="s">
        <v>471</v>
      </c>
    </row>
    <row r="9" spans="1:13" ht="30">
      <c r="A9" s="3" t="s">
        <v>213</v>
      </c>
      <c r="B9" s="3" t="s">
        <v>52</v>
      </c>
      <c r="C9" s="3" t="s">
        <v>472</v>
      </c>
      <c r="D9" s="3" t="s">
        <v>473</v>
      </c>
      <c r="E9" s="3" t="s">
        <v>474</v>
      </c>
      <c r="F9" s="3" t="s">
        <v>475</v>
      </c>
      <c r="G9" s="3" t="s">
        <v>457</v>
      </c>
      <c r="H9" s="3" t="s">
        <v>476</v>
      </c>
      <c r="I9" s="3" t="s">
        <v>477</v>
      </c>
      <c r="J9" s="3" t="s">
        <v>469</v>
      </c>
      <c r="K9" s="3" t="s">
        <v>478</v>
      </c>
      <c r="L9" s="3" t="s">
        <v>244</v>
      </c>
      <c r="M9" s="3" t="s">
        <v>479</v>
      </c>
    </row>
    <row r="10" spans="1:13" ht="30">
      <c r="A10" s="3" t="s">
        <v>114</v>
      </c>
      <c r="B10" s="3" t="s">
        <v>52</v>
      </c>
      <c r="C10" s="3" t="s">
        <v>480</v>
      </c>
      <c r="D10" s="3" t="s">
        <v>481</v>
      </c>
      <c r="E10" s="3" t="s">
        <v>482</v>
      </c>
      <c r="F10" s="3" t="s">
        <v>483</v>
      </c>
      <c r="G10" s="3" t="s">
        <v>457</v>
      </c>
      <c r="H10" s="3" t="s">
        <v>484</v>
      </c>
      <c r="I10" s="3" t="s">
        <v>485</v>
      </c>
      <c r="J10" s="3" t="s">
        <v>486</v>
      </c>
      <c r="K10" s="3" t="s">
        <v>487</v>
      </c>
      <c r="L10" s="3" t="s">
        <v>52</v>
      </c>
      <c r="M10" s="3" t="s">
        <v>488</v>
      </c>
    </row>
    <row r="11" spans="1:13" ht="30">
      <c r="A11" s="3" t="s">
        <v>123</v>
      </c>
      <c r="B11" s="3" t="s">
        <v>52</v>
      </c>
      <c r="C11" s="3" t="s">
        <v>489</v>
      </c>
      <c r="D11" s="3" t="s">
        <v>490</v>
      </c>
      <c r="E11" s="3" t="s">
        <v>491</v>
      </c>
      <c r="F11" s="3" t="s">
        <v>492</v>
      </c>
      <c r="G11" s="3" t="s">
        <v>457</v>
      </c>
      <c r="H11" s="3" t="s">
        <v>493</v>
      </c>
      <c r="I11" s="3" t="s">
        <v>494</v>
      </c>
      <c r="J11" s="3" t="s">
        <v>495</v>
      </c>
      <c r="K11" s="3" t="s">
        <v>496</v>
      </c>
      <c r="L11" s="3" t="s">
        <v>52</v>
      </c>
      <c r="M11" s="3" t="s">
        <v>497</v>
      </c>
    </row>
    <row r="12" spans="1:13" ht="30">
      <c r="A12" s="3" t="s">
        <v>131</v>
      </c>
      <c r="B12" s="3" t="s">
        <v>52</v>
      </c>
      <c r="C12" s="3" t="s">
        <v>498</v>
      </c>
      <c r="D12" s="3" t="s">
        <v>499</v>
      </c>
      <c r="E12" s="3" t="s">
        <v>500</v>
      </c>
      <c r="F12" s="3" t="s">
        <v>492</v>
      </c>
      <c r="G12" s="3" t="s">
        <v>457</v>
      </c>
      <c r="H12" s="3" t="s">
        <v>493</v>
      </c>
      <c r="I12" s="3" t="s">
        <v>501</v>
      </c>
      <c r="J12" s="3" t="s">
        <v>495</v>
      </c>
      <c r="K12" s="3" t="s">
        <v>502</v>
      </c>
      <c r="L12" s="3" t="s">
        <v>52</v>
      </c>
      <c r="M12" s="3" t="s">
        <v>497</v>
      </c>
    </row>
    <row r="13" spans="1:13" ht="30">
      <c r="A13" s="3" t="s">
        <v>136</v>
      </c>
      <c r="B13" s="3" t="s">
        <v>503</v>
      </c>
      <c r="C13" s="3" t="s">
        <v>504</v>
      </c>
      <c r="D13" s="3" t="s">
        <v>505</v>
      </c>
      <c r="E13" s="3" t="s">
        <v>506</v>
      </c>
      <c r="F13" s="3" t="s">
        <v>492</v>
      </c>
      <c r="G13" s="3" t="s">
        <v>457</v>
      </c>
      <c r="H13" s="3" t="s">
        <v>493</v>
      </c>
      <c r="I13" s="3" t="s">
        <v>507</v>
      </c>
      <c r="J13" s="3" t="s">
        <v>495</v>
      </c>
      <c r="K13" s="3" t="s">
        <v>508</v>
      </c>
      <c r="L13" s="3" t="s">
        <v>52</v>
      </c>
      <c r="M13" s="3" t="s">
        <v>509</v>
      </c>
    </row>
    <row r="14" spans="1:13" ht="30">
      <c r="A14" s="3" t="s">
        <v>235</v>
      </c>
      <c r="B14" s="3" t="s">
        <v>510</v>
      </c>
      <c r="C14" s="3" t="s">
        <v>511</v>
      </c>
      <c r="D14" s="3" t="s">
        <v>512</v>
      </c>
      <c r="E14" s="3" t="s">
        <v>513</v>
      </c>
      <c r="F14" s="3" t="s">
        <v>514</v>
      </c>
      <c r="G14" s="3" t="s">
        <v>514</v>
      </c>
      <c r="H14" s="3" t="s">
        <v>514</v>
      </c>
      <c r="I14" s="3" t="s">
        <v>515</v>
      </c>
      <c r="J14" s="3" t="s">
        <v>516</v>
      </c>
      <c r="K14" s="3" t="s">
        <v>517</v>
      </c>
      <c r="L14" s="3" t="s">
        <v>518</v>
      </c>
      <c r="M14" s="3" t="s">
        <v>519</v>
      </c>
    </row>
    <row r="15" spans="1:13" ht="15">
      <c r="A15" s="3" t="s">
        <v>520</v>
      </c>
      <c r="B15" s="3" t="s">
        <v>521</v>
      </c>
      <c r="C15" s="3" t="s">
        <v>522</v>
      </c>
      <c r="D15" s="3" t="s">
        <v>523</v>
      </c>
      <c r="E15" s="3" t="s">
        <v>189</v>
      </c>
      <c r="F15" s="3" t="s">
        <v>524</v>
      </c>
      <c r="G15" s="3" t="s">
        <v>525</v>
      </c>
      <c r="H15" s="3" t="s">
        <v>526</v>
      </c>
      <c r="I15" s="3" t="s">
        <v>527</v>
      </c>
      <c r="J15" s="3" t="s">
        <v>528</v>
      </c>
      <c r="K15" s="3" t="s">
        <v>529</v>
      </c>
      <c r="L15" s="3" t="s">
        <v>244</v>
      </c>
      <c r="M15" s="3"/>
    </row>
    <row r="16" spans="1:13" ht="30">
      <c r="A16" s="3" t="s">
        <v>530</v>
      </c>
      <c r="B16" s="3" t="s">
        <v>521</v>
      </c>
      <c r="C16" s="3" t="s">
        <v>531</v>
      </c>
      <c r="D16" s="3" t="s">
        <v>523</v>
      </c>
      <c r="E16" s="3" t="s">
        <v>189</v>
      </c>
      <c r="F16" s="3" t="s">
        <v>524</v>
      </c>
      <c r="G16" s="3" t="s">
        <v>525</v>
      </c>
      <c r="H16" s="3" t="s">
        <v>526</v>
      </c>
      <c r="I16" s="3" t="s">
        <v>527</v>
      </c>
      <c r="J16" s="3" t="s">
        <v>528</v>
      </c>
      <c r="K16" s="3" t="s">
        <v>532</v>
      </c>
      <c r="L16" s="3" t="s">
        <v>52</v>
      </c>
      <c r="M16" s="3"/>
    </row>
    <row r="17" spans="1:13" ht="30">
      <c r="A17" s="3" t="s">
        <v>533</v>
      </c>
      <c r="B17" s="3" t="s">
        <v>534</v>
      </c>
      <c r="C17" s="3" t="s">
        <v>535</v>
      </c>
      <c r="D17" s="3" t="s">
        <v>523</v>
      </c>
      <c r="E17" s="3" t="s">
        <v>189</v>
      </c>
      <c r="F17" s="3" t="s">
        <v>536</v>
      </c>
      <c r="G17" s="3" t="s">
        <v>537</v>
      </c>
      <c r="H17" s="3" t="s">
        <v>538</v>
      </c>
      <c r="I17" s="3" t="s">
        <v>539</v>
      </c>
      <c r="J17" s="3" t="s">
        <v>528</v>
      </c>
      <c r="K17" s="3" t="s">
        <v>540</v>
      </c>
      <c r="L17" s="3" t="s">
        <v>244</v>
      </c>
      <c r="M17" s="3" t="s">
        <v>541</v>
      </c>
    </row>
    <row r="18" spans="1:13" ht="30">
      <c r="A18" s="3" t="s">
        <v>250</v>
      </c>
      <c r="B18" s="3" t="s">
        <v>244</v>
      </c>
      <c r="C18" s="3" t="s">
        <v>542</v>
      </c>
      <c r="D18" s="3" t="s">
        <v>543</v>
      </c>
      <c r="E18" s="3" t="s">
        <v>189</v>
      </c>
      <c r="F18" s="3" t="s">
        <v>544</v>
      </c>
      <c r="G18" s="3" t="s">
        <v>544</v>
      </c>
      <c r="H18" s="3" t="s">
        <v>544</v>
      </c>
      <c r="I18" s="3" t="s">
        <v>545</v>
      </c>
      <c r="J18" s="3" t="s">
        <v>546</v>
      </c>
      <c r="K18" s="3" t="s">
        <v>547</v>
      </c>
      <c r="L18" s="3" t="s">
        <v>52</v>
      </c>
      <c r="M18" s="3" t="s">
        <v>548</v>
      </c>
    </row>
    <row r="19" spans="1:13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M1"/>
    <mergeCell ref="A2:M2"/>
  </mergeCells>
  <conditionalFormatting sqref="B5:B18">
    <cfRule type="expression" dxfId="4" priority="1">
      <formula>OR(B5="Yes",B5="Optional additive")</formula>
    </cfRule>
  </conditionalFormatting>
  <conditionalFormatting sqref="J5:J18">
    <cfRule type="expression" dxfId="3" priority="2">
      <formula>ISNUMBER(SEARCH("Proposed",J5))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0"/>
  <sheetViews>
    <sheetView workbookViewId="0">
      <selection sqref="A1:L1"/>
    </sheetView>
  </sheetViews>
  <sheetFormatPr baseColWidth="10" defaultColWidth="8.83203125" defaultRowHeight="14"/>
  <cols>
    <col min="1" max="1" width="14" customWidth="1"/>
    <col min="2" max="3" width="34" customWidth="1"/>
    <col min="4" max="4" width="16" customWidth="1"/>
    <col min="5" max="5" width="20" customWidth="1"/>
    <col min="6" max="6" width="28" customWidth="1"/>
    <col min="7" max="7" width="18" customWidth="1"/>
    <col min="8" max="8" width="33" customWidth="1"/>
    <col min="9" max="9" width="20" customWidth="1"/>
    <col min="10" max="10" width="58" customWidth="1"/>
    <col min="11" max="11" width="20" customWidth="1"/>
    <col min="12" max="12" width="52" customWidth="1"/>
  </cols>
  <sheetData>
    <row r="1" spans="1:13" ht="42.75" customHeight="1">
      <c r="A1" s="16" t="s">
        <v>549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</row>
    <row r="2" spans="1:13" ht="40" customHeight="1">
      <c r="A2" s="17" t="s">
        <v>550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4" t="s">
        <v>551</v>
      </c>
      <c r="B4" s="4" t="s">
        <v>552</v>
      </c>
      <c r="C4" s="4" t="s">
        <v>553</v>
      </c>
      <c r="D4" s="4" t="s">
        <v>554</v>
      </c>
      <c r="E4" s="4" t="s">
        <v>555</v>
      </c>
      <c r="F4" s="4" t="s">
        <v>556</v>
      </c>
      <c r="G4" s="4" t="s">
        <v>557</v>
      </c>
      <c r="H4" s="4" t="s">
        <v>558</v>
      </c>
      <c r="I4" s="4" t="s">
        <v>559</v>
      </c>
      <c r="J4" s="4" t="s">
        <v>560</v>
      </c>
      <c r="K4" s="4" t="s">
        <v>561</v>
      </c>
      <c r="L4" s="4" t="s">
        <v>562</v>
      </c>
      <c r="M4" s="1"/>
    </row>
    <row r="5" spans="1:13" ht="30">
      <c r="A5" s="3" t="s">
        <v>563</v>
      </c>
      <c r="B5" s="3" t="s">
        <v>564</v>
      </c>
      <c r="C5" s="3" t="s">
        <v>565</v>
      </c>
      <c r="D5" s="5">
        <v>5475</v>
      </c>
      <c r="E5" s="3" t="s">
        <v>349</v>
      </c>
      <c r="F5" s="3" t="s">
        <v>566</v>
      </c>
      <c r="G5" s="3" t="s">
        <v>52</v>
      </c>
      <c r="H5" s="3" t="s">
        <v>302</v>
      </c>
      <c r="I5" s="3" t="s">
        <v>77</v>
      </c>
      <c r="J5" s="3" t="s">
        <v>567</v>
      </c>
      <c r="K5" s="3" t="s">
        <v>568</v>
      </c>
      <c r="L5" s="3" t="s">
        <v>569</v>
      </c>
      <c r="M5" s="1"/>
    </row>
    <row r="6" spans="1:13" ht="30">
      <c r="A6" s="3" t="s">
        <v>570</v>
      </c>
      <c r="B6" s="3" t="s">
        <v>564</v>
      </c>
      <c r="C6" s="3" t="s">
        <v>571</v>
      </c>
      <c r="D6" s="5">
        <v>35879</v>
      </c>
      <c r="E6" s="3" t="s">
        <v>349</v>
      </c>
      <c r="F6" s="3" t="s">
        <v>566</v>
      </c>
      <c r="G6" s="3" t="s">
        <v>52</v>
      </c>
      <c r="H6" s="3" t="s">
        <v>302</v>
      </c>
      <c r="I6" s="3" t="s">
        <v>77</v>
      </c>
      <c r="J6" s="3" t="s">
        <v>567</v>
      </c>
      <c r="K6" s="3" t="s">
        <v>568</v>
      </c>
      <c r="L6" s="3" t="s">
        <v>572</v>
      </c>
      <c r="M6" s="1"/>
    </row>
    <row r="7" spans="1:13" ht="15">
      <c r="A7" s="3" t="s">
        <v>573</v>
      </c>
      <c r="B7" s="3" t="s">
        <v>331</v>
      </c>
      <c r="C7" s="3" t="s">
        <v>565</v>
      </c>
      <c r="D7" s="5">
        <v>39</v>
      </c>
      <c r="E7" s="3" t="s">
        <v>335</v>
      </c>
      <c r="F7" s="3" t="s">
        <v>566</v>
      </c>
      <c r="G7" s="3" t="s">
        <v>52</v>
      </c>
      <c r="H7" s="3" t="s">
        <v>302</v>
      </c>
      <c r="I7" s="3" t="s">
        <v>77</v>
      </c>
      <c r="J7" s="3" t="s">
        <v>574</v>
      </c>
      <c r="K7" s="3" t="s">
        <v>575</v>
      </c>
      <c r="L7" s="3" t="s">
        <v>576</v>
      </c>
      <c r="M7" s="1"/>
    </row>
    <row r="8" spans="1:13" ht="30">
      <c r="A8" s="3" t="s">
        <v>577</v>
      </c>
      <c r="B8" s="3" t="s">
        <v>331</v>
      </c>
      <c r="C8" s="3" t="s">
        <v>571</v>
      </c>
      <c r="D8" s="5">
        <v>45</v>
      </c>
      <c r="E8" s="3" t="s">
        <v>335</v>
      </c>
      <c r="F8" s="3" t="s">
        <v>578</v>
      </c>
      <c r="G8" s="3" t="s">
        <v>579</v>
      </c>
      <c r="H8" s="3" t="s">
        <v>302</v>
      </c>
      <c r="I8" s="3" t="s">
        <v>77</v>
      </c>
      <c r="J8" s="3" t="s">
        <v>580</v>
      </c>
      <c r="K8" s="3" t="s">
        <v>581</v>
      </c>
      <c r="L8" s="3" t="s">
        <v>582</v>
      </c>
      <c r="M8" s="1"/>
    </row>
    <row r="9" spans="1:13" ht="30">
      <c r="A9" s="3" t="s">
        <v>583</v>
      </c>
      <c r="B9" s="3" t="s">
        <v>584</v>
      </c>
      <c r="C9" s="3" t="s">
        <v>585</v>
      </c>
      <c r="D9" s="5">
        <v>0.69899999999999995</v>
      </c>
      <c r="E9" s="3" t="s">
        <v>368</v>
      </c>
      <c r="F9" s="3" t="s">
        <v>566</v>
      </c>
      <c r="G9" s="3" t="s">
        <v>52</v>
      </c>
      <c r="H9" s="3" t="s">
        <v>586</v>
      </c>
      <c r="I9" s="3" t="s">
        <v>64</v>
      </c>
      <c r="J9" s="3" t="s">
        <v>587</v>
      </c>
      <c r="K9" s="3" t="s">
        <v>588</v>
      </c>
      <c r="L9" s="3" t="s">
        <v>589</v>
      </c>
      <c r="M9" s="1"/>
    </row>
    <row r="10" spans="1:13" ht="15">
      <c r="A10" s="3" t="s">
        <v>590</v>
      </c>
      <c r="B10" s="3" t="s">
        <v>591</v>
      </c>
      <c r="C10" s="3" t="s">
        <v>585</v>
      </c>
      <c r="D10" s="5">
        <v>1.430615</v>
      </c>
      <c r="E10" s="3" t="s">
        <v>592</v>
      </c>
      <c r="F10" s="3" t="s">
        <v>593</v>
      </c>
      <c r="G10" s="3" t="s">
        <v>52</v>
      </c>
      <c r="H10" s="3" t="s">
        <v>594</v>
      </c>
      <c r="I10" s="3" t="s">
        <v>64</v>
      </c>
      <c r="J10" s="3" t="s">
        <v>587</v>
      </c>
      <c r="K10" s="3" t="s">
        <v>588</v>
      </c>
      <c r="L10" s="3" t="s">
        <v>595</v>
      </c>
      <c r="M10" s="1"/>
    </row>
    <row r="11" spans="1:13" ht="30">
      <c r="A11" s="3" t="s">
        <v>596</v>
      </c>
      <c r="B11" s="3" t="s">
        <v>597</v>
      </c>
      <c r="C11" s="3" t="s">
        <v>598</v>
      </c>
      <c r="D11" s="5">
        <v>2.1999999999999999E-2</v>
      </c>
      <c r="E11" s="3" t="s">
        <v>599</v>
      </c>
      <c r="F11" s="3" t="s">
        <v>566</v>
      </c>
      <c r="G11" s="3" t="s">
        <v>600</v>
      </c>
      <c r="H11" s="3" t="s">
        <v>601</v>
      </c>
      <c r="I11" s="3" t="s">
        <v>70</v>
      </c>
      <c r="J11" s="3" t="s">
        <v>602</v>
      </c>
      <c r="K11" s="3" t="s">
        <v>603</v>
      </c>
      <c r="L11" s="3" t="s">
        <v>604</v>
      </c>
      <c r="M11" s="1"/>
    </row>
    <row r="12" spans="1:13" ht="30">
      <c r="A12" s="3" t="s">
        <v>605</v>
      </c>
      <c r="B12" s="3" t="s">
        <v>597</v>
      </c>
      <c r="C12" s="3" t="s">
        <v>606</v>
      </c>
      <c r="D12" s="5">
        <v>1.4E-2</v>
      </c>
      <c r="E12" s="3" t="s">
        <v>599</v>
      </c>
      <c r="F12" s="3" t="s">
        <v>566</v>
      </c>
      <c r="G12" s="3" t="s">
        <v>607</v>
      </c>
      <c r="H12" s="3" t="s">
        <v>608</v>
      </c>
      <c r="I12" s="3" t="s">
        <v>70</v>
      </c>
      <c r="J12" s="3" t="s">
        <v>602</v>
      </c>
      <c r="K12" s="3" t="s">
        <v>603</v>
      </c>
      <c r="L12" s="3" t="s">
        <v>609</v>
      </c>
      <c r="M12" s="1"/>
    </row>
    <row r="13" spans="1:13" ht="30">
      <c r="A13" s="3" t="s">
        <v>610</v>
      </c>
      <c r="B13" s="3" t="s">
        <v>597</v>
      </c>
      <c r="C13" s="3" t="s">
        <v>611</v>
      </c>
      <c r="D13" s="5">
        <v>2.5999999999999999E-2</v>
      </c>
      <c r="E13" s="3" t="s">
        <v>599</v>
      </c>
      <c r="F13" s="3" t="s">
        <v>566</v>
      </c>
      <c r="G13" s="3" t="s">
        <v>607</v>
      </c>
      <c r="H13" s="3" t="s">
        <v>608</v>
      </c>
      <c r="I13" s="3" t="s">
        <v>70</v>
      </c>
      <c r="J13" s="3" t="s">
        <v>602</v>
      </c>
      <c r="K13" s="3" t="s">
        <v>603</v>
      </c>
      <c r="L13" s="3" t="s">
        <v>609</v>
      </c>
      <c r="M13" s="1"/>
    </row>
    <row r="14" spans="1:13" ht="30">
      <c r="A14" s="3" t="s">
        <v>612</v>
      </c>
      <c r="B14" s="3" t="s">
        <v>597</v>
      </c>
      <c r="C14" s="3" t="s">
        <v>613</v>
      </c>
      <c r="D14" s="5">
        <v>1.2999999999999999E-2</v>
      </c>
      <c r="E14" s="3" t="s">
        <v>599</v>
      </c>
      <c r="F14" s="3" t="s">
        <v>566</v>
      </c>
      <c r="G14" s="3" t="s">
        <v>607</v>
      </c>
      <c r="H14" s="3" t="s">
        <v>608</v>
      </c>
      <c r="I14" s="3" t="s">
        <v>70</v>
      </c>
      <c r="J14" s="3" t="s">
        <v>602</v>
      </c>
      <c r="K14" s="3" t="s">
        <v>603</v>
      </c>
      <c r="L14" s="3" t="s">
        <v>609</v>
      </c>
      <c r="M14" s="1"/>
    </row>
    <row r="15" spans="1:13" ht="30">
      <c r="A15" s="3" t="s">
        <v>614</v>
      </c>
      <c r="B15" s="3" t="s">
        <v>597</v>
      </c>
      <c r="C15" s="3" t="s">
        <v>615</v>
      </c>
      <c r="D15" s="5">
        <v>2.3E-2</v>
      </c>
      <c r="E15" s="3" t="s">
        <v>599</v>
      </c>
      <c r="F15" s="3" t="s">
        <v>566</v>
      </c>
      <c r="G15" s="3" t="s">
        <v>607</v>
      </c>
      <c r="H15" s="3" t="s">
        <v>608</v>
      </c>
      <c r="I15" s="3" t="s">
        <v>70</v>
      </c>
      <c r="J15" s="3" t="s">
        <v>602</v>
      </c>
      <c r="K15" s="3" t="s">
        <v>603</v>
      </c>
      <c r="L15" s="3" t="s">
        <v>609</v>
      </c>
      <c r="M15" s="1"/>
    </row>
    <row r="16" spans="1:13" ht="30">
      <c r="A16" s="3" t="s">
        <v>616</v>
      </c>
      <c r="B16" s="3" t="s">
        <v>597</v>
      </c>
      <c r="C16" s="3" t="s">
        <v>617</v>
      </c>
      <c r="D16" s="5">
        <v>0.02</v>
      </c>
      <c r="E16" s="3" t="s">
        <v>599</v>
      </c>
      <c r="F16" s="3" t="s">
        <v>566</v>
      </c>
      <c r="G16" s="3" t="s">
        <v>607</v>
      </c>
      <c r="H16" s="3" t="s">
        <v>608</v>
      </c>
      <c r="I16" s="3" t="s">
        <v>70</v>
      </c>
      <c r="J16" s="3" t="s">
        <v>602</v>
      </c>
      <c r="K16" s="3" t="s">
        <v>603</v>
      </c>
      <c r="L16" s="3" t="s">
        <v>609</v>
      </c>
      <c r="M16" s="1"/>
    </row>
    <row r="17" spans="1:13" ht="30">
      <c r="A17" s="3" t="s">
        <v>618</v>
      </c>
      <c r="B17" s="3" t="s">
        <v>597</v>
      </c>
      <c r="C17" s="3" t="s">
        <v>619</v>
      </c>
      <c r="D17" s="5">
        <v>4.2000000000000003E-2</v>
      </c>
      <c r="E17" s="3" t="s">
        <v>599</v>
      </c>
      <c r="F17" s="3" t="s">
        <v>566</v>
      </c>
      <c r="G17" s="3" t="s">
        <v>607</v>
      </c>
      <c r="H17" s="3" t="s">
        <v>608</v>
      </c>
      <c r="I17" s="3" t="s">
        <v>70</v>
      </c>
      <c r="J17" s="3" t="s">
        <v>602</v>
      </c>
      <c r="K17" s="3" t="s">
        <v>603</v>
      </c>
      <c r="L17" s="3" t="s">
        <v>609</v>
      </c>
      <c r="M17" s="1"/>
    </row>
    <row r="18" spans="1:13" ht="30">
      <c r="A18" s="3" t="s">
        <v>620</v>
      </c>
      <c r="B18" s="3" t="s">
        <v>314</v>
      </c>
      <c r="C18" s="3" t="s">
        <v>621</v>
      </c>
      <c r="D18" s="5"/>
      <c r="E18" s="3" t="s">
        <v>372</v>
      </c>
      <c r="F18" s="3" t="s">
        <v>622</v>
      </c>
      <c r="G18" s="3" t="s">
        <v>52</v>
      </c>
      <c r="H18" s="3" t="s">
        <v>623</v>
      </c>
      <c r="I18" s="3" t="s">
        <v>624</v>
      </c>
      <c r="J18" s="3" t="s">
        <v>625</v>
      </c>
      <c r="K18" s="3" t="s">
        <v>626</v>
      </c>
      <c r="L18" s="3" t="s">
        <v>627</v>
      </c>
      <c r="M18" s="1"/>
    </row>
    <row r="19" spans="1:13" ht="30">
      <c r="A19" s="3" t="s">
        <v>628</v>
      </c>
      <c r="B19" s="3" t="s">
        <v>629</v>
      </c>
      <c r="C19" s="3" t="s">
        <v>630</v>
      </c>
      <c r="D19" s="5">
        <v>0.5</v>
      </c>
      <c r="E19" s="3" t="s">
        <v>368</v>
      </c>
      <c r="F19" s="3" t="s">
        <v>631</v>
      </c>
      <c r="G19" s="3" t="s">
        <v>632</v>
      </c>
      <c r="H19" s="3" t="s">
        <v>633</v>
      </c>
      <c r="I19" s="3" t="s">
        <v>634</v>
      </c>
      <c r="J19" s="3"/>
      <c r="K19" s="3" t="s">
        <v>635</v>
      </c>
      <c r="L19" s="3" t="s">
        <v>636</v>
      </c>
      <c r="M19" s="1"/>
    </row>
    <row r="20" spans="1:13" ht="15">
      <c r="A20" s="3" t="s">
        <v>637</v>
      </c>
      <c r="B20" s="3" t="s">
        <v>638</v>
      </c>
      <c r="C20" s="3" t="s">
        <v>630</v>
      </c>
      <c r="D20" s="5">
        <v>0.6</v>
      </c>
      <c r="E20" s="3" t="s">
        <v>368</v>
      </c>
      <c r="F20" s="3" t="s">
        <v>631</v>
      </c>
      <c r="G20" s="3" t="s">
        <v>632</v>
      </c>
      <c r="H20" s="3" t="s">
        <v>639</v>
      </c>
      <c r="I20" s="3" t="s">
        <v>634</v>
      </c>
      <c r="J20" s="3"/>
      <c r="K20" s="3" t="s">
        <v>635</v>
      </c>
      <c r="L20" s="3" t="s">
        <v>640</v>
      </c>
      <c r="M20" s="1"/>
    </row>
    <row r="21" spans="1:13" ht="15">
      <c r="A21" s="3" t="s">
        <v>641</v>
      </c>
      <c r="B21" s="3" t="s">
        <v>642</v>
      </c>
      <c r="C21" s="3" t="s">
        <v>643</v>
      </c>
      <c r="D21" s="5">
        <v>4</v>
      </c>
      <c r="E21" s="3" t="s">
        <v>362</v>
      </c>
      <c r="F21" s="3" t="s">
        <v>631</v>
      </c>
      <c r="G21" s="3" t="s">
        <v>632</v>
      </c>
      <c r="H21" s="3" t="s">
        <v>639</v>
      </c>
      <c r="I21" s="3" t="s">
        <v>634</v>
      </c>
      <c r="J21" s="3"/>
      <c r="K21" s="3" t="s">
        <v>635</v>
      </c>
      <c r="L21" s="3" t="s">
        <v>644</v>
      </c>
      <c r="M21" s="1"/>
    </row>
    <row r="22" spans="1:13" ht="15">
      <c r="A22" s="3" t="s">
        <v>645</v>
      </c>
      <c r="B22" s="3" t="s">
        <v>646</v>
      </c>
      <c r="C22" s="3" t="s">
        <v>565</v>
      </c>
      <c r="D22" s="5">
        <v>2500</v>
      </c>
      <c r="E22" s="3" t="s">
        <v>349</v>
      </c>
      <c r="F22" s="3" t="s">
        <v>631</v>
      </c>
      <c r="G22" s="3" t="s">
        <v>632</v>
      </c>
      <c r="H22" s="3" t="s">
        <v>647</v>
      </c>
      <c r="I22" s="3" t="s">
        <v>634</v>
      </c>
      <c r="J22" s="3"/>
      <c r="K22" s="3" t="s">
        <v>635</v>
      </c>
      <c r="L22" s="3" t="s">
        <v>648</v>
      </c>
      <c r="M22" s="1"/>
    </row>
    <row r="23" spans="1:13" ht="30">
      <c r="A23" s="3" t="s">
        <v>649</v>
      </c>
      <c r="B23" s="3" t="s">
        <v>650</v>
      </c>
      <c r="C23" s="3" t="s">
        <v>651</v>
      </c>
      <c r="D23" s="5">
        <v>40</v>
      </c>
      <c r="E23" s="3" t="s">
        <v>652</v>
      </c>
      <c r="F23" s="3" t="s">
        <v>631</v>
      </c>
      <c r="G23" s="3" t="s">
        <v>632</v>
      </c>
      <c r="H23" s="3" t="s">
        <v>653</v>
      </c>
      <c r="I23" s="3" t="s">
        <v>634</v>
      </c>
      <c r="J23" s="3"/>
      <c r="K23" s="3" t="s">
        <v>635</v>
      </c>
      <c r="L23" s="3" t="s">
        <v>654</v>
      </c>
      <c r="M23" s="1"/>
    </row>
    <row r="24" spans="1:13" ht="15">
      <c r="A24" s="3" t="s">
        <v>655</v>
      </c>
      <c r="B24" s="3" t="s">
        <v>656</v>
      </c>
      <c r="C24" s="3" t="s">
        <v>651</v>
      </c>
      <c r="D24" s="5">
        <v>160</v>
      </c>
      <c r="E24" s="3" t="s">
        <v>657</v>
      </c>
      <c r="F24" s="3" t="s">
        <v>658</v>
      </c>
      <c r="G24" s="3" t="s">
        <v>632</v>
      </c>
      <c r="H24" s="3" t="s">
        <v>659</v>
      </c>
      <c r="I24" s="3" t="s">
        <v>660</v>
      </c>
      <c r="J24" s="3"/>
      <c r="K24" s="3" t="s">
        <v>635</v>
      </c>
      <c r="L24" s="3" t="s">
        <v>661</v>
      </c>
      <c r="M24" s="1"/>
    </row>
    <row r="25" spans="1:13" ht="15">
      <c r="A25" s="3" t="s">
        <v>662</v>
      </c>
      <c r="B25" s="3" t="s">
        <v>131</v>
      </c>
      <c r="C25" s="3" t="s">
        <v>651</v>
      </c>
      <c r="D25" s="5">
        <v>60</v>
      </c>
      <c r="E25" s="3" t="s">
        <v>663</v>
      </c>
      <c r="F25" s="3" t="s">
        <v>658</v>
      </c>
      <c r="G25" s="3" t="s">
        <v>632</v>
      </c>
      <c r="H25" s="3" t="s">
        <v>659</v>
      </c>
      <c r="I25" s="3" t="s">
        <v>660</v>
      </c>
      <c r="J25" s="3"/>
      <c r="K25" s="3" t="s">
        <v>635</v>
      </c>
      <c r="L25" s="3" t="s">
        <v>664</v>
      </c>
      <c r="M25" s="1"/>
    </row>
    <row r="26" spans="1:13" ht="15">
      <c r="A26" s="3" t="s">
        <v>665</v>
      </c>
      <c r="B26" s="3" t="s">
        <v>666</v>
      </c>
      <c r="C26" s="3" t="s">
        <v>667</v>
      </c>
      <c r="D26" s="5">
        <v>24</v>
      </c>
      <c r="E26" s="3" t="s">
        <v>668</v>
      </c>
      <c r="F26" s="3" t="s">
        <v>658</v>
      </c>
      <c r="G26" s="3" t="s">
        <v>669</v>
      </c>
      <c r="H26" s="3" t="s">
        <v>659</v>
      </c>
      <c r="I26" s="3" t="s">
        <v>660</v>
      </c>
      <c r="J26" s="3"/>
      <c r="K26" s="3" t="s">
        <v>635</v>
      </c>
      <c r="L26" s="3" t="s">
        <v>670</v>
      </c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L1"/>
    <mergeCell ref="A2:L2"/>
  </mergeCells>
  <conditionalFormatting sqref="F5:F26">
    <cfRule type="expression" dxfId="2" priority="1">
      <formula>ISNUMBER(SEARCH("Provisional",F5))</formula>
    </cfRule>
    <cfRule type="expression" dxfId="1" priority="2">
      <formula>ISNUMBER(SEARCH("Verified",F5))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workbookViewId="0">
      <selection sqref="A1:K1"/>
    </sheetView>
  </sheetViews>
  <sheetFormatPr baseColWidth="10" defaultColWidth="8.83203125" defaultRowHeight="14"/>
  <cols>
    <col min="1" max="1" width="32" customWidth="1"/>
    <col min="2" max="2" width="18" customWidth="1"/>
    <col min="3" max="5" width="16" customWidth="1"/>
    <col min="6" max="6" width="48" customWidth="1"/>
    <col min="7" max="7" width="22" customWidth="1"/>
    <col min="8" max="8" width="24" customWidth="1"/>
    <col min="9" max="9" width="42" customWidth="1"/>
    <col min="10" max="10" width="16" customWidth="1"/>
    <col min="11" max="11" width="28" customWidth="1"/>
  </cols>
  <sheetData>
    <row r="1" spans="1:13" ht="42.75" customHeight="1">
      <c r="A1" s="16" t="s">
        <v>671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</row>
    <row r="2" spans="1:13" ht="40" customHeight="1">
      <c r="A2" s="17" t="s">
        <v>672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4" t="s">
        <v>673</v>
      </c>
      <c r="B4" s="4" t="s">
        <v>554</v>
      </c>
      <c r="C4" s="4" t="s">
        <v>674</v>
      </c>
      <c r="D4" s="4" t="s">
        <v>675</v>
      </c>
      <c r="E4" s="1"/>
      <c r="F4" s="4" t="s">
        <v>676</v>
      </c>
      <c r="G4" s="4" t="s">
        <v>677</v>
      </c>
      <c r="H4" s="4" t="s">
        <v>678</v>
      </c>
      <c r="I4" s="1"/>
      <c r="J4" s="1"/>
      <c r="K4" s="1"/>
      <c r="L4" s="1"/>
      <c r="M4" s="1"/>
    </row>
    <row r="5" spans="1:13" ht="30">
      <c r="A5" s="3" t="s">
        <v>679</v>
      </c>
      <c r="B5" s="6">
        <v>1</v>
      </c>
      <c r="C5" s="3" t="s">
        <v>680</v>
      </c>
      <c r="D5" s="3" t="s">
        <v>681</v>
      </c>
      <c r="E5" s="1"/>
      <c r="F5" s="3" t="s">
        <v>682</v>
      </c>
      <c r="G5" s="7">
        <f>B6*B7</f>
        <v>171673.8</v>
      </c>
      <c r="H5" s="3" t="s">
        <v>683</v>
      </c>
      <c r="I5" s="1"/>
      <c r="J5" s="1"/>
      <c r="K5" s="1"/>
      <c r="L5" s="1"/>
      <c r="M5" s="1"/>
    </row>
    <row r="6" spans="1:13" ht="45">
      <c r="A6" s="3" t="s">
        <v>314</v>
      </c>
      <c r="B6" s="8">
        <v>120000</v>
      </c>
      <c r="C6" s="3" t="s">
        <v>680</v>
      </c>
      <c r="D6" s="3" t="s">
        <v>684</v>
      </c>
      <c r="E6" s="1"/>
      <c r="F6" s="3" t="s">
        <v>685</v>
      </c>
      <c r="G6" s="7">
        <f>G5/2080</f>
        <v>82.535480769230759</v>
      </c>
      <c r="H6" s="3" t="s">
        <v>686</v>
      </c>
      <c r="I6" s="1"/>
      <c r="J6" s="1"/>
      <c r="K6" s="1"/>
      <c r="L6" s="1"/>
      <c r="M6" s="1"/>
    </row>
    <row r="7" spans="1:13" ht="30">
      <c r="A7" s="3" t="s">
        <v>687</v>
      </c>
      <c r="B7" s="9">
        <v>1.430615</v>
      </c>
      <c r="C7" s="3" t="s">
        <v>688</v>
      </c>
      <c r="D7" s="3" t="s">
        <v>689</v>
      </c>
      <c r="E7" s="1"/>
      <c r="F7" s="3" t="s">
        <v>690</v>
      </c>
      <c r="G7" s="7">
        <f>G5/260</f>
        <v>660.28384615384607</v>
      </c>
      <c r="H7" s="3" t="s">
        <v>691</v>
      </c>
      <c r="I7" s="1"/>
      <c r="J7" s="1"/>
      <c r="K7" s="1"/>
      <c r="L7" s="1"/>
      <c r="M7" s="1"/>
    </row>
    <row r="8" spans="1:13" ht="30">
      <c r="A8" s="3" t="s">
        <v>564</v>
      </c>
      <c r="B8" s="8">
        <v>5475</v>
      </c>
      <c r="C8" s="3" t="s">
        <v>688</v>
      </c>
      <c r="D8" s="3" t="s">
        <v>692</v>
      </c>
      <c r="E8" s="1"/>
      <c r="F8" s="3" t="s">
        <v>693</v>
      </c>
      <c r="G8" s="7">
        <f>B14*B7/2080</f>
        <v>75.657524038461531</v>
      </c>
      <c r="H8" s="3" t="s">
        <v>694</v>
      </c>
      <c r="I8" s="1"/>
      <c r="J8" s="1"/>
      <c r="K8" s="1"/>
      <c r="L8" s="1"/>
      <c r="M8" s="1"/>
    </row>
    <row r="9" spans="1:13" ht="30">
      <c r="A9" s="3" t="s">
        <v>695</v>
      </c>
      <c r="B9" s="6">
        <v>39</v>
      </c>
      <c r="C9" s="3" t="s">
        <v>688</v>
      </c>
      <c r="D9" s="3" t="s">
        <v>696</v>
      </c>
      <c r="E9" s="1"/>
      <c r="F9" s="3" t="s">
        <v>697</v>
      </c>
      <c r="G9" s="7">
        <f>B9*B10</f>
        <v>27.857153999999998</v>
      </c>
      <c r="H9" s="3" t="s">
        <v>698</v>
      </c>
      <c r="I9" s="1"/>
      <c r="J9" s="1"/>
      <c r="K9" s="1"/>
      <c r="L9" s="1"/>
      <c r="M9" s="1"/>
    </row>
    <row r="10" spans="1:13" ht="30">
      <c r="A10" s="3" t="s">
        <v>699</v>
      </c>
      <c r="B10" s="6">
        <v>0.71428599999999998</v>
      </c>
      <c r="C10" s="3" t="s">
        <v>700</v>
      </c>
      <c r="D10" s="3" t="s">
        <v>701</v>
      </c>
      <c r="E10" s="1"/>
      <c r="F10" s="3" t="s">
        <v>702</v>
      </c>
      <c r="G10" s="7">
        <f>G5/12</f>
        <v>14306.15</v>
      </c>
      <c r="H10" s="3" t="s">
        <v>703</v>
      </c>
      <c r="I10" s="1"/>
      <c r="J10" s="1"/>
      <c r="K10" s="1"/>
      <c r="L10" s="1"/>
      <c r="M10" s="1"/>
    </row>
    <row r="11" spans="1:13" ht="30">
      <c r="A11" s="3" t="s">
        <v>629</v>
      </c>
      <c r="B11" s="10">
        <v>0.5</v>
      </c>
      <c r="C11" s="3" t="s">
        <v>387</v>
      </c>
      <c r="D11" s="3" t="s">
        <v>704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30">
      <c r="A12" s="3" t="s">
        <v>646</v>
      </c>
      <c r="B12" s="8">
        <v>2500</v>
      </c>
      <c r="C12" s="3" t="s">
        <v>387</v>
      </c>
      <c r="D12" s="3" t="s">
        <v>704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3" t="s">
        <v>705</v>
      </c>
      <c r="B13" s="6">
        <v>24</v>
      </c>
      <c r="C13" s="3" t="s">
        <v>387</v>
      </c>
      <c r="D13" s="3" t="s">
        <v>706</v>
      </c>
      <c r="E13" s="1"/>
      <c r="F13" s="4" t="s">
        <v>250</v>
      </c>
      <c r="G13" s="4" t="s">
        <v>707</v>
      </c>
      <c r="H13" s="4" t="s">
        <v>167</v>
      </c>
      <c r="I13" s="1"/>
      <c r="J13" s="1"/>
      <c r="K13" s="1"/>
      <c r="L13" s="1"/>
      <c r="M13" s="1"/>
    </row>
    <row r="14" spans="1:13" ht="45">
      <c r="A14" s="3" t="s">
        <v>708</v>
      </c>
      <c r="B14" s="6">
        <v>110000</v>
      </c>
      <c r="C14" s="3" t="s">
        <v>680</v>
      </c>
      <c r="D14" s="3" t="s">
        <v>709</v>
      </c>
      <c r="E14" s="1"/>
      <c r="F14" s="3" t="s">
        <v>710</v>
      </c>
      <c r="G14" s="11">
        <f>(D25+D29+D30+D31)/D36</f>
        <v>0.39599065860620497</v>
      </c>
      <c r="H14" s="3" t="s">
        <v>711</v>
      </c>
      <c r="I14" s="1"/>
      <c r="J14" s="1"/>
      <c r="K14" s="1"/>
      <c r="L14" s="1"/>
      <c r="M14" s="1"/>
    </row>
    <row r="15" spans="1:13" ht="60">
      <c r="A15" s="3" t="s">
        <v>712</v>
      </c>
      <c r="B15" s="6">
        <v>4</v>
      </c>
      <c r="C15" s="3" t="s">
        <v>387</v>
      </c>
      <c r="D15" s="3" t="s">
        <v>704</v>
      </c>
      <c r="E15" s="1"/>
      <c r="F15" s="3" t="s">
        <v>713</v>
      </c>
      <c r="G15" s="11">
        <f>1-G14</f>
        <v>0.60400934139379503</v>
      </c>
      <c r="H15" s="3" t="s">
        <v>714</v>
      </c>
      <c r="I15" s="1"/>
      <c r="J15" s="1"/>
      <c r="K15" s="1"/>
      <c r="L15" s="1"/>
      <c r="M15" s="1"/>
    </row>
    <row r="16" spans="1:13" ht="30">
      <c r="A16" s="3" t="s">
        <v>638</v>
      </c>
      <c r="B16" s="10">
        <v>0.6</v>
      </c>
      <c r="C16" s="3" t="s">
        <v>387</v>
      </c>
      <c r="D16" s="3" t="s">
        <v>704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ht="30">
      <c r="A17" s="3" t="s">
        <v>715</v>
      </c>
      <c r="B17" s="6">
        <v>40</v>
      </c>
      <c r="C17" s="3" t="s">
        <v>387</v>
      </c>
      <c r="D17" s="3" t="s">
        <v>716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ht="30">
      <c r="A18" s="3" t="s">
        <v>717</v>
      </c>
      <c r="B18" s="6">
        <v>160</v>
      </c>
      <c r="C18" s="3" t="s">
        <v>387</v>
      </c>
      <c r="D18" s="3" t="s">
        <v>718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ht="30">
      <c r="A19" s="3" t="s">
        <v>719</v>
      </c>
      <c r="B19" s="6">
        <v>60</v>
      </c>
      <c r="C19" s="3" t="s">
        <v>387</v>
      </c>
      <c r="D19" s="3" t="s">
        <v>663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ht="45">
      <c r="A20" s="3" t="s">
        <v>720</v>
      </c>
      <c r="B20" s="6">
        <v>2</v>
      </c>
      <c r="C20" s="3" t="s">
        <v>680</v>
      </c>
      <c r="D20" s="3" t="s">
        <v>721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 ht="30">
      <c r="A21" s="3" t="s">
        <v>722</v>
      </c>
      <c r="B21" s="6">
        <v>24</v>
      </c>
      <c r="C21" s="3" t="s">
        <v>387</v>
      </c>
      <c r="D21" s="3" t="s">
        <v>723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4" t="s">
        <v>724</v>
      </c>
      <c r="B24" s="4" t="s">
        <v>421</v>
      </c>
      <c r="C24" s="4" t="s">
        <v>294</v>
      </c>
      <c r="D24" s="4" t="s">
        <v>725</v>
      </c>
      <c r="E24" s="4" t="s">
        <v>726</v>
      </c>
      <c r="F24" s="4" t="s">
        <v>727</v>
      </c>
      <c r="G24" s="4" t="s">
        <v>728</v>
      </c>
      <c r="H24" s="4" t="s">
        <v>729</v>
      </c>
      <c r="I24" s="4" t="s">
        <v>730</v>
      </c>
      <c r="J24" s="4" t="s">
        <v>731</v>
      </c>
      <c r="K24" s="4" t="s">
        <v>732</v>
      </c>
      <c r="L24" s="1"/>
      <c r="M24" s="1"/>
    </row>
    <row r="25" spans="1:13" ht="15">
      <c r="A25" s="3" t="s">
        <v>433</v>
      </c>
      <c r="B25" s="3" t="s">
        <v>52</v>
      </c>
      <c r="C25" s="12">
        <f>B5*B8*0.85</f>
        <v>4653.75</v>
      </c>
      <c r="D25" s="12">
        <f>B5*B8</f>
        <v>5475</v>
      </c>
      <c r="E25" s="12">
        <f>B5*B8*1.15</f>
        <v>6296.2499999999991</v>
      </c>
      <c r="F25" s="3" t="s">
        <v>733</v>
      </c>
      <c r="G25" s="3" t="s">
        <v>734</v>
      </c>
      <c r="H25" s="3" t="s">
        <v>735</v>
      </c>
      <c r="I25" s="3" t="s">
        <v>736</v>
      </c>
      <c r="J25" s="13">
        <f t="shared" ref="J25:J32" si="0">IF($D$36=0,0,D25/$D$36)</f>
        <v>8.260357357048298E-2</v>
      </c>
      <c r="K25" s="3"/>
      <c r="L25" s="1"/>
      <c r="M25" s="1"/>
    </row>
    <row r="26" spans="1:13" ht="30">
      <c r="A26" s="3" t="s">
        <v>206</v>
      </c>
      <c r="B26" s="3" t="s">
        <v>52</v>
      </c>
      <c r="C26" s="12">
        <f>B5*(G9*0.85)*G7*MAX(0,B11-0.1)</f>
        <v>6253.8337872467991</v>
      </c>
      <c r="D26" s="12">
        <f>B5*G9*G7*B11</f>
        <v>9196.8143930099977</v>
      </c>
      <c r="E26" s="12">
        <f>B5*(G9*1.15)*G7*MIN(1,B11+0.1)</f>
        <v>12691.603862353795</v>
      </c>
      <c r="F26" s="3" t="s">
        <v>737</v>
      </c>
      <c r="G26" s="3" t="s">
        <v>738</v>
      </c>
      <c r="H26" s="3" t="s">
        <v>735</v>
      </c>
      <c r="I26" s="3" t="s">
        <v>739</v>
      </c>
      <c r="J26" s="13">
        <f t="shared" si="0"/>
        <v>0.13875611585882705</v>
      </c>
      <c r="K26" s="3"/>
      <c r="L26" s="1"/>
      <c r="M26" s="1"/>
    </row>
    <row r="27" spans="1:13" ht="15">
      <c r="A27" s="3" t="s">
        <v>463</v>
      </c>
      <c r="B27" s="3" t="s">
        <v>52</v>
      </c>
      <c r="C27" s="12">
        <f>B5*(B12*0.8+B13*0.8*G8)</f>
        <v>3452.6244615384617</v>
      </c>
      <c r="D27" s="12">
        <f>B5*(B12+B13*G8)</f>
        <v>4315.7805769230763</v>
      </c>
      <c r="E27" s="12">
        <f>B5*(B12*1.2+B13*1.2*G8)</f>
        <v>5178.9366923076923</v>
      </c>
      <c r="F27" s="3" t="s">
        <v>740</v>
      </c>
      <c r="G27" s="3" t="s">
        <v>738</v>
      </c>
      <c r="H27" s="3" t="s">
        <v>735</v>
      </c>
      <c r="I27" s="3" t="s">
        <v>741</v>
      </c>
      <c r="J27" s="13">
        <f t="shared" si="0"/>
        <v>6.5113954045648736E-2</v>
      </c>
      <c r="K27" s="3"/>
      <c r="L27" s="1"/>
      <c r="M27" s="1"/>
    </row>
    <row r="28" spans="1:13" ht="30">
      <c r="A28" s="3" t="s">
        <v>213</v>
      </c>
      <c r="B28" s="3" t="s">
        <v>52</v>
      </c>
      <c r="C28" s="12">
        <f>B5*G10*(B15*0.8)*(1-MIN(1,B16+0.1))</f>
        <v>13733.904000000002</v>
      </c>
      <c r="D28" s="12">
        <f>B5*G10*B15*(1-B16)</f>
        <v>22889.84</v>
      </c>
      <c r="E28" s="12">
        <f>B5*G10*(B15*1.2)*(1-MAX(0,B16-0.1))</f>
        <v>34334.759999999995</v>
      </c>
      <c r="F28" s="3" t="s">
        <v>742</v>
      </c>
      <c r="G28" s="3" t="s">
        <v>738</v>
      </c>
      <c r="H28" s="3" t="s">
        <v>735</v>
      </c>
      <c r="I28" s="3" t="s">
        <v>743</v>
      </c>
      <c r="J28" s="13">
        <f t="shared" si="0"/>
        <v>0.34534841688704732</v>
      </c>
      <c r="K28" s="3"/>
      <c r="L28" s="1"/>
      <c r="M28" s="1"/>
    </row>
    <row r="29" spans="1:13" ht="15">
      <c r="A29" s="3" t="s">
        <v>114</v>
      </c>
      <c r="B29" s="3" t="s">
        <v>52</v>
      </c>
      <c r="C29" s="12">
        <f>B5*B17*0.75*G8</f>
        <v>2269.7257211538458</v>
      </c>
      <c r="D29" s="12">
        <f>B5*B17*G8</f>
        <v>3026.3009615384613</v>
      </c>
      <c r="E29" s="12">
        <f>B5*B17*1.25*G8</f>
        <v>3782.8762019230767</v>
      </c>
      <c r="F29" s="3" t="s">
        <v>744</v>
      </c>
      <c r="G29" s="3" t="s">
        <v>745</v>
      </c>
      <c r="H29" s="3" t="s">
        <v>746</v>
      </c>
      <c r="I29" s="3" t="s">
        <v>747</v>
      </c>
      <c r="J29" s="13">
        <f t="shared" si="0"/>
        <v>4.5659045501893272E-2</v>
      </c>
      <c r="K29" s="3"/>
      <c r="L29" s="1"/>
      <c r="M29" s="1"/>
    </row>
    <row r="30" spans="1:13" ht="30">
      <c r="A30" s="3" t="s">
        <v>123</v>
      </c>
      <c r="B30" s="3" t="s">
        <v>52</v>
      </c>
      <c r="C30" s="12">
        <f>B5*B18*0.7*G6</f>
        <v>9243.9738461538454</v>
      </c>
      <c r="D30" s="12">
        <f>B5*B18*G6</f>
        <v>13205.676923076921</v>
      </c>
      <c r="E30" s="12">
        <f>B5*B18*1.3*G6</f>
        <v>17167.379999999997</v>
      </c>
      <c r="F30" s="3" t="s">
        <v>748</v>
      </c>
      <c r="G30" s="3" t="s">
        <v>745</v>
      </c>
      <c r="H30" s="3" t="s">
        <v>746</v>
      </c>
      <c r="I30" s="3" t="s">
        <v>749</v>
      </c>
      <c r="J30" s="13">
        <f t="shared" si="0"/>
        <v>0.19923947128098882</v>
      </c>
      <c r="K30" s="3"/>
      <c r="L30" s="1"/>
      <c r="M30" s="1"/>
    </row>
    <row r="31" spans="1:13" ht="15">
      <c r="A31" s="3" t="s">
        <v>131</v>
      </c>
      <c r="B31" s="3" t="s">
        <v>52</v>
      </c>
      <c r="C31" s="12">
        <f>B5*B19*0.7*G8</f>
        <v>3177.6160096153844</v>
      </c>
      <c r="D31" s="12">
        <f>B5*B19*G8</f>
        <v>4539.4514423076917</v>
      </c>
      <c r="E31" s="12">
        <f>B5*B19*1.3*G8</f>
        <v>5901.2868749999998</v>
      </c>
      <c r="F31" s="3" t="s">
        <v>750</v>
      </c>
      <c r="G31" s="3" t="s">
        <v>745</v>
      </c>
      <c r="H31" s="3" t="s">
        <v>746</v>
      </c>
      <c r="I31" s="3" t="s">
        <v>751</v>
      </c>
      <c r="J31" s="13">
        <f t="shared" si="0"/>
        <v>6.8488568252839901E-2</v>
      </c>
      <c r="K31" s="3"/>
      <c r="L31" s="1"/>
      <c r="M31" s="1"/>
    </row>
    <row r="32" spans="1:13" ht="15">
      <c r="A32" s="3" t="s">
        <v>136</v>
      </c>
      <c r="B32" s="3" t="s">
        <v>752</v>
      </c>
      <c r="C32" s="12">
        <f>B5*B20*B21*0.7*G8</f>
        <v>2542.0928076923069</v>
      </c>
      <c r="D32" s="12">
        <f>B5*B20*B21*G8</f>
        <v>3631.5611538461535</v>
      </c>
      <c r="E32" s="12">
        <f>B5*B20*B21*1.3*G8</f>
        <v>4721.0294999999996</v>
      </c>
      <c r="F32" s="3" t="s">
        <v>753</v>
      </c>
      <c r="G32" s="3" t="s">
        <v>738</v>
      </c>
      <c r="H32" s="3" t="s">
        <v>746</v>
      </c>
      <c r="I32" s="3" t="s">
        <v>754</v>
      </c>
      <c r="J32" s="13">
        <f t="shared" si="0"/>
        <v>5.4790854602271927E-2</v>
      </c>
      <c r="K32" s="3"/>
      <c r="L32" s="1"/>
      <c r="M32" s="1"/>
    </row>
    <row r="33" spans="1:13" ht="15">
      <c r="A33" s="3"/>
      <c r="B33" s="3"/>
      <c r="C33" s="12"/>
      <c r="D33" s="12"/>
      <c r="E33" s="12"/>
      <c r="F33" s="3"/>
      <c r="G33" s="3"/>
      <c r="H33" s="3"/>
      <c r="I33" s="3"/>
      <c r="J33" s="3"/>
      <c r="K33" s="3"/>
      <c r="L33" s="1"/>
      <c r="M33" s="1"/>
    </row>
    <row r="34" spans="1:13" ht="15">
      <c r="A34" s="14" t="s">
        <v>520</v>
      </c>
      <c r="B34" s="14" t="s">
        <v>185</v>
      </c>
      <c r="C34" s="15">
        <f>SUM(C25:C28)</f>
        <v>28094.112248785263</v>
      </c>
      <c r="D34" s="15">
        <f>SUM(D25:D28)</f>
        <v>41877.434969933078</v>
      </c>
      <c r="E34" s="15">
        <f>SUM(E25:E28)</f>
        <v>58501.55055466148</v>
      </c>
      <c r="F34" s="14" t="s">
        <v>755</v>
      </c>
      <c r="G34" s="14"/>
      <c r="H34" s="14"/>
      <c r="I34" s="14"/>
      <c r="J34" s="14"/>
      <c r="K34" s="14"/>
      <c r="L34" s="1"/>
      <c r="M34" s="1"/>
    </row>
    <row r="35" spans="1:13" ht="15">
      <c r="A35" s="14" t="s">
        <v>530</v>
      </c>
      <c r="B35" s="14" t="s">
        <v>185</v>
      </c>
      <c r="C35" s="15">
        <f>SUM(C29:C32)</f>
        <v>17233.408384615384</v>
      </c>
      <c r="D35" s="15">
        <f>SUM(D29:D32)</f>
        <v>24402.990480769226</v>
      </c>
      <c r="E35" s="15">
        <f>SUM(E29:E32)</f>
        <v>31572.572576923074</v>
      </c>
      <c r="F35" s="14" t="s">
        <v>756</v>
      </c>
      <c r="G35" s="14"/>
      <c r="H35" s="14"/>
      <c r="I35" s="14"/>
      <c r="J35" s="14"/>
      <c r="K35" s="14"/>
      <c r="L35" s="1"/>
      <c r="M35" s="1"/>
    </row>
    <row r="36" spans="1:13" ht="15">
      <c r="A36" s="14" t="s">
        <v>533</v>
      </c>
      <c r="B36" s="14" t="s">
        <v>527</v>
      </c>
      <c r="C36" s="15">
        <f>SUM(C25:C32)</f>
        <v>45327.520633400643</v>
      </c>
      <c r="D36" s="15">
        <f>SUM(D25:D32)</f>
        <v>66280.4254507023</v>
      </c>
      <c r="E36" s="15">
        <f>SUM(E25:E32)</f>
        <v>90074.123131584565</v>
      </c>
      <c r="F36" s="14" t="s">
        <v>757</v>
      </c>
      <c r="G36" s="14"/>
      <c r="H36" s="14"/>
      <c r="I36" s="14"/>
      <c r="J36" s="14"/>
      <c r="K36" s="14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K1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selection activeCell="B5" sqref="B5"/>
    </sheetView>
  </sheetViews>
  <sheetFormatPr baseColWidth="10" defaultColWidth="8.83203125" defaultRowHeight="14"/>
  <cols>
    <col min="1" max="1" width="18" customWidth="1"/>
    <col min="2" max="2" width="38" customWidth="1"/>
    <col min="3" max="3" width="40" customWidth="1"/>
    <col min="4" max="4" width="38" customWidth="1"/>
    <col min="5" max="5" width="14" customWidth="1"/>
    <col min="6" max="6" width="24" customWidth="1"/>
    <col min="7" max="7" width="34" customWidth="1"/>
    <col min="8" max="8" width="38" customWidth="1"/>
    <col min="9" max="9" width="25" customWidth="1"/>
    <col min="10" max="10" width="48" customWidth="1"/>
    <col min="11" max="11" width="16" customWidth="1"/>
  </cols>
  <sheetData>
    <row r="1" spans="1:13" ht="42.75" customHeight="1">
      <c r="A1" s="16" t="s">
        <v>758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</row>
    <row r="2" spans="1:13" ht="40" customHeight="1">
      <c r="A2" s="17" t="s">
        <v>759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>
      <c r="A4" s="4" t="s">
        <v>760</v>
      </c>
      <c r="B4" s="4" t="s">
        <v>761</v>
      </c>
      <c r="C4" s="4" t="s">
        <v>762</v>
      </c>
      <c r="D4" s="4" t="s">
        <v>763</v>
      </c>
      <c r="E4" s="4" t="s">
        <v>280</v>
      </c>
      <c r="F4" s="4" t="s">
        <v>764</v>
      </c>
      <c r="G4" s="4" t="s">
        <v>765</v>
      </c>
      <c r="H4" s="4" t="s">
        <v>766</v>
      </c>
      <c r="I4" s="4" t="s">
        <v>767</v>
      </c>
      <c r="J4" s="4" t="s">
        <v>768</v>
      </c>
      <c r="K4" s="4" t="s">
        <v>556</v>
      </c>
      <c r="L4" s="1"/>
      <c r="M4" s="1"/>
    </row>
    <row r="5" spans="1:13" ht="30">
      <c r="A5" s="3" t="s">
        <v>769</v>
      </c>
      <c r="B5" s="3" t="s">
        <v>770</v>
      </c>
      <c r="C5" s="3" t="s">
        <v>771</v>
      </c>
      <c r="D5" s="3" t="s">
        <v>772</v>
      </c>
      <c r="E5" s="3" t="s">
        <v>52</v>
      </c>
      <c r="F5" s="3" t="s">
        <v>773</v>
      </c>
      <c r="G5" s="3" t="s">
        <v>774</v>
      </c>
      <c r="H5" s="3" t="s">
        <v>775</v>
      </c>
      <c r="I5" s="3" t="s">
        <v>776</v>
      </c>
      <c r="J5" s="3" t="s">
        <v>777</v>
      </c>
      <c r="K5" s="3" t="s">
        <v>778</v>
      </c>
      <c r="L5" s="1"/>
      <c r="M5" s="1"/>
    </row>
    <row r="6" spans="1:13" ht="30">
      <c r="A6" s="3" t="s">
        <v>779</v>
      </c>
      <c r="B6" s="3" t="s">
        <v>780</v>
      </c>
      <c r="C6" s="3" t="s">
        <v>781</v>
      </c>
      <c r="D6" s="3" t="s">
        <v>782</v>
      </c>
      <c r="E6" s="3" t="s">
        <v>52</v>
      </c>
      <c r="F6" s="3" t="s">
        <v>783</v>
      </c>
      <c r="G6" s="3" t="s">
        <v>784</v>
      </c>
      <c r="H6" s="3" t="s">
        <v>785</v>
      </c>
      <c r="I6" s="3" t="s">
        <v>786</v>
      </c>
      <c r="J6" s="3" t="s">
        <v>787</v>
      </c>
      <c r="K6" s="3" t="s">
        <v>778</v>
      </c>
      <c r="L6" s="1"/>
      <c r="M6" s="1"/>
    </row>
    <row r="7" spans="1:13" ht="30">
      <c r="A7" s="3" t="s">
        <v>788</v>
      </c>
      <c r="B7" s="3" t="s">
        <v>789</v>
      </c>
      <c r="C7" s="3" t="s">
        <v>790</v>
      </c>
      <c r="D7" s="3" t="s">
        <v>791</v>
      </c>
      <c r="E7" s="3" t="s">
        <v>52</v>
      </c>
      <c r="F7" s="3" t="s">
        <v>792</v>
      </c>
      <c r="G7" s="3" t="s">
        <v>793</v>
      </c>
      <c r="H7" s="3" t="s">
        <v>794</v>
      </c>
      <c r="I7" s="3" t="s">
        <v>795</v>
      </c>
      <c r="J7" s="3" t="s">
        <v>796</v>
      </c>
      <c r="K7" s="3" t="s">
        <v>778</v>
      </c>
      <c r="L7" s="1"/>
      <c r="M7" s="1"/>
    </row>
    <row r="8" spans="1:13" ht="15">
      <c r="A8" s="3" t="s">
        <v>797</v>
      </c>
      <c r="B8" s="3" t="s">
        <v>798</v>
      </c>
      <c r="C8" s="3" t="s">
        <v>799</v>
      </c>
      <c r="D8" s="3" t="s">
        <v>800</v>
      </c>
      <c r="E8" s="3" t="s">
        <v>52</v>
      </c>
      <c r="F8" s="3" t="s">
        <v>801</v>
      </c>
      <c r="G8" s="3" t="s">
        <v>802</v>
      </c>
      <c r="H8" s="3" t="s">
        <v>803</v>
      </c>
      <c r="I8" s="3" t="s">
        <v>804</v>
      </c>
      <c r="J8" s="3" t="s">
        <v>805</v>
      </c>
      <c r="K8" s="3" t="s">
        <v>778</v>
      </c>
      <c r="L8" s="1"/>
      <c r="M8" s="1"/>
    </row>
    <row r="9" spans="1:13" ht="30">
      <c r="A9" s="3" t="s">
        <v>806</v>
      </c>
      <c r="B9" s="3" t="s">
        <v>807</v>
      </c>
      <c r="C9" s="3" t="s">
        <v>808</v>
      </c>
      <c r="D9" s="3" t="s">
        <v>809</v>
      </c>
      <c r="E9" s="3" t="s">
        <v>52</v>
      </c>
      <c r="F9" s="3" t="s">
        <v>810</v>
      </c>
      <c r="G9" s="3" t="s">
        <v>811</v>
      </c>
      <c r="H9" s="3" t="s">
        <v>812</v>
      </c>
      <c r="I9" s="3" t="s">
        <v>813</v>
      </c>
      <c r="J9" s="3" t="s">
        <v>814</v>
      </c>
      <c r="K9" s="3" t="s">
        <v>778</v>
      </c>
      <c r="L9" s="1"/>
      <c r="M9" s="1"/>
    </row>
    <row r="10" spans="1:13" ht="30">
      <c r="A10" s="3" t="s">
        <v>815</v>
      </c>
      <c r="B10" s="3" t="s">
        <v>816</v>
      </c>
      <c r="C10" s="3" t="s">
        <v>817</v>
      </c>
      <c r="D10" s="3" t="s">
        <v>818</v>
      </c>
      <c r="E10" s="3" t="s">
        <v>52</v>
      </c>
      <c r="F10" s="3" t="s">
        <v>819</v>
      </c>
      <c r="G10" s="3" t="s">
        <v>820</v>
      </c>
      <c r="H10" s="3" t="s">
        <v>821</v>
      </c>
      <c r="I10" s="3" t="s">
        <v>822</v>
      </c>
      <c r="J10" s="3" t="s">
        <v>823</v>
      </c>
      <c r="K10" s="3" t="s">
        <v>778</v>
      </c>
      <c r="L10" s="1"/>
      <c r="M10" s="1"/>
    </row>
    <row r="11" spans="1:13" ht="15">
      <c r="A11" s="3" t="s">
        <v>824</v>
      </c>
      <c r="B11" s="3" t="s">
        <v>825</v>
      </c>
      <c r="C11" s="3" t="s">
        <v>826</v>
      </c>
      <c r="D11" s="3" t="s">
        <v>827</v>
      </c>
      <c r="E11" s="3" t="s">
        <v>828</v>
      </c>
      <c r="F11" s="3" t="s">
        <v>829</v>
      </c>
      <c r="G11" s="3" t="s">
        <v>830</v>
      </c>
      <c r="H11" s="3" t="s">
        <v>831</v>
      </c>
      <c r="I11" s="3" t="s">
        <v>832</v>
      </c>
      <c r="J11" s="3" t="s">
        <v>833</v>
      </c>
      <c r="K11" s="3" t="s">
        <v>778</v>
      </c>
      <c r="L11" s="1"/>
      <c r="M11" s="1"/>
    </row>
    <row r="12" spans="1:13" ht="15">
      <c r="A12" s="3" t="s">
        <v>250</v>
      </c>
      <c r="B12" s="3" t="s">
        <v>834</v>
      </c>
      <c r="C12" s="3" t="s">
        <v>835</v>
      </c>
      <c r="D12" s="3" t="s">
        <v>836</v>
      </c>
      <c r="E12" s="3" t="s">
        <v>52</v>
      </c>
      <c r="F12" s="3" t="s">
        <v>837</v>
      </c>
      <c r="G12" s="3" t="s">
        <v>838</v>
      </c>
      <c r="H12" s="3" t="s">
        <v>839</v>
      </c>
      <c r="I12" s="3" t="s">
        <v>840</v>
      </c>
      <c r="J12" s="3" t="s">
        <v>841</v>
      </c>
      <c r="K12" s="3" t="s">
        <v>778</v>
      </c>
      <c r="L12" s="1"/>
      <c r="M12" s="1"/>
    </row>
    <row r="13" spans="1:13" ht="15">
      <c r="A13" s="3" t="s">
        <v>842</v>
      </c>
      <c r="B13" s="3" t="s">
        <v>843</v>
      </c>
      <c r="C13" s="3" t="s">
        <v>844</v>
      </c>
      <c r="D13" s="3" t="s">
        <v>845</v>
      </c>
      <c r="E13" s="3" t="s">
        <v>52</v>
      </c>
      <c r="F13" s="3" t="s">
        <v>846</v>
      </c>
      <c r="G13" s="3" t="s">
        <v>847</v>
      </c>
      <c r="H13" s="3" t="s">
        <v>848</v>
      </c>
      <c r="I13" s="3" t="s">
        <v>849</v>
      </c>
      <c r="J13" s="3" t="s">
        <v>850</v>
      </c>
      <c r="K13" s="3" t="s">
        <v>778</v>
      </c>
      <c r="L13" s="1"/>
      <c r="M13" s="1"/>
    </row>
    <row r="14" spans="1:13" ht="15">
      <c r="A14" s="3" t="s">
        <v>268</v>
      </c>
      <c r="B14" s="3" t="s">
        <v>851</v>
      </c>
      <c r="C14" s="3" t="s">
        <v>852</v>
      </c>
      <c r="D14" s="3" t="s">
        <v>853</v>
      </c>
      <c r="E14" s="3" t="s">
        <v>52</v>
      </c>
      <c r="F14" s="3" t="s">
        <v>854</v>
      </c>
      <c r="G14" s="3" t="s">
        <v>855</v>
      </c>
      <c r="H14" s="3" t="s">
        <v>856</v>
      </c>
      <c r="I14" s="3" t="s">
        <v>857</v>
      </c>
      <c r="J14" s="3" t="s">
        <v>858</v>
      </c>
      <c r="K14" s="3" t="s">
        <v>778</v>
      </c>
      <c r="L14" s="1"/>
      <c r="M14" s="1"/>
    </row>
    <row r="15" spans="1:13" ht="15">
      <c r="A15" s="3" t="s">
        <v>859</v>
      </c>
      <c r="B15" s="3" t="s">
        <v>860</v>
      </c>
      <c r="C15" s="3" t="s">
        <v>861</v>
      </c>
      <c r="D15" s="3" t="s">
        <v>862</v>
      </c>
      <c r="E15" s="3" t="s">
        <v>52</v>
      </c>
      <c r="F15" s="3" t="s">
        <v>863</v>
      </c>
      <c r="G15" s="3" t="s">
        <v>864</v>
      </c>
      <c r="H15" s="3" t="s">
        <v>865</v>
      </c>
      <c r="I15" s="3" t="s">
        <v>863</v>
      </c>
      <c r="J15" s="3" t="s">
        <v>866</v>
      </c>
      <c r="K15" s="3" t="s">
        <v>778</v>
      </c>
      <c r="L15" s="1"/>
      <c r="M15" s="1"/>
    </row>
    <row r="16" spans="1:13" ht="15">
      <c r="A16" s="3" t="s">
        <v>867</v>
      </c>
      <c r="B16" s="3" t="s">
        <v>868</v>
      </c>
      <c r="C16" s="3" t="s">
        <v>869</v>
      </c>
      <c r="D16" s="3" t="s">
        <v>870</v>
      </c>
      <c r="E16" s="3" t="s">
        <v>52</v>
      </c>
      <c r="F16" s="3" t="s">
        <v>871</v>
      </c>
      <c r="G16" s="3" t="s">
        <v>872</v>
      </c>
      <c r="H16" s="3" t="s">
        <v>873</v>
      </c>
      <c r="I16" s="3" t="s">
        <v>863</v>
      </c>
      <c r="J16" s="3" t="s">
        <v>874</v>
      </c>
      <c r="K16" s="3" t="s">
        <v>778</v>
      </c>
      <c r="L16" s="1"/>
      <c r="M16" s="1"/>
    </row>
    <row r="17" spans="1:13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K1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tabSelected="1" workbookViewId="0">
      <selection sqref="A1:I1"/>
    </sheetView>
  </sheetViews>
  <sheetFormatPr baseColWidth="10" defaultColWidth="8.83203125" defaultRowHeight="14"/>
  <cols>
    <col min="1" max="1" width="22" customWidth="1"/>
    <col min="2" max="2" width="58" customWidth="1"/>
    <col min="3" max="3" width="42" customWidth="1"/>
    <col min="4" max="4" width="34" customWidth="1"/>
    <col min="5" max="5" width="16" customWidth="1"/>
    <col min="6" max="7" width="18" customWidth="1"/>
    <col min="8" max="8" width="44" customWidth="1"/>
    <col min="9" max="9" width="20" customWidth="1"/>
  </cols>
  <sheetData>
    <row r="1" spans="1:13" ht="42.75" customHeight="1">
      <c r="A1" s="16" t="s">
        <v>875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</row>
    <row r="2" spans="1:13" ht="40" customHeight="1">
      <c r="A2" s="17" t="s">
        <v>876</v>
      </c>
      <c r="B2" s="17"/>
      <c r="C2" s="17"/>
      <c r="D2" s="17"/>
      <c r="E2" s="17"/>
      <c r="F2" s="17"/>
      <c r="G2" s="17"/>
      <c r="H2" s="17"/>
      <c r="I2" s="17"/>
      <c r="J2" s="1"/>
      <c r="K2" s="1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>
      <c r="A4" s="4" t="s">
        <v>877</v>
      </c>
      <c r="B4" s="4" t="s">
        <v>878</v>
      </c>
      <c r="C4" s="4" t="s">
        <v>879</v>
      </c>
      <c r="D4" s="4" t="s">
        <v>880</v>
      </c>
      <c r="E4" s="4" t="s">
        <v>881</v>
      </c>
      <c r="F4" s="4" t="s">
        <v>882</v>
      </c>
      <c r="G4" s="4" t="s">
        <v>556</v>
      </c>
      <c r="H4" s="4" t="s">
        <v>883</v>
      </c>
      <c r="I4" s="4" t="s">
        <v>884</v>
      </c>
      <c r="J4" s="1"/>
      <c r="K4" s="1"/>
      <c r="L4" s="1"/>
      <c r="M4" s="1"/>
    </row>
    <row r="5" spans="1:13" ht="30">
      <c r="A5" s="3" t="s">
        <v>885</v>
      </c>
      <c r="B5" s="3" t="s">
        <v>886</v>
      </c>
      <c r="C5" s="3" t="s">
        <v>887</v>
      </c>
      <c r="D5" s="3" t="s">
        <v>888</v>
      </c>
      <c r="E5" s="3" t="s">
        <v>726</v>
      </c>
      <c r="F5" s="3"/>
      <c r="G5" s="3" t="s">
        <v>889</v>
      </c>
      <c r="H5" s="3"/>
      <c r="I5" s="3"/>
      <c r="J5" s="1"/>
      <c r="K5" s="1"/>
      <c r="L5" s="1"/>
      <c r="M5" s="1"/>
    </row>
    <row r="6" spans="1:13" ht="30">
      <c r="A6" s="3" t="s">
        <v>564</v>
      </c>
      <c r="B6" s="3" t="s">
        <v>890</v>
      </c>
      <c r="C6" s="3" t="s">
        <v>891</v>
      </c>
      <c r="D6" s="3" t="s">
        <v>892</v>
      </c>
      <c r="E6" s="3" t="s">
        <v>893</v>
      </c>
      <c r="F6" s="3"/>
      <c r="G6" s="3" t="s">
        <v>894</v>
      </c>
      <c r="H6" s="3"/>
      <c r="I6" s="3"/>
      <c r="J6" s="1"/>
      <c r="K6" s="1"/>
      <c r="L6" s="1"/>
      <c r="M6" s="1"/>
    </row>
    <row r="7" spans="1:13" ht="30">
      <c r="A7" s="3" t="s">
        <v>331</v>
      </c>
      <c r="B7" s="3" t="s">
        <v>895</v>
      </c>
      <c r="C7" s="3" t="s">
        <v>896</v>
      </c>
      <c r="D7" s="3" t="s">
        <v>897</v>
      </c>
      <c r="E7" s="3" t="s">
        <v>726</v>
      </c>
      <c r="F7" s="3"/>
      <c r="G7" s="3" t="s">
        <v>894</v>
      </c>
      <c r="H7" s="3"/>
      <c r="I7" s="3"/>
      <c r="J7" s="1"/>
      <c r="K7" s="1"/>
      <c r="L7" s="1"/>
      <c r="M7" s="1"/>
    </row>
    <row r="8" spans="1:13" ht="30">
      <c r="A8" s="3" t="s">
        <v>898</v>
      </c>
      <c r="B8" s="3" t="s">
        <v>899</v>
      </c>
      <c r="C8" s="3" t="s">
        <v>900</v>
      </c>
      <c r="D8" s="3" t="s">
        <v>901</v>
      </c>
      <c r="E8" s="3" t="s">
        <v>893</v>
      </c>
      <c r="F8" s="3"/>
      <c r="G8" s="3" t="s">
        <v>894</v>
      </c>
      <c r="H8" s="3"/>
      <c r="I8" s="3"/>
      <c r="J8" s="1"/>
      <c r="K8" s="1"/>
      <c r="L8" s="1"/>
      <c r="M8" s="1"/>
    </row>
    <row r="9" spans="1:13" ht="30">
      <c r="A9" s="3" t="s">
        <v>902</v>
      </c>
      <c r="B9" s="3" t="s">
        <v>903</v>
      </c>
      <c r="C9" s="3" t="s">
        <v>904</v>
      </c>
      <c r="D9" s="3" t="s">
        <v>905</v>
      </c>
      <c r="E9" s="3" t="s">
        <v>328</v>
      </c>
      <c r="F9" s="3"/>
      <c r="G9" s="3" t="s">
        <v>894</v>
      </c>
      <c r="H9" s="3"/>
      <c r="I9" s="3"/>
      <c r="J9" s="1"/>
      <c r="K9" s="1"/>
      <c r="L9" s="1"/>
      <c r="M9" s="1"/>
    </row>
    <row r="10" spans="1:13" ht="30">
      <c r="A10" s="3" t="s">
        <v>906</v>
      </c>
      <c r="B10" s="3" t="s">
        <v>907</v>
      </c>
      <c r="C10" s="3" t="s">
        <v>908</v>
      </c>
      <c r="D10" s="3" t="s">
        <v>909</v>
      </c>
      <c r="E10" s="3" t="s">
        <v>893</v>
      </c>
      <c r="F10" s="3"/>
      <c r="G10" s="3" t="s">
        <v>894</v>
      </c>
      <c r="H10" s="3"/>
      <c r="I10" s="3"/>
      <c r="J10" s="1"/>
      <c r="K10" s="1"/>
      <c r="L10" s="1"/>
      <c r="M10" s="1"/>
    </row>
    <row r="11" spans="1:13" ht="30">
      <c r="A11" s="3" t="s">
        <v>910</v>
      </c>
      <c r="B11" s="3" t="s">
        <v>911</v>
      </c>
      <c r="C11" s="3" t="s">
        <v>912</v>
      </c>
      <c r="D11" s="3" t="s">
        <v>64</v>
      </c>
      <c r="E11" s="3" t="s">
        <v>726</v>
      </c>
      <c r="F11" s="3"/>
      <c r="G11" s="3" t="s">
        <v>894</v>
      </c>
      <c r="H11" s="3"/>
      <c r="I11" s="3"/>
      <c r="J11" s="1"/>
      <c r="K11" s="1"/>
      <c r="L11" s="1"/>
      <c r="M11" s="1"/>
    </row>
    <row r="12" spans="1:13" ht="30">
      <c r="A12" s="3" t="s">
        <v>913</v>
      </c>
      <c r="B12" s="3" t="s">
        <v>914</v>
      </c>
      <c r="C12" s="3" t="s">
        <v>915</v>
      </c>
      <c r="D12" s="3" t="s">
        <v>916</v>
      </c>
      <c r="E12" s="3" t="s">
        <v>893</v>
      </c>
      <c r="F12" s="3"/>
      <c r="G12" s="3" t="s">
        <v>894</v>
      </c>
      <c r="H12" s="3"/>
      <c r="I12" s="3"/>
      <c r="J12" s="1"/>
      <c r="K12" s="1"/>
      <c r="L12" s="1"/>
      <c r="M12" s="1"/>
    </row>
    <row r="13" spans="1:13" ht="15">
      <c r="A13" s="3" t="s">
        <v>917</v>
      </c>
      <c r="B13" s="3" t="s">
        <v>918</v>
      </c>
      <c r="C13" s="3" t="s">
        <v>919</v>
      </c>
      <c r="D13" s="3" t="s">
        <v>920</v>
      </c>
      <c r="E13" s="3" t="s">
        <v>893</v>
      </c>
      <c r="F13" s="3"/>
      <c r="G13" s="3" t="s">
        <v>894</v>
      </c>
      <c r="H13" s="3"/>
      <c r="I13" s="3"/>
      <c r="J13" s="1"/>
      <c r="K13" s="1"/>
      <c r="L13" s="1"/>
      <c r="M13" s="1"/>
    </row>
    <row r="14" spans="1:13" ht="15">
      <c r="A14" s="3" t="s">
        <v>114</v>
      </c>
      <c r="B14" s="3" t="s">
        <v>921</v>
      </c>
      <c r="C14" s="3" t="s">
        <v>922</v>
      </c>
      <c r="D14" s="3" t="s">
        <v>923</v>
      </c>
      <c r="E14" s="3" t="s">
        <v>893</v>
      </c>
      <c r="F14" s="3"/>
      <c r="G14" s="3" t="s">
        <v>894</v>
      </c>
      <c r="H14" s="3"/>
      <c r="I14" s="3"/>
      <c r="J14" s="1"/>
      <c r="K14" s="1"/>
      <c r="L14" s="1"/>
      <c r="M14" s="1"/>
    </row>
    <row r="15" spans="1:13" ht="15">
      <c r="A15" s="3" t="s">
        <v>123</v>
      </c>
      <c r="B15" s="3" t="s">
        <v>924</v>
      </c>
      <c r="C15" s="3" t="s">
        <v>925</v>
      </c>
      <c r="D15" s="3" t="s">
        <v>926</v>
      </c>
      <c r="E15" s="3" t="s">
        <v>893</v>
      </c>
      <c r="F15" s="3"/>
      <c r="G15" s="3" t="s">
        <v>894</v>
      </c>
      <c r="H15" s="3"/>
      <c r="I15" s="3"/>
      <c r="J15" s="1"/>
      <c r="K15" s="1"/>
      <c r="L15" s="1"/>
      <c r="M15" s="1"/>
    </row>
    <row r="16" spans="1:13" ht="30">
      <c r="A16" s="3" t="s">
        <v>398</v>
      </c>
      <c r="B16" s="3" t="s">
        <v>927</v>
      </c>
      <c r="C16" s="3" t="s">
        <v>928</v>
      </c>
      <c r="D16" s="3" t="s">
        <v>929</v>
      </c>
      <c r="E16" s="3" t="s">
        <v>726</v>
      </c>
      <c r="F16" s="3"/>
      <c r="G16" s="3" t="s">
        <v>894</v>
      </c>
      <c r="H16" s="3"/>
      <c r="I16" s="3"/>
      <c r="J16" s="1"/>
      <c r="K16" s="1"/>
      <c r="L16" s="1"/>
      <c r="M16" s="1"/>
    </row>
    <row r="17" spans="1:13" ht="30">
      <c r="A17" s="3" t="s">
        <v>136</v>
      </c>
      <c r="B17" s="3" t="s">
        <v>930</v>
      </c>
      <c r="C17" s="3" t="s">
        <v>931</v>
      </c>
      <c r="D17" s="3" t="s">
        <v>932</v>
      </c>
      <c r="E17" s="3" t="s">
        <v>726</v>
      </c>
      <c r="F17" s="3"/>
      <c r="G17" s="3" t="s">
        <v>894</v>
      </c>
      <c r="H17" s="3"/>
      <c r="I17" s="3"/>
      <c r="J17" s="1"/>
      <c r="K17" s="1"/>
      <c r="L17" s="1"/>
      <c r="M17" s="1"/>
    </row>
    <row r="18" spans="1:13" ht="30">
      <c r="A18" s="3" t="s">
        <v>933</v>
      </c>
      <c r="B18" s="3" t="s">
        <v>934</v>
      </c>
      <c r="C18" s="3" t="s">
        <v>935</v>
      </c>
      <c r="D18" s="3" t="s">
        <v>936</v>
      </c>
      <c r="E18" s="3" t="s">
        <v>726</v>
      </c>
      <c r="F18" s="3"/>
      <c r="G18" s="3" t="s">
        <v>894</v>
      </c>
      <c r="H18" s="3"/>
      <c r="I18" s="3"/>
      <c r="J18" s="1"/>
      <c r="K18" s="1"/>
      <c r="L18" s="1"/>
      <c r="M18" s="1"/>
    </row>
    <row r="19" spans="1:13" ht="30">
      <c r="A19" s="3" t="s">
        <v>937</v>
      </c>
      <c r="B19" s="3" t="s">
        <v>938</v>
      </c>
      <c r="C19" s="3" t="s">
        <v>939</v>
      </c>
      <c r="D19" s="3" t="s">
        <v>940</v>
      </c>
      <c r="E19" s="3" t="s">
        <v>893</v>
      </c>
      <c r="F19" s="3"/>
      <c r="G19" s="3" t="s">
        <v>894</v>
      </c>
      <c r="H19" s="3"/>
      <c r="I19" s="3"/>
      <c r="J19" s="1"/>
      <c r="K19" s="1"/>
      <c r="L19" s="1"/>
      <c r="M19" s="1"/>
    </row>
    <row r="20" spans="1:13" ht="30">
      <c r="A20" s="3" t="s">
        <v>250</v>
      </c>
      <c r="B20" s="3" t="s">
        <v>941</v>
      </c>
      <c r="C20" s="3" t="s">
        <v>942</v>
      </c>
      <c r="D20" s="3" t="s">
        <v>541</v>
      </c>
      <c r="E20" s="3" t="s">
        <v>726</v>
      </c>
      <c r="F20" s="3"/>
      <c r="G20" s="3" t="s">
        <v>894</v>
      </c>
      <c r="H20" s="3"/>
      <c r="I20" s="3"/>
      <c r="J20" s="1"/>
      <c r="K20" s="1"/>
      <c r="L20" s="1"/>
      <c r="M20" s="1"/>
    </row>
    <row r="21" spans="1:13" ht="15">
      <c r="A21" s="3" t="s">
        <v>943</v>
      </c>
      <c r="B21" s="3" t="s">
        <v>944</v>
      </c>
      <c r="C21" s="3" t="s">
        <v>945</v>
      </c>
      <c r="D21" s="3" t="s">
        <v>946</v>
      </c>
      <c r="E21" s="3" t="s">
        <v>328</v>
      </c>
      <c r="F21" s="3"/>
      <c r="G21" s="3" t="s">
        <v>894</v>
      </c>
      <c r="H21" s="3"/>
      <c r="I21" s="3"/>
      <c r="J21" s="1"/>
      <c r="K21" s="1"/>
      <c r="L21" s="1"/>
      <c r="M21" s="1"/>
    </row>
    <row r="22" spans="1:13" ht="30">
      <c r="A22" s="3" t="s">
        <v>947</v>
      </c>
      <c r="B22" s="3" t="s">
        <v>948</v>
      </c>
      <c r="C22" s="3" t="s">
        <v>949</v>
      </c>
      <c r="D22" s="3" t="s">
        <v>950</v>
      </c>
      <c r="E22" s="3" t="s">
        <v>893</v>
      </c>
      <c r="F22" s="3"/>
      <c r="G22" s="3" t="s">
        <v>894</v>
      </c>
      <c r="H22" s="3"/>
      <c r="I22" s="3"/>
      <c r="J22" s="1"/>
      <c r="K22" s="1"/>
      <c r="L22" s="1"/>
      <c r="M22" s="1"/>
    </row>
    <row r="23" spans="1:13" ht="15">
      <c r="A23" s="3" t="s">
        <v>951</v>
      </c>
      <c r="B23" s="3" t="s">
        <v>952</v>
      </c>
      <c r="C23" s="3" t="s">
        <v>953</v>
      </c>
      <c r="D23" s="3" t="s">
        <v>954</v>
      </c>
      <c r="E23" s="3" t="s">
        <v>726</v>
      </c>
      <c r="F23" s="3"/>
      <c r="G23" s="3" t="s">
        <v>894</v>
      </c>
      <c r="H23" s="3"/>
      <c r="I23" s="3"/>
      <c r="J23" s="1"/>
      <c r="K23" s="1"/>
      <c r="L23" s="1"/>
      <c r="M23" s="1"/>
    </row>
    <row r="24" spans="1:13" ht="30">
      <c r="A24" s="3" t="s">
        <v>955</v>
      </c>
      <c r="B24" s="3" t="s">
        <v>956</v>
      </c>
      <c r="C24" s="3" t="s">
        <v>957</v>
      </c>
      <c r="D24" s="3" t="s">
        <v>958</v>
      </c>
      <c r="E24" s="3" t="s">
        <v>893</v>
      </c>
      <c r="F24" s="3"/>
      <c r="G24" s="3" t="s">
        <v>894</v>
      </c>
      <c r="H24" s="3"/>
      <c r="I24" s="3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I1"/>
    <mergeCell ref="A2:I2"/>
  </mergeCells>
  <conditionalFormatting sqref="E5:E24">
    <cfRule type="expression" dxfId="0" priority="1">
      <formula>E5="Critical"</formula>
    </cfRule>
  </conditionalFormatting>
  <dataValidations count="1">
    <dataValidation type="list" sqref="G5:G24" xr:uid="{00000000-0002-0000-0800-000000000000}">
      <formula1>"Open,In Review,Validated,Rejected,Deferred"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0"/>
  <sheetViews>
    <sheetView workbookViewId="0">
      <selection sqref="A1:H1"/>
    </sheetView>
  </sheetViews>
  <sheetFormatPr baseColWidth="10" defaultColWidth="8.83203125" defaultRowHeight="14"/>
  <cols>
    <col min="1" max="1" width="25" customWidth="1"/>
    <col min="2" max="2" width="32" customWidth="1"/>
    <col min="3" max="3" width="48" customWidth="1"/>
    <col min="4" max="4" width="36" customWidth="1"/>
    <col min="5" max="5" width="65" customWidth="1"/>
    <col min="6" max="7" width="20" customWidth="1"/>
    <col min="8" max="8" width="45" customWidth="1"/>
  </cols>
  <sheetData>
    <row r="1" spans="1:13" ht="42.75" customHeight="1">
      <c r="A1" s="16" t="s">
        <v>959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</row>
    <row r="2" spans="1:13" ht="40" customHeight="1">
      <c r="A2" s="17" t="s">
        <v>960</v>
      </c>
      <c r="B2" s="17"/>
      <c r="C2" s="17"/>
      <c r="D2" s="17"/>
      <c r="E2" s="17"/>
      <c r="F2" s="17"/>
      <c r="G2" s="17"/>
      <c r="H2" s="17"/>
      <c r="I2" s="1"/>
      <c r="J2" s="1"/>
      <c r="K2" s="1"/>
      <c r="L2" s="1"/>
      <c r="M2" s="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>
      <c r="A4" s="4" t="s">
        <v>961</v>
      </c>
      <c r="B4" s="4" t="s">
        <v>962</v>
      </c>
      <c r="C4" s="4" t="s">
        <v>963</v>
      </c>
      <c r="D4" s="4" t="s">
        <v>964</v>
      </c>
      <c r="E4" s="4" t="s">
        <v>965</v>
      </c>
      <c r="F4" s="4" t="s">
        <v>966</v>
      </c>
      <c r="G4" s="4" t="s">
        <v>967</v>
      </c>
      <c r="H4" s="4" t="s">
        <v>968</v>
      </c>
      <c r="I4" s="1"/>
      <c r="J4" s="1"/>
      <c r="K4" s="1"/>
      <c r="L4" s="1"/>
      <c r="M4" s="1"/>
    </row>
    <row r="5" spans="1:13" ht="15">
      <c r="A5" s="3" t="s">
        <v>624</v>
      </c>
      <c r="B5" s="3" t="s">
        <v>969</v>
      </c>
      <c r="C5" s="3" t="s">
        <v>970</v>
      </c>
      <c r="D5" s="3" t="s">
        <v>971</v>
      </c>
      <c r="E5" s="3" t="s">
        <v>625</v>
      </c>
      <c r="F5" s="3" t="s">
        <v>626</v>
      </c>
      <c r="G5" s="3" t="s">
        <v>52</v>
      </c>
      <c r="H5" s="3" t="s">
        <v>972</v>
      </c>
      <c r="I5" s="1"/>
      <c r="J5" s="1"/>
      <c r="K5" s="1"/>
      <c r="L5" s="1"/>
      <c r="M5" s="1"/>
    </row>
    <row r="6" spans="1:13" ht="30">
      <c r="A6" s="3" t="s">
        <v>64</v>
      </c>
      <c r="B6" s="3" t="s">
        <v>969</v>
      </c>
      <c r="C6" s="3" t="s">
        <v>973</v>
      </c>
      <c r="D6" s="3" t="s">
        <v>974</v>
      </c>
      <c r="E6" s="3" t="s">
        <v>587</v>
      </c>
      <c r="F6" s="3" t="s">
        <v>588</v>
      </c>
      <c r="G6" s="3" t="s">
        <v>52</v>
      </c>
      <c r="H6" s="3" t="s">
        <v>975</v>
      </c>
      <c r="I6" s="1"/>
      <c r="J6" s="1"/>
      <c r="K6" s="1"/>
      <c r="L6" s="1"/>
      <c r="M6" s="1"/>
    </row>
    <row r="7" spans="1:13" ht="30">
      <c r="A7" s="3" t="s">
        <v>976</v>
      </c>
      <c r="B7" s="3" t="s">
        <v>969</v>
      </c>
      <c r="C7" s="3" t="s">
        <v>977</v>
      </c>
      <c r="D7" s="3" t="s">
        <v>978</v>
      </c>
      <c r="E7" s="3" t="s">
        <v>602</v>
      </c>
      <c r="F7" s="3" t="s">
        <v>603</v>
      </c>
      <c r="G7" s="3" t="s">
        <v>979</v>
      </c>
      <c r="H7" s="3" t="s">
        <v>980</v>
      </c>
      <c r="I7" s="1"/>
      <c r="J7" s="1"/>
      <c r="K7" s="1"/>
      <c r="L7" s="1"/>
      <c r="M7" s="1"/>
    </row>
    <row r="8" spans="1:13" ht="30">
      <c r="A8" s="3" t="s">
        <v>981</v>
      </c>
      <c r="B8" s="3" t="s">
        <v>982</v>
      </c>
      <c r="C8" s="3" t="s">
        <v>983</v>
      </c>
      <c r="D8" s="3" t="s">
        <v>984</v>
      </c>
      <c r="E8" s="3" t="s">
        <v>567</v>
      </c>
      <c r="F8" s="3" t="s">
        <v>568</v>
      </c>
      <c r="G8" s="3" t="s">
        <v>52</v>
      </c>
      <c r="H8" s="3" t="s">
        <v>985</v>
      </c>
      <c r="I8" s="1"/>
      <c r="J8" s="1"/>
      <c r="K8" s="1"/>
      <c r="L8" s="1"/>
      <c r="M8" s="1"/>
    </row>
    <row r="9" spans="1:13" ht="30">
      <c r="A9" s="3" t="s">
        <v>986</v>
      </c>
      <c r="B9" s="3" t="s">
        <v>982</v>
      </c>
      <c r="C9" s="3" t="s">
        <v>987</v>
      </c>
      <c r="D9" s="3" t="s">
        <v>988</v>
      </c>
      <c r="E9" s="3" t="s">
        <v>574</v>
      </c>
      <c r="F9" s="3" t="s">
        <v>989</v>
      </c>
      <c r="G9" s="3" t="s">
        <v>52</v>
      </c>
      <c r="H9" s="3" t="s">
        <v>990</v>
      </c>
      <c r="I9" s="1"/>
      <c r="J9" s="1"/>
      <c r="K9" s="1"/>
      <c r="L9" s="1"/>
      <c r="M9" s="1"/>
    </row>
    <row r="10" spans="1:13" ht="30">
      <c r="A10" s="3" t="s">
        <v>991</v>
      </c>
      <c r="B10" s="3" t="s">
        <v>982</v>
      </c>
      <c r="C10" s="3" t="s">
        <v>992</v>
      </c>
      <c r="D10" s="3" t="s">
        <v>993</v>
      </c>
      <c r="E10" s="3" t="s">
        <v>994</v>
      </c>
      <c r="F10" s="3" t="s">
        <v>995</v>
      </c>
      <c r="G10" s="3" t="s">
        <v>996</v>
      </c>
      <c r="H10" s="3" t="s">
        <v>997</v>
      </c>
      <c r="I10" s="1"/>
      <c r="J10" s="1"/>
      <c r="K10" s="1"/>
      <c r="L10" s="1"/>
      <c r="M10" s="1"/>
    </row>
    <row r="11" spans="1:13" ht="30">
      <c r="A11" s="3" t="s">
        <v>998</v>
      </c>
      <c r="B11" s="3" t="s">
        <v>999</v>
      </c>
      <c r="C11" s="3" t="s">
        <v>1000</v>
      </c>
      <c r="D11" s="3" t="s">
        <v>1001</v>
      </c>
      <c r="E11" s="3" t="s">
        <v>1002</v>
      </c>
      <c r="F11" s="3" t="s">
        <v>1003</v>
      </c>
      <c r="G11" s="3" t="s">
        <v>1004</v>
      </c>
      <c r="H11" s="3" t="s">
        <v>1005</v>
      </c>
      <c r="I11" s="1"/>
      <c r="J11" s="1"/>
      <c r="K11" s="1"/>
      <c r="L11" s="1"/>
      <c r="M11" s="1"/>
    </row>
    <row r="12" spans="1:13" ht="30">
      <c r="A12" s="3" t="s">
        <v>1006</v>
      </c>
      <c r="B12" s="3" t="s">
        <v>999</v>
      </c>
      <c r="C12" s="3" t="s">
        <v>1007</v>
      </c>
      <c r="D12" s="3" t="s">
        <v>1008</v>
      </c>
      <c r="E12" s="3" t="s">
        <v>1009</v>
      </c>
      <c r="F12" s="3" t="s">
        <v>1010</v>
      </c>
      <c r="G12" s="3" t="s">
        <v>1011</v>
      </c>
      <c r="H12" s="3" t="s">
        <v>1012</v>
      </c>
      <c r="I12" s="1"/>
      <c r="J12" s="1"/>
      <c r="K12" s="1"/>
      <c r="L12" s="1"/>
      <c r="M12" s="1"/>
    </row>
    <row r="13" spans="1:13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Read Me</vt:lpstr>
      <vt:lpstr>01 Competitor Baseline</vt:lpstr>
      <vt:lpstr>02 Results Design</vt:lpstr>
      <vt:lpstr>03 User Questions</vt:lpstr>
      <vt:lpstr>04 Calculation Model</vt:lpstr>
      <vt:lpstr>05 Benchmark Library</vt:lpstr>
      <vt:lpstr>06 Sample Scenario</vt:lpstr>
      <vt:lpstr>07 Web App Spec</vt:lpstr>
      <vt:lpstr>08 Validation Checklist</vt:lpstr>
      <vt:lpstr>09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Lydia Bailey</cp:lastModifiedBy>
  <dcterms:created xsi:type="dcterms:W3CDTF">2026-07-16T00:32:58Z</dcterms:created>
  <dcterms:modified xsi:type="dcterms:W3CDTF">2026-07-16T00:32:58Z</dcterms:modified>
</cp:coreProperties>
</file>