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ldbailey/Projects/jaspen-git/jaspen/"/>
    </mc:Choice>
  </mc:AlternateContent>
  <xr:revisionPtr revIDLastSave="0" documentId="8_{3EC262B5-BBCE-FB44-8273-B80F21BA4C74}" xr6:coauthVersionLast="47" xr6:coauthVersionMax="47" xr10:uidLastSave="{00000000-0000-0000-0000-000000000000}"/>
  <bookViews>
    <workbookView xWindow="0" yWindow="660" windowWidth="30240" windowHeight="18980" xr2:uid="{00000000-000D-0000-FFFF-FFFF00000000}"/>
  </bookViews>
  <sheets>
    <sheet name="00 Read Me" sheetId="1" r:id="rId1"/>
    <sheet name="01 Benchmark Library" sheetId="2" r:id="rId2"/>
    <sheet name="02 Results Design" sheetId="3" r:id="rId3"/>
    <sheet name="03 User Questions" sheetId="4" r:id="rId4"/>
    <sheet name="04 Calculation Model" sheetId="5" r:id="rId5"/>
    <sheet name="05 Assumption Library" sheetId="6" r:id="rId6"/>
    <sheet name="How We Built These Estimates" sheetId="7" r:id="rId7"/>
    <sheet name="06 Sample Scenario" sheetId="8" r:id="rId8"/>
    <sheet name="07 Web App Spec" sheetId="9" r:id="rId9"/>
    <sheet name="08 Validation Checklist" sheetId="10" r:id="rId10"/>
    <sheet name="09 Sources" sheetId="11" r:id="rId11"/>
    <sheet name="10 Refinement Note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8" l="1"/>
  <c r="G19" i="8"/>
  <c r="J10" i="8"/>
  <c r="G10" i="8"/>
  <c r="J9" i="8"/>
  <c r="G9" i="8"/>
  <c r="J8" i="8" s="1"/>
  <c r="G8" i="8"/>
  <c r="J7" i="8" s="1"/>
  <c r="G5" i="8"/>
  <c r="G6" i="8" s="1"/>
  <c r="G16" i="8" l="1"/>
  <c r="G7" i="8"/>
  <c r="G11" i="8" l="1"/>
  <c r="J6" i="8"/>
  <c r="G12" i="8" l="1"/>
  <c r="G13" i="8"/>
  <c r="G15" i="8"/>
  <c r="G17" i="8"/>
  <c r="G14" i="8"/>
  <c r="G18" i="8"/>
  <c r="C24" i="8" l="1"/>
  <c r="D24" i="8" s="1"/>
  <c r="C26" i="8"/>
  <c r="D26" i="8" s="1"/>
  <c r="C25" i="8"/>
  <c r="D25"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tc={D3EAFE13-A027-70F3-6CCF-C28DEB7E382D}</author>
    <author>tc={62042086-5DE5-B4F2-1439-ADF9BD477797}</author>
    <author>tc={5B3C11E0-09B1-2B45-0871-489F6A311B36}</author>
  </authors>
  <commentList>
    <comment ref="D7" authorId="0" shapeId="0" xr:uid="{00000000-0006-0000-0500-000001000000}">
      <text>
        <t>[Threaded comment]
Your version of Excel allows you to read this threaded comment; however, any edits to it will get removed if the file is opened in a newer version of Excel. Learn more: https://go.microsoft.com/fwlink/?linkid=870924
Comment:
    This is a planning range factor, not a statistical confidence interval.</t>
      </text>
    </comment>
    <comment ref="D15" authorId="1" shapeId="0" xr:uid="{00000000-0006-0000-0500-000002000000}">
      <text>
        <t>[Threaded comment]
Your version of Excel allows you to read this threaded comment; however, any edits to it will get removed if the file is opened in a newer version of Excel. Learn more: https://go.microsoft.com/fwlink/?linkid=870924
Comment:
    Illustrative demo default only. Published benchmarks must not silently replace the user's estimate.</t>
      </text>
    </comment>
    <comment ref="D16" authorId="2" shapeId="0" xr:uid="{00000000-0006-0000-0500-000003000000}">
      <text>
        <t>[Threaded comment]
Your version of Excel allows you to read this threaded comment; however, any edits to it will get removed if the file is opened in a newer version of Excel. Learn more: https://go.microsoft.com/fwlink/?linkid=870924
Comment:
    The avoidable share is a user judgment. The calculator does not claim all rework can be eliminated.</t>
      </text>
    </comment>
  </commentList>
</comments>
</file>

<file path=xl/sharedStrings.xml><?xml version="1.0" encoding="utf-8"?>
<sst xmlns="http://schemas.openxmlformats.org/spreadsheetml/2006/main" count="1710" uniqueCount="929">
  <si>
    <t>Jaspen Rework Cost Calculator — Methodology Workbook</t>
  </si>
  <si>
    <t>Version 1.0 • 2026-07-18 • Deterministic business utility for estimating the visible cost of redoing completed work</t>
  </si>
  <si>
    <t>Purpose and definition</t>
  </si>
  <si>
    <t>This workbook defines a transparent Rework Cost Calculator for Jaspen. Rework means labor or other resources spent correcting, revising, rebuilding, reprocessing, or repeating work that was previously considered complete or ready to advance. The calculator uses the organization's own inputs to estimate annual cost. External research is shown only as context because published rework rates vary sharply by industry, scope, and measurement boundary. The calculation is deterministic and does not use AI to invent inputs or outcomes.</t>
  </si>
  <si>
    <t>Workbook map</t>
  </si>
  <si>
    <t>Sheet</t>
  </si>
  <si>
    <t>Purpose</t>
  </si>
  <si>
    <t>Primary user</t>
  </si>
  <si>
    <t>01 Benchmark Library</t>
  </si>
  <si>
    <t>Research findings, definitions, applicability limits, and source quality.</t>
  </si>
  <si>
    <t>Research / reviewer</t>
  </si>
  <si>
    <t>02 Results Design</t>
  </si>
  <si>
    <t>Result hierarchy, copy, comparisons, disclosures, and calls to action.</t>
  </si>
  <si>
    <t>Marketing / design</t>
  </si>
  <si>
    <t>03 User Questions</t>
  </si>
  <si>
    <t>Required and optional inputs, defaults, validation, and help text.</t>
  </si>
  <si>
    <t>Product / engineering</t>
  </si>
  <si>
    <t>04 Calculation Model</t>
  </si>
  <si>
    <t>Auditable formulas, range logic, and interpretation rules.</t>
  </si>
  <si>
    <t>Engineering / finance</t>
  </si>
  <si>
    <t>05 Assumption Library</t>
  </si>
  <si>
    <t>Editable defaults and uncertainty factors referenced by formulas.</t>
  </si>
  <si>
    <t>Owner / finance</t>
  </si>
  <si>
    <t>How We Built These Estimates</t>
  </si>
  <si>
    <t>Plain-language methodology and limitations.</t>
  </si>
  <si>
    <t>Marketing / legal</t>
  </si>
  <si>
    <t>06 Sample Scenario</t>
  </si>
  <si>
    <t>Live editable model, recovery scenarios, composition, and sensitivity cases.</t>
  </si>
  <si>
    <t>Owner / QA</t>
  </si>
  <si>
    <t>07 Web App Spec</t>
  </si>
  <si>
    <t>Public-page behavior, SEO, analytics, privacy, and accessibility requirements.</t>
  </si>
  <si>
    <t>Engineering / design</t>
  </si>
  <si>
    <t>08 Validation Checklist</t>
  </si>
  <si>
    <t>Functional, content, benchmark, privacy, and launch tests.</t>
  </si>
  <si>
    <t>QA / owner</t>
  </si>
  <si>
    <t>09 Sources</t>
  </si>
  <si>
    <t>Plain-text URLs and exact limits on every source-backed claim.</t>
  </si>
  <si>
    <t>Reviewer</t>
  </si>
  <si>
    <t>10 Refinement Notes</t>
  </si>
  <si>
    <t>Open questions, measurement plan, and change log.</t>
  </si>
  <si>
    <t>Owner / project lead</t>
  </si>
  <si>
    <t>Core guardrail: do not label the result “money Jaspen will save.” The calculator estimates current rework cost from user inputs. Recovery scenarios show what different reductions would be worth if achieved; they are not predictions or guarantees.</t>
  </si>
  <si>
    <t>Benchmark Library</t>
  </si>
  <si>
    <t>Benchmarks provide context, not automatic answers. Differences in definitions and industries make a universal rework rate misleading.</t>
  </si>
  <si>
    <t>Published evidence</t>
  </si>
  <si>
    <t>ID</t>
  </si>
  <si>
    <t>Domain</t>
  </si>
  <si>
    <t>Measure</t>
  </si>
  <si>
    <t>Finding</t>
  </si>
  <si>
    <t>Population / scope</t>
  </si>
  <si>
    <t>Use in calculator</t>
  </si>
  <si>
    <t>Do not use for</t>
  </si>
  <si>
    <t>Authority</t>
  </si>
  <si>
    <t>Source</t>
  </si>
  <si>
    <t>Reviewed</t>
  </si>
  <si>
    <t>B001</t>
  </si>
  <si>
    <t>Cross-industry projects</t>
  </si>
  <si>
    <t>Wasted investment from poor project performance</t>
  </si>
  <si>
    <t>9.4% in PMI's 2021 report</t>
  </si>
  <si>
    <t>Global project professionals; includes missed deadlines, budget overruns, scope creep and other poor performance</t>
  </si>
  <si>
    <t>Context panel only</t>
  </si>
  <si>
    <t>Calling 9.4% a rework rate</t>
  </si>
  <si>
    <t>PMI research report</t>
  </si>
  <si>
    <t>https://www.pmi.org/-/media/pmi/documents/public/pdf/learning/thought-leadership/pulse/pmi_pulse_2021.pdf</t>
  </si>
  <si>
    <t>B002</t>
  </si>
  <si>
    <t>Project requirements</t>
  </si>
  <si>
    <t>Project/program dollars wasted due to poor requirements management</t>
  </si>
  <si>
    <t>5.1%, or $51M per $1B spent</t>
  </si>
  <si>
    <t>PMI requirements-management research</t>
  </si>
  <si>
    <t>Context for unclear requirements as a rework driver</t>
  </si>
  <si>
    <t>Applying 5.1% to every team or budget</t>
  </si>
  <si>
    <t>PMI research summary</t>
  </si>
  <si>
    <t>https://www.pmi.org/learning/library/requirements-management-survey-13449</t>
  </si>
  <si>
    <t>B003</t>
  </si>
  <si>
    <t>Construction</t>
  </si>
  <si>
    <t>Direct cost of rework as share of contract value</t>
  </si>
  <si>
    <t>2.4%–12.4% when change orders and quality issues are combined</t>
  </si>
  <si>
    <t>Review of construction rework research</t>
  </si>
  <si>
    <t>Industry-specific comparison when user selects Construction</t>
  </si>
  <si>
    <t>General knowledge-work default</t>
  </si>
  <si>
    <t>Peer-reviewed Engineering journal review</t>
  </si>
  <si>
    <t>https://www.sciencedirect.com/science/article/pii/S209580992200426X</t>
  </si>
  <si>
    <t>B004</t>
  </si>
  <si>
    <t>Measured precompletion and postcompletion rework</t>
  </si>
  <si>
    <t>0.38% precompletion average; 0.76% including postcompletion corrections</t>
  </si>
  <si>
    <t>Major contractor field data summarized by ASCE in 2026</t>
  </si>
  <si>
    <t>Show why measurement boundaries matter</t>
  </si>
  <si>
    <t>Overriding user data or older construction studies</t>
  </si>
  <si>
    <t>ASCE research summary</t>
  </si>
  <si>
    <t>https://www.asce.org/publications-and-news/civil-engineering-source/article/2026/01/22/how-much-does-field-rework-in-construction-actually-cost</t>
  </si>
  <si>
    <t>B005</t>
  </si>
  <si>
    <t>Software</t>
  </si>
  <si>
    <t>Effort attributed to rework</t>
  </si>
  <si>
    <t>30%–50% of total software-project effort in the cited source</t>
  </si>
  <si>
    <t>Older software/project requirements literature summarized in PMI library</t>
  </si>
  <si>
    <t>Optional software context with age warning</t>
  </si>
  <si>
    <t>A current universal software benchmark</t>
  </si>
  <si>
    <t>PMI professional-library article; underlying evidence is older</t>
  </si>
  <si>
    <t>https://www.pmi.org/learning/library/project-managers-business-analysts-requirements-6971</t>
  </si>
  <si>
    <t>B006</t>
  </si>
  <si>
    <t>Software economy</t>
  </si>
  <si>
    <t>Annual cost of inadequate testing infrastructure</t>
  </si>
  <si>
    <t>$59.5B estimated annual U.S. economic cost</t>
  </si>
  <si>
    <t>2002 NIST-commissioned study and later methodology summary</t>
  </si>
  <si>
    <t>Demonstrate that defect/rework costs can include more than labor</t>
  </si>
  <si>
    <t>Inflation-adjusted current company estimate</t>
  </si>
  <si>
    <t>NIST report</t>
  </si>
  <si>
    <t>https://www.nist.gov/document/report03-1pdf</t>
  </si>
  <si>
    <t>B007</t>
  </si>
  <si>
    <t>Manufacturing</t>
  </si>
  <si>
    <t>Components of maintenance-related cost</t>
  </si>
  <si>
    <t>Direct labor/materials, cascading damage, downtime, lost sales, and rework/defects are distinct cost categories</t>
  </si>
  <si>
    <t>NIST manufacturing-maintenance economic framework</t>
  </si>
  <si>
    <t>Supports separating direct labor from known non-labor and delay costs</t>
  </si>
  <si>
    <t>A default rework percentage</t>
  </si>
  <si>
    <t>https://nvlpubs.nist.gov/nistpubs/ams/NIST.AMS.100-18.pdf</t>
  </si>
  <si>
    <t>B008</t>
  </si>
  <si>
    <t>Cost estimating</t>
  </si>
  <si>
    <t>Reliable estimate practice</t>
  </si>
  <si>
    <t>Document assumptions, use ranges, update with actual data</t>
  </si>
  <si>
    <t>GAO Cost Estimating and Assessment Guide</t>
  </si>
  <si>
    <t>Supports input provenance, uncertainty ranges, and reproducibility</t>
  </si>
  <si>
    <t>A rework benchmark</t>
  </si>
  <si>
    <t>U.S. GAO guide</t>
  </si>
  <si>
    <t>https://www.gao.gov/assets/gao-20-195g.pdf</t>
  </si>
  <si>
    <t>Benchmark policy: use the organization's measured or estimated rework share as the calculation input. Benchmarks may help a user pressure-test that input, but the calculator must not silently replace it. Published findings can differ by more than an order of magnitude because some count only direct corrections while others include schedule, failure, or postcompletion consequences.</t>
  </si>
  <si>
    <t>Results Design</t>
  </si>
  <si>
    <t>The result should produce a specific, explainable dollar figure while keeping measured cost, assumptions, and possible recovery separate.</t>
  </si>
  <si>
    <t>Recommended result hierarchy</t>
  </si>
  <si>
    <t>Order</t>
  </si>
  <si>
    <t>Element</t>
  </si>
  <si>
    <t>Primary output</t>
  </si>
  <si>
    <t>Formula / source</t>
  </si>
  <si>
    <t>Public label</t>
  </si>
  <si>
    <t>Why it matters</t>
  </si>
  <si>
    <t>Comparison</t>
  </si>
  <si>
    <t>Disclosure</t>
  </si>
  <si>
    <t>CTA</t>
  </si>
  <si>
    <t>Avoid</t>
  </si>
  <si>
    <t>Annual rework cost</t>
  </si>
  <si>
    <t>Base gross rework cost</t>
  </si>
  <si>
    <t>Direct labor + coordination + known non-labor + delay/opportunity cost</t>
  </si>
  <si>
    <t>Your estimated annual rework cost</t>
  </si>
  <si>
    <t>Makes invisible work financially legible</t>
  </si>
  <si>
    <t>Low–high estimate range</t>
  </si>
  <si>
    <t>Based on the inputs and confidence selected</t>
  </si>
  <si>
    <t>Review the cost drivers</t>
  </si>
  <si>
    <t>Guaranteed loss</t>
  </si>
  <si>
    <t>Monthly cost</t>
  </si>
  <si>
    <t>Annual ÷ 12</t>
  </si>
  <si>
    <t>Calculated</t>
  </si>
  <si>
    <t>Approximately per month</t>
  </si>
  <si>
    <t>Creates an intuitive operating view</t>
  </si>
  <si>
    <t>None</t>
  </si>
  <si>
    <t>Same assumptions as annual estimate</t>
  </si>
  <si>
    <t>—</t>
  </si>
  <si>
    <t>Recurring invoice language</t>
  </si>
  <si>
    <t>Rework hours</t>
  </si>
  <si>
    <t>Team hours × rework share</t>
  </si>
  <si>
    <t>User inputs</t>
  </si>
  <si>
    <t>Hours spent redoing completed work</t>
  </si>
  <si>
    <t>Shows operational burden before dollars</t>
  </si>
  <si>
    <t>Equivalent FTE</t>
  </si>
  <si>
    <t>Does not imply every hour is avoidable</t>
  </si>
  <si>
    <t>Wasted employees</t>
  </si>
  <si>
    <t>Rework hours ÷ annual hours per FTE</t>
  </si>
  <si>
    <t>Equivalent full-time capacity absorbed by rework</t>
  </si>
  <si>
    <t>Translates hours into capacity</t>
  </si>
  <si>
    <t>Capacity equivalent, not a recommendation to reduce headcount</t>
  </si>
  <si>
    <t>Salary savings</t>
  </si>
  <si>
    <t>Cost composition</t>
  </si>
  <si>
    <t>Labor, coordination, non-labor, delay</t>
  </si>
  <si>
    <t>User inputs + formulas</t>
  </si>
  <si>
    <t>What the estimate includes</t>
  </si>
  <si>
    <t>Prevents a black-box total</t>
  </si>
  <si>
    <t>Percentage mix</t>
  </si>
  <si>
    <t>Known costs may be incomplete</t>
  </si>
  <si>
    <t>Accuracy score</t>
  </si>
  <si>
    <t>Addressable portion</t>
  </si>
  <si>
    <t>Gross cost × avoidable share</t>
  </si>
  <si>
    <t>User judgment</t>
  </si>
  <si>
    <t>Estimated addressable rework cost</t>
  </si>
  <si>
    <t>Separates inherent revisions from avoidable rework</t>
  </si>
  <si>
    <t>Low–high range</t>
  </si>
  <si>
    <t>Avoidable share is an assumption</t>
  </si>
  <si>
    <t>Explore recovery scenarios</t>
  </si>
  <si>
    <t>Fully recoverable</t>
  </si>
  <si>
    <t>Recovery scenarios</t>
  </si>
  <si>
    <t>Addressable cost × 10%, 25%, 50% reduction</t>
  </si>
  <si>
    <t>Scenario assumptions</t>
  </si>
  <si>
    <t>If rework were reduced by…</t>
  </si>
  <si>
    <t>Supports budget conversations without promising results</t>
  </si>
  <si>
    <t>Three scenarios</t>
  </si>
  <si>
    <t>Illustrative; not forecast savings</t>
  </si>
  <si>
    <t>Save / share calculation</t>
  </si>
  <si>
    <t>Your savings</t>
  </si>
  <si>
    <t>Benchmark context</t>
  </si>
  <si>
    <t>Selected industry evidence</t>
  </si>
  <si>
    <t>Research library</t>
  </si>
  <si>
    <t>How your estimate compares with published evidence</t>
  </si>
  <si>
    <t>Adds context without overriding inputs</t>
  </si>
  <si>
    <t>Industry-specific only</t>
  </si>
  <si>
    <t>Definitions and scopes differ</t>
  </si>
  <si>
    <t>View methodology</t>
  </si>
  <si>
    <t>Industry average if unsupported</t>
  </si>
  <si>
    <t>Confidence / range</t>
  </si>
  <si>
    <t>Base ± uncertainty factor</t>
  </si>
  <si>
    <t>Editable assumption library</t>
  </si>
  <si>
    <t>Estimated range</t>
  </si>
  <si>
    <t>Communicates input uncertainty</t>
  </si>
  <si>
    <t>Low, base, high</t>
  </si>
  <si>
    <t>Not a statistical confidence interval</t>
  </si>
  <si>
    <t>Refine your inputs</t>
  </si>
  <si>
    <t>95% confidence</t>
  </si>
  <si>
    <t>Approved summary copy</t>
  </si>
  <si>
    <t>Based on the information you entered, your team may be spending approximately [base] per year redoing work that had already been completed or was expected to move forward. The estimated range is [low] to [high]. Of the base estimate, approximately [addressable] is associated with work you identified as potentially avoidable. This is a planning estimate, not an audited loss or a prediction of savings.</t>
  </si>
  <si>
    <t>Required disclosure</t>
  </si>
  <si>
    <t>This estimate uses the inputs and assumptions shown. Published rework findings vary by industry and by what researchers count as rework. Recovery scenarios illustrate the value of reducing the addressable portion by a selected percentage; they do not predict or guarantee cost savings, productivity gains, or business outcomes.</t>
  </si>
  <si>
    <t>User Questions</t>
  </si>
  <si>
    <t>A short primary flow produces the core result; optional inputs add cost categories and improve precision.</t>
  </si>
  <si>
    <t>Inputs and validation</t>
  </si>
  <si>
    <t>Question / label</t>
  </si>
  <si>
    <t>Control</t>
  </si>
  <si>
    <t>Allowed values</t>
  </si>
  <si>
    <t>Default</t>
  </si>
  <si>
    <t>Required?</t>
  </si>
  <si>
    <t>Used in</t>
  </si>
  <si>
    <t>Help text</t>
  </si>
  <si>
    <t>Validation</t>
  </si>
  <si>
    <t>Provenance</t>
  </si>
  <si>
    <t>Q01</t>
  </si>
  <si>
    <t>Industry / work type</t>
  </si>
  <si>
    <t>Select</t>
  </si>
  <si>
    <t>Knowledge work; Software / technology; Construction; Manufacturing; Other</t>
  </si>
  <si>
    <t>Knowledge work</t>
  </si>
  <si>
    <t>Yes</t>
  </si>
  <si>
    <t>Choose the closest work type. This does not change your calculation.</t>
  </si>
  <si>
    <t>List only</t>
  </si>
  <si>
    <t>User input</t>
  </si>
  <si>
    <t>Q02</t>
  </si>
  <si>
    <t>People affected</t>
  </si>
  <si>
    <t>Number</t>
  </si>
  <si>
    <t>1–100,000</t>
  </si>
  <si>
    <t>Labor hours; per-person cost</t>
  </si>
  <si>
    <t>Count people whose completed work is regularly redone.</t>
  </si>
  <si>
    <t>Whole number &gt;0</t>
  </si>
  <si>
    <t>Q03</t>
  </si>
  <si>
    <t>Average paid hours per person per week</t>
  </si>
  <si>
    <t>1–100</t>
  </si>
  <si>
    <t>Annual labor hours</t>
  </si>
  <si>
    <t>Use typical paid hours, not only project hours, unless measuring a project team.</t>
  </si>
  <si>
    <t>Positive number</t>
  </si>
  <si>
    <t>Q04</t>
  </si>
  <si>
    <t>Working weeks per year</t>
  </si>
  <si>
    <t>1–52</t>
  </si>
  <si>
    <t>Exclude typical leave and shutdown periods if helpful.</t>
  </si>
  <si>
    <t>Whole number 1–52</t>
  </si>
  <si>
    <t>Editable default</t>
  </si>
  <si>
    <t>Q05</t>
  </si>
  <si>
    <t>Fully loaded hourly cost</t>
  </si>
  <si>
    <t>Currency</t>
  </si>
  <si>
    <t>$1–$10,000</t>
  </si>
  <si>
    <t>Direct labor cost</t>
  </si>
  <si>
    <t>Include wages, benefits, payroll taxes, and overhead if known.</t>
  </si>
  <si>
    <t>User input / planning default</t>
  </si>
  <si>
    <t>Q06</t>
  </si>
  <si>
    <t>Share of time spent redoing completed work</t>
  </si>
  <si>
    <t>Percent</t>
  </si>
  <si>
    <t>0%–100%</t>
  </si>
  <si>
    <t>Rework hours and labor cost</t>
  </si>
  <si>
    <t>Include correction, revision, rebuilding, repeated approval, and avoidable redo work.</t>
  </si>
  <si>
    <t>Q07</t>
  </si>
  <si>
    <t>Share of rework that may be avoidable</t>
  </si>
  <si>
    <t>Addressable cost</t>
  </si>
  <si>
    <t>Some iteration is necessary. Estimate only the portion that clearer context, requirements, decisions, or processes might reduce.</t>
  </si>
  <si>
    <t>Q08</t>
  </si>
  <si>
    <t>Manager coordination hours per week</t>
  </si>
  <si>
    <t>0–168</t>
  </si>
  <si>
    <t>Optional</t>
  </si>
  <si>
    <t>Coordination cost</t>
  </si>
  <si>
    <t>Time spent triaging, reviewing, explaining, reassigning, or escalating rework.</t>
  </si>
  <si>
    <t>0 or positive</t>
  </si>
  <si>
    <t>Q09</t>
  </si>
  <si>
    <t>Manager fully loaded hourly cost</t>
  </si>
  <si>
    <t>Conditional</t>
  </si>
  <si>
    <t>Used only when coordination hours are above zero.</t>
  </si>
  <si>
    <t>Positive if Q08 &gt;0</t>
  </si>
  <si>
    <t>Q10</t>
  </si>
  <si>
    <t>Annual material, vendor, or remake cost</t>
  </si>
  <si>
    <t>$0+</t>
  </si>
  <si>
    <t>Known non-labor cost</t>
  </si>
  <si>
    <t>Include discarded materials, outside services, refunds, credits, or repeat purchases attributable to rework.</t>
  </si>
  <si>
    <t>Q11</t>
  </si>
  <si>
    <t>Annual delay or opportunity cost</t>
  </si>
  <si>
    <t>Known consequence cost</t>
  </si>
  <si>
    <t>Enter only a documented or defensible amount; otherwise leave zero.</t>
  </si>
  <si>
    <t>Q12</t>
  </si>
  <si>
    <t>Annual project / operating budget</t>
  </si>
  <si>
    <t>Percent of budget</t>
  </si>
  <si>
    <t>Used only to contextualize the estimate.</t>
  </si>
  <si>
    <t>Q13</t>
  </si>
  <si>
    <t>Annual revenue</t>
  </si>
  <si>
    <t>Percent of revenue</t>
  </si>
  <si>
    <t>Q14</t>
  </si>
  <si>
    <t>How confident are you in these inputs?</t>
  </si>
  <si>
    <t>High; Medium; Low</t>
  </si>
  <si>
    <t>Medium</t>
  </si>
  <si>
    <t>Estimate range</t>
  </si>
  <si>
    <t>High uses a narrower planning range; Low uses a wider range.</t>
  </si>
  <si>
    <t>User judgment + assumption library</t>
  </si>
  <si>
    <t>Recommended flow: show Q01–Q07 first. Place Q08–Q13 under “Add costs you already know.” Ask Q14 last. Do not require revenue, budget, or delay cost, and do not infer them with AI.</t>
  </si>
  <si>
    <t>Calculation Model</t>
  </si>
  <si>
    <t>Every result traces to visible inputs. No benchmark is embedded as the user's rework rate.</t>
  </si>
  <si>
    <t>Formula map</t>
  </si>
  <si>
    <t>Metric</t>
  </si>
  <si>
    <t>Formula</t>
  </si>
  <si>
    <t>Inputs</t>
  </si>
  <si>
    <t>Unit</t>
  </si>
  <si>
    <t>Included in gross?</t>
  </si>
  <si>
    <t>Included in addressable?</t>
  </si>
  <si>
    <t>Interpretation</t>
  </si>
  <si>
    <t>Edge case</t>
  </si>
  <si>
    <t>M01</t>
  </si>
  <si>
    <t>Annual paid team hours</t>
  </si>
  <si>
    <t>People × hours/week × weeks/year</t>
  </si>
  <si>
    <t>Q02–Q04</t>
  </si>
  <si>
    <t>Hours</t>
  </si>
  <si>
    <t>No</t>
  </si>
  <si>
    <t>Annual capacity represented by affected people</t>
  </si>
  <si>
    <t>Any input = 0</t>
  </si>
  <si>
    <t>Require positive values</t>
  </si>
  <si>
    <t>M02</t>
  </si>
  <si>
    <t>Annual paid team hours × rework share</t>
  </si>
  <si>
    <t>M01, Q06</t>
  </si>
  <si>
    <t>Through labor cost</t>
  </si>
  <si>
    <t>Estimated time spent redoing completed work</t>
  </si>
  <si>
    <t>Rework share = 0</t>
  </si>
  <si>
    <t>Return zero clearly</t>
  </si>
  <si>
    <t>M03</t>
  </si>
  <si>
    <t>Direct rework labor cost</t>
  </si>
  <si>
    <t>Rework hours × fully loaded hourly cost</t>
  </si>
  <si>
    <t>M02, Q05</t>
  </si>
  <si>
    <t>$/year</t>
  </si>
  <si>
    <t>Yes × avoidable share</t>
  </si>
  <si>
    <t>Direct labor value absorbed by rework</t>
  </si>
  <si>
    <t>Hourly cost missing</t>
  </si>
  <si>
    <t>Block result</t>
  </si>
  <si>
    <t>M04</t>
  </si>
  <si>
    <t>Manager coordination cost</t>
  </si>
  <si>
    <t>Manager hours/week × weeks/year × manager hourly cost</t>
  </si>
  <si>
    <t>Q08, Q04, Q09</t>
  </si>
  <si>
    <t>Supervision and coordination associated with rework</t>
  </si>
  <si>
    <t>Hours = 0</t>
  </si>
  <si>
    <t>Return zero; manager rate optional</t>
  </si>
  <si>
    <t>M05</t>
  </si>
  <si>
    <t>Materials/vendor/remake cost</t>
  </si>
  <si>
    <t>Costs outside internal labor</t>
  </si>
  <si>
    <t>Unknown</t>
  </si>
  <si>
    <t>Allow zero</t>
  </si>
  <si>
    <t>M06</t>
  </si>
  <si>
    <t>Known delay/opportunity cost</t>
  </si>
  <si>
    <t>User-entered documented amount</t>
  </si>
  <si>
    <t>Consequences beyond direct redo effort</t>
  </si>
  <si>
    <t>Default zero; never infer</t>
  </si>
  <si>
    <t>M07</t>
  </si>
  <si>
    <t>Gross annual rework cost</t>
  </si>
  <si>
    <t>M03 + M04 + M05 + M06</t>
  </si>
  <si>
    <t>M03–M06</t>
  </si>
  <si>
    <t>Output</t>
  </si>
  <si>
    <t>Base planning estimate</t>
  </si>
  <si>
    <t>All costs zero</t>
  </si>
  <si>
    <t>Explain zero result</t>
  </si>
  <si>
    <t>M08</t>
  </si>
  <si>
    <t>Addressable annual cost</t>
  </si>
  <si>
    <t>Gross annual cost × avoidable share</t>
  </si>
  <si>
    <t>M07, Q07</t>
  </si>
  <si>
    <t>Portion user believes may be reduced</t>
  </si>
  <si>
    <t>Avoidable share = 100%</t>
  </si>
  <si>
    <t>Warn that not all rework is preventable</t>
  </si>
  <si>
    <t>M09</t>
  </si>
  <si>
    <t>Rework hours ÷ (hours/week × weeks/year)</t>
  </si>
  <si>
    <t>M02–Q04</t>
  </si>
  <si>
    <t>FTE</t>
  </si>
  <si>
    <t>Capacity equivalent; not headcount savings</t>
  </si>
  <si>
    <t>Hours denominator = 0</t>
  </si>
  <si>
    <t>Prevent zero denominator</t>
  </si>
  <si>
    <t>M10</t>
  </si>
  <si>
    <t>Low / high range</t>
  </si>
  <si>
    <t>Gross × (1 − factor); Gross × (1 + factor)</t>
  </si>
  <si>
    <t>M07, Q14, A001–A003</t>
  </si>
  <si>
    <t>Scaled likewise</t>
  </si>
  <si>
    <t>Planning range based on input confidence</t>
  </si>
  <si>
    <t>Low &gt; base</t>
  </si>
  <si>
    <t>Factors constrained to 0%–100%</t>
  </si>
  <si>
    <t>M11</t>
  </si>
  <si>
    <t>Recovery scenario</t>
  </si>
  <si>
    <t>Addressable annual cost × reduction scenario</t>
  </si>
  <si>
    <t>M08, A004–A006</t>
  </si>
  <si>
    <t>Scenario output</t>
  </si>
  <si>
    <t>Value associated with a hypothetical reduction</t>
  </si>
  <si>
    <t>May be mistaken for savings</t>
  </si>
  <si>
    <t>Always label illustrative</t>
  </si>
  <si>
    <t>M12</t>
  </si>
  <si>
    <t>Cost as % budget / revenue</t>
  </si>
  <si>
    <t>Gross ÷ optional denominator</t>
  </si>
  <si>
    <t>M07, Q12–Q13</t>
  </si>
  <si>
    <t>Context only</t>
  </si>
  <si>
    <t>Denominator = 0</t>
  </si>
  <si>
    <t>Display N/A</t>
  </si>
  <si>
    <t>Estimate composition</t>
  </si>
  <si>
    <t>Component</t>
  </si>
  <si>
    <t>Included when</t>
  </si>
  <si>
    <t>Why separate</t>
  </si>
  <si>
    <t>Public treatment</t>
  </si>
  <si>
    <t>Direct labor</t>
  </si>
  <si>
    <t>User inputs + arithmetic</t>
  </si>
  <si>
    <t>Always</t>
  </si>
  <si>
    <t>Core rework measure</t>
  </si>
  <si>
    <t>Show amount and share</t>
  </si>
  <si>
    <t>Manager coordination</t>
  </si>
  <si>
    <t>Optional user inputs</t>
  </si>
  <si>
    <t>Hours &gt; 0</t>
  </si>
  <si>
    <t>Often hidden from frontline rework estimates</t>
  </si>
  <si>
    <t>Materials / vendors</t>
  </si>
  <si>
    <t>Optional user-entered cost</t>
  </si>
  <si>
    <t>Amount &gt; 0</t>
  </si>
  <si>
    <t>Captures repeat external spend</t>
  </si>
  <si>
    <t>Delay / opportunity</t>
  </si>
  <si>
    <t>Optional documented cost</t>
  </si>
  <si>
    <t>Can dwarf direct labor but is easier to overstate</t>
  </si>
  <si>
    <t>Show separately and identify as user-entered</t>
  </si>
  <si>
    <t>Benchmarks</t>
  </si>
  <si>
    <t>Published research</t>
  </si>
  <si>
    <t>Definitions differ</t>
  </si>
  <si>
    <t>Never add to calculated total</t>
  </si>
  <si>
    <t>Assumption Library</t>
  </si>
  <si>
    <t>Yellow values are editable defaults or scenario settings. Changes flow into the live sample model.</t>
  </si>
  <si>
    <t>Default and range assumptions</t>
  </si>
  <si>
    <t>Category</t>
  </si>
  <si>
    <t>Assumption</t>
  </si>
  <si>
    <t>Value</t>
  </si>
  <si>
    <t>Public?</t>
  </si>
  <si>
    <t>Status</t>
  </si>
  <si>
    <t>Rationale</t>
  </si>
  <si>
    <t>Source / owner</t>
  </si>
  <si>
    <t>A001</t>
  </si>
  <si>
    <t>Uncertainty</t>
  </si>
  <si>
    <t>High-confidence range factor</t>
  </si>
  <si>
    <t>+/− %</t>
  </si>
  <si>
    <t>Methodology</t>
  </si>
  <si>
    <t>Planning assumption</t>
  </si>
  <si>
    <t>Narrow range when inputs are measured or documented</t>
  </si>
  <si>
    <t>Jaspen methodology assumption</t>
  </si>
  <si>
    <t>A002</t>
  </si>
  <si>
    <t>Medium-confidence range factor</t>
  </si>
  <si>
    <t>Default range acknowledges estimation uncertainty</t>
  </si>
  <si>
    <t>A003</t>
  </si>
  <si>
    <t>Low-confidence range factor</t>
  </si>
  <si>
    <t>Wider range for rough inputs</t>
  </si>
  <si>
    <t>A004</t>
  </si>
  <si>
    <t>Conservative reduction</t>
  </si>
  <si>
    <t>% of addressable cost</t>
  </si>
  <si>
    <t>Illustrative</t>
  </si>
  <si>
    <t>Small improvement scenario</t>
  </si>
  <si>
    <t>Jaspen scenario assumption</t>
  </si>
  <si>
    <t>A005</t>
  </si>
  <si>
    <t>Moderate reduction</t>
  </si>
  <si>
    <t>Middle scenario; not a prediction</t>
  </si>
  <si>
    <t>A006</t>
  </si>
  <si>
    <t>Substantial reduction</t>
  </si>
  <si>
    <t>Stretch scenario; not a prediction</t>
  </si>
  <si>
    <t>A007</t>
  </si>
  <si>
    <t>Default input</t>
  </si>
  <si>
    <t>Weeks</t>
  </si>
  <si>
    <t>Leaves room for holidays, leave, and shutdowns</t>
  </si>
  <si>
    <t>Jaspen planning default</t>
  </si>
  <si>
    <t>A008</t>
  </si>
  <si>
    <t>$/hour</t>
  </si>
  <si>
    <t>Placeholder until user provides a better estimate</t>
  </si>
  <si>
    <t>A009</t>
  </si>
  <si>
    <t>A010</t>
  </si>
  <si>
    <t>Rework share</t>
  </si>
  <si>
    <t>% of paid time</t>
  </si>
  <si>
    <t>Editable starting point; not benchmark</t>
  </si>
  <si>
    <t>Illustrative default for demo only; user must review</t>
  </si>
  <si>
    <t>Jaspen demo assumption</t>
  </si>
  <si>
    <t>A011</t>
  </si>
  <si>
    <t>Avoidable share</t>
  </si>
  <si>
    <t>% of rework</t>
  </si>
  <si>
    <t>Editable starting point</t>
  </si>
  <si>
    <t>Recognizes that some iteration is necessary</t>
  </si>
  <si>
    <t>Governance: benchmark findings belong in 01 Benchmark Library. Do not convert a published rate into a default input without confirming that the definition, industry, cost boundary, and population match the calculator use case.</t>
  </si>
  <si>
    <t>Plain-language methodology suitable for an expandable explanation beneath the calculator result.</t>
  </si>
  <si>
    <t>1. Start with the team's own work pattern</t>
  </si>
  <si>
    <t>We calculate the annual paid hours represented by the affected group using people, typical weekly hours, and working weeks. The percentage of time spent redoing completed work is then applied to those hours.</t>
  </si>
  <si>
    <t>2. Convert rework time into direct labor cost</t>
  </si>
  <si>
    <t>Rework hours are multiplied by a fully loaded hourly cost. Fully loaded cost can include wages, benefits, payroll taxes, and overhead. Users should replace the default with an organization-specific value when possible.</t>
  </si>
  <si>
    <t>3. Add only costs the user can defend</t>
  </si>
  <si>
    <t>Manager coordination, repeat materials or vendor expense, and delay or opportunity cost are optional. The calculator leaves unknown amounts at zero; it does not use AI or a benchmark to manufacture them.</t>
  </si>
  <si>
    <t>4. Keep total cost and addressable cost separate</t>
  </si>
  <si>
    <t>Some revision and iteration are necessary. The user estimates what portion might be avoidable. That percentage is applied to the gross estimate to create an addressable-cost estimate.</t>
  </si>
  <si>
    <t>5. Show uncertainty instead of false precision</t>
  </si>
  <si>
    <t>A high, medium, or low input-confidence selection applies an editable range around the base estimate. This is a planning range, not a statistical confidence interval.</t>
  </si>
  <si>
    <t>6. Use recovery scenarios carefully</t>
  </si>
  <si>
    <t>The calculator shows the dollar value associated with reducing the addressable portion by 10%, 25%, or 50%. These scenarios are illustrations—not forecasts, savings guarantees, or claims about Jaspen's impact.</t>
  </si>
  <si>
    <t>7. Use published research as context</t>
  </si>
  <si>
    <t>Rework definitions differ across construction, software, manufacturing, and general project research. Benchmarks can help users challenge their assumptions, but they are not added to the calculation and do not override user inputs.</t>
  </si>
  <si>
    <t>Sample Scenario — Live Rework Cost Calculator</t>
  </si>
  <si>
    <t>Edit yellow cells. Blue cells are formulas. Default case illustrates a 12-person knowledge-work team.</t>
  </si>
  <si>
    <t>Calculated results</t>
  </si>
  <si>
    <t>Amount</t>
  </si>
  <si>
    <t>Whole number</t>
  </si>
  <si>
    <t>Paid hours / person / week</t>
  </si>
  <si>
    <t>Working weeks / year</t>
  </si>
  <si>
    <t>Material / vendor cost</t>
  </si>
  <si>
    <t>Time spent on rework</t>
  </si>
  <si>
    <t>Delay / opportunity cost</t>
  </si>
  <si>
    <t>User-input share</t>
  </si>
  <si>
    <t>Potentially avoidable share</t>
  </si>
  <si>
    <t>Benchmark-derived share</t>
  </si>
  <si>
    <t>Manager coordination hours / week</t>
  </si>
  <si>
    <t>Estimated low</t>
  </si>
  <si>
    <t>Benchmarks provide context only; 100% of this estimate comes from user inputs and formulas.</t>
  </si>
  <si>
    <t>Manager hourly cost</t>
  </si>
  <si>
    <t>Estimated high</t>
  </si>
  <si>
    <t>Annual material / vendor cost</t>
  </si>
  <si>
    <t>Monthly rework cost</t>
  </si>
  <si>
    <t>Annual delay / opportunity cost</t>
  </si>
  <si>
    <t>Optional; documented only</t>
  </si>
  <si>
    <t>Cost per affected person</t>
  </si>
  <si>
    <t>Optional context</t>
  </si>
  <si>
    <t>Equivalent FTE capacity</t>
  </si>
  <si>
    <t>Input confidence</t>
  </si>
  <si>
    <t>High / Medium / Low</t>
  </si>
  <si>
    <t>Cost as % of budget</t>
  </si>
  <si>
    <t>Cost as % of revenue</t>
  </si>
  <si>
    <t>Range factor</t>
  </si>
  <si>
    <t>Recovery scenarios — illustrative, not guaranteed savings</t>
  </si>
  <si>
    <t>Scenario</t>
  </si>
  <si>
    <t>Reduction of addressable rework</t>
  </si>
  <si>
    <t>Annual value</t>
  </si>
  <si>
    <t>Monthly value</t>
  </si>
  <si>
    <t>Conservative</t>
  </si>
  <si>
    <t>Value associated with a small reduction</t>
  </si>
  <si>
    <t>Moderate</t>
  </si>
  <si>
    <t>Value associated with a meaningful reduction</t>
  </si>
  <si>
    <t>Substantial</t>
  </si>
  <si>
    <t>Stretch illustration; requires strong evidence before planning against it</t>
  </si>
  <si>
    <t>Sensitivity and boundary cases</t>
  </si>
  <si>
    <t>Case</t>
  </si>
  <si>
    <t>People</t>
  </si>
  <si>
    <t>Hours/wk</t>
  </si>
  <si>
    <t>Hourly cost</t>
  </si>
  <si>
    <t>Rework %</t>
  </si>
  <si>
    <t>Manager cost</t>
  </si>
  <si>
    <t>Other cost</t>
  </si>
  <si>
    <t>Expected gross</t>
  </si>
  <si>
    <t>Zero rework</t>
  </si>
  <si>
    <t>Valid zero result</t>
  </si>
  <si>
    <t>Labor only</t>
  </si>
  <si>
    <t>Core formula</t>
  </si>
  <si>
    <t>Default demo</t>
  </si>
  <si>
    <t>Current live scenario</t>
  </si>
  <si>
    <t>High rework</t>
  </si>
  <si>
    <t>Large but valid input</t>
  </si>
  <si>
    <t>One person</t>
  </si>
  <si>
    <t>Small-team boundary</t>
  </si>
  <si>
    <t>Web App Specification</t>
  </si>
  <si>
    <t>Public utility requirements for a trustworthy, SEO-friendly calculator that naturally leads users into Jaspen.</t>
  </si>
  <si>
    <t>Experience and implementation</t>
  </si>
  <si>
    <t>Area</t>
  </si>
  <si>
    <t>Requirement</t>
  </si>
  <si>
    <t>Content / behavior</t>
  </si>
  <si>
    <t>Mobile</t>
  </si>
  <si>
    <t>Accessibility</t>
  </si>
  <si>
    <t>Analytics</t>
  </si>
  <si>
    <t>Privacy</t>
  </si>
  <si>
    <t>SEO</t>
  </si>
  <si>
    <t>Acceptance criterion</t>
  </si>
  <si>
    <t>Owner note</t>
  </si>
  <si>
    <t>Route</t>
  </si>
  <si>
    <t>Create a dedicated calculator page and include it in Free Calculators hub.</t>
  </si>
  <si>
    <t>Suggested slug: /free-calculators/rework-cost-calculator</t>
  </si>
  <si>
    <t>Single-column flow</t>
  </si>
  <si>
    <t>One H1; landmarks</t>
  </si>
  <si>
    <t>calculator_page_viewed</t>
  </si>
  <si>
    <t>No personal data</t>
  </si>
  <si>
    <t>Target cost of rework, rework calculator, rework budget</t>
  </si>
  <si>
    <t>Canonical URL and metadata present</t>
  </si>
  <si>
    <t>Do not bury calculator behind signup</t>
  </si>
  <si>
    <t>Hero</t>
  </si>
  <si>
    <t>State the job clearly.</t>
  </si>
  <si>
    <t>Calculate what rework may be costing your team.</t>
  </si>
  <si>
    <t>Inputs begin near fold</t>
  </si>
  <si>
    <t>Heading hierarchy</t>
  </si>
  <si>
    <t>Avoid unsupported benchmark headline</t>
  </si>
  <si>
    <t>Value understood in five seconds</t>
  </si>
  <si>
    <t>Show Q01–Q07; expand optional costs.</t>
  </si>
  <si>
    <t>Deterministic fields with visible definitions</t>
  </si>
  <si>
    <t>Large controls</t>
  </si>
  <si>
    <t>Labels, descriptions, error links</t>
  </si>
  <si>
    <t>calculator_started</t>
  </si>
  <si>
    <t>Do not store unless needed</t>
  </si>
  <si>
    <t>Descriptive labels support long-tail queries</t>
  </si>
  <si>
    <t>Keyboard and screen-reader usable</t>
  </si>
  <si>
    <t>Result</t>
  </si>
  <si>
    <t>Show annual, range, monthly, hours, FTE, composition, addressable cost.</t>
  </si>
  <si>
    <t>Update after valid inputs; do not over-animate</t>
  </si>
  <si>
    <t>Result follows fields</t>
  </si>
  <si>
    <t>Announce summary politely</t>
  </si>
  <si>
    <t>calculator_completed</t>
  </si>
  <si>
    <t>No raw cost inputs in analytics</t>
  </si>
  <si>
    <t>Result text remains crawl-neutral; avoid indexing user values</t>
  </si>
  <si>
    <t>Matches workbook formulas</t>
  </si>
  <si>
    <t>Show relevant evidence separately.</t>
  </si>
  <si>
    <t>Explain definitions differ; link methodology</t>
  </si>
  <si>
    <t>Accordion</t>
  </si>
  <si>
    <t>Button state exposed</t>
  </si>
  <si>
    <t>benchmark_opened</t>
  </si>
  <si>
    <t>Supports trust and depth</t>
  </si>
  <si>
    <t>No benchmark changes the total</t>
  </si>
  <si>
    <t>Show 10%, 25%, 50% of addressable cost.</t>
  </si>
  <si>
    <t>Label illustrative</t>
  </si>
  <si>
    <t>Scrollable table avoided</t>
  </si>
  <si>
    <t>Headers associated</t>
  </si>
  <si>
    <t>recovery_scenario_viewed</t>
  </si>
  <si>
    <t>Never labeled guaranteed savings</t>
  </si>
  <si>
    <t>Primary CTA</t>
  </si>
  <si>
    <t>Invite user to explore how Jaspen preserves context and reveals tradeoffs.</t>
  </si>
  <si>
    <t>Suggested: See how clearer decisions reduce avoidable rework</t>
  </si>
  <si>
    <t>Full-width</t>
  </si>
  <si>
    <t>Descriptive name</t>
  </si>
  <si>
    <t>rework_cta_clicked</t>
  </si>
  <si>
    <t>No forced lead capture</t>
  </si>
  <si>
    <t>Internal link to relevant Jaspen page</t>
  </si>
  <si>
    <t>CTA does not claim causation</t>
  </si>
  <si>
    <t>Save / share</t>
  </si>
  <si>
    <t>Account signup may save calculation history later.</t>
  </si>
  <si>
    <t>Calculation works without account</t>
  </si>
  <si>
    <t>Optional after result</t>
  </si>
  <si>
    <t>Explain consequence</t>
  </si>
  <si>
    <t>save_calculation_clicked</t>
  </si>
  <si>
    <t>Obtain consent; secure account storage</t>
  </si>
  <si>
    <t>No public homepage file upload</t>
  </si>
  <si>
    <t>Future phase</t>
  </si>
  <si>
    <t>Disclaimer</t>
  </si>
  <si>
    <t>Display adjacent to result and recovery scenarios.</t>
  </si>
  <si>
    <t>Use approved language from 02 Results Design</t>
  </si>
  <si>
    <t>Always visible</t>
  </si>
  <si>
    <t>Not color-only</t>
  </si>
  <si>
    <t>No output appears without disclosure</t>
  </si>
  <si>
    <t>Performance</t>
  </si>
  <si>
    <t>Calculator loads quickly without AI request.</t>
  </si>
  <si>
    <t>Client or server arithmetic only</t>
  </si>
  <si>
    <t>No layout shift</t>
  </si>
  <si>
    <t>Works at 200% zoom</t>
  </si>
  <si>
    <t>calculator_error</t>
  </si>
  <si>
    <t>Core Web Vitals</t>
  </si>
  <si>
    <t>No AI dependency or hallucinated input</t>
  </si>
  <si>
    <t>Recommended event properties</t>
  </si>
  <si>
    <t>Event</t>
  </si>
  <si>
    <t>When</t>
  </si>
  <si>
    <t>Allowed properties</t>
  </si>
  <si>
    <t>Do not collect</t>
  </si>
  <si>
    <t>QA</t>
  </si>
  <si>
    <t>Page view</t>
  </si>
  <si>
    <t>referrer, device class</t>
  </si>
  <si>
    <t>Input values</t>
  </si>
  <si>
    <t>Traffic</t>
  </si>
  <si>
    <t>One per page view</t>
  </si>
  <si>
    <t>First input change</t>
  </si>
  <si>
    <t>industry</t>
  </si>
  <si>
    <t>Costs, revenue</t>
  </si>
  <si>
    <t>Funnel start</t>
  </si>
  <si>
    <t>One per session</t>
  </si>
  <si>
    <t>First valid result</t>
  </si>
  <si>
    <t>industry, people_band, rework_band, confidence, optional_cost_flags</t>
  </si>
  <si>
    <t>Exact dollar inputs or result</t>
  </si>
  <si>
    <t>Completion</t>
  </si>
  <si>
    <t>No keystroke duplicates</t>
  </si>
  <si>
    <t>Context opened</t>
  </si>
  <si>
    <t>industry, benchmark_id</t>
  </si>
  <si>
    <t>Trust engagement</t>
  </si>
  <si>
    <t>Correct evidence shown</t>
  </si>
  <si>
    <t>Scenario interaction</t>
  </si>
  <si>
    <t>scenario_percent</t>
  </si>
  <si>
    <t>Dollar value</t>
  </si>
  <si>
    <t>Scenario engagement</t>
  </si>
  <si>
    <t>Disclaimer visible</t>
  </si>
  <si>
    <t>industry, result_band</t>
  </si>
  <si>
    <t>Exact result</t>
  </si>
  <si>
    <t>Product interest</t>
  </si>
  <si>
    <t>Destination correct</t>
  </si>
  <si>
    <t>Validation error</t>
  </si>
  <si>
    <t>field_id, error_type</t>
  </si>
  <si>
    <t>Raw field value</t>
  </si>
  <si>
    <t>UX quality</t>
  </si>
  <si>
    <t>Rate limited</t>
  </si>
  <si>
    <t>Validation Checklist</t>
  </si>
  <si>
    <t>All Critical tests must pass before the Rework Cost Calculator is described as methodology-aligned.</t>
  </si>
  <si>
    <t>Launch tests</t>
  </si>
  <si>
    <t>Test</t>
  </si>
  <si>
    <t>Expected result</t>
  </si>
  <si>
    <t>Priority</t>
  </si>
  <si>
    <t>Owner</t>
  </si>
  <si>
    <t>Evidence</t>
  </si>
  <si>
    <t>Retest date</t>
  </si>
  <si>
    <t>Notes</t>
  </si>
  <si>
    <t>VAL-01</t>
  </si>
  <si>
    <t>Default scenario</t>
  </si>
  <si>
    <t>Gross = $145,488; addressable = $72,744; 0.96 equivalent FTE</t>
  </si>
  <si>
    <t>Critical</t>
  </si>
  <si>
    <t>Engineering</t>
  </si>
  <si>
    <t>Not run</t>
  </si>
  <si>
    <t>Uses 12 × 40 × 48 × 8% × $65 plus $13,680 manager and $12,000 materials</t>
  </si>
  <si>
    <t>VAL-02</t>
  </si>
  <si>
    <t>Zero rework and zero optional costs</t>
  </si>
  <si>
    <t>All cost and hours outputs = $0 / 0; no error</t>
  </si>
  <si>
    <t>VAL-03</t>
  </si>
  <si>
    <t>Labor-only case from sensitivity table</t>
  </si>
  <si>
    <t>Gross = $57,600</t>
  </si>
  <si>
    <t>VAL-04</t>
  </si>
  <si>
    <t>Range</t>
  </si>
  <si>
    <t>High / Medium / Low confidence</t>
  </si>
  <si>
    <t>Base ±10% / ±25% / ±40%</t>
  </si>
  <si>
    <t>High</t>
  </si>
  <si>
    <t>Label planning range, not statistical confidence</t>
  </si>
  <si>
    <t>VAL-05</t>
  </si>
  <si>
    <t>Recovery</t>
  </si>
  <si>
    <t>10%, 25%, 50% scenarios</t>
  </si>
  <si>
    <t>Each equals addressable cost × selected rate</t>
  </si>
  <si>
    <t>Never labeled forecast savings</t>
  </si>
  <si>
    <t>VAL-06</t>
  </si>
  <si>
    <t>Composition</t>
  </si>
  <si>
    <t>No optional costs</t>
  </si>
  <si>
    <t>Direct labor = 100% of estimate</t>
  </si>
  <si>
    <t>VAL-07</t>
  </si>
  <si>
    <t>Benchmark</t>
  </si>
  <si>
    <t>Change industry</t>
  </si>
  <si>
    <t>Relevant context changes; calculated total does not</t>
  </si>
  <si>
    <t>Product</t>
  </si>
  <si>
    <t>VAL-08</t>
  </si>
  <si>
    <t>Participants, hours, weeks, hourly cost at zero</t>
  </si>
  <si>
    <t>Required fields reject invalid input</t>
  </si>
  <si>
    <t>VAL-09</t>
  </si>
  <si>
    <t>Percent input outside 0%–100%</t>
  </si>
  <si>
    <t>Rejected with plain-language error</t>
  </si>
  <si>
    <t>VAL-10</t>
  </si>
  <si>
    <t>Any valid result</t>
  </si>
  <si>
    <t>Required disclosure visible beside result and scenarios</t>
  </si>
  <si>
    <t>Marketing/Legal</t>
  </si>
  <si>
    <t>VAL-11</t>
  </si>
  <si>
    <t>Copy</t>
  </si>
  <si>
    <t>Review all UI and metadata</t>
  </si>
  <si>
    <t>No guaranteed savings, ROI, prevented rework, or universal benchmark claims</t>
  </si>
  <si>
    <t>VAL-12</t>
  </si>
  <si>
    <t>Keyboard, screen reader, 200% zoom</t>
  </si>
  <si>
    <t>All controls labeled; errors linked; result announced; no clipping</t>
  </si>
  <si>
    <t>VAL-13</t>
  </si>
  <si>
    <t>Responsive</t>
  </si>
  <si>
    <t>320px, tablet, desktop</t>
  </si>
  <si>
    <t>No horizontal table overflow; optional section usable</t>
  </si>
  <si>
    <t>VAL-14</t>
  </si>
  <si>
    <t>Calculate without account</t>
  </si>
  <si>
    <t>No lead or account record created</t>
  </si>
  <si>
    <t>VAL-15</t>
  </si>
  <si>
    <t>Complete funnel</t>
  </si>
  <si>
    <t>Approved events fire once; no exact financial inputs/results collected</t>
  </si>
  <si>
    <t>VAL-16</t>
  </si>
  <si>
    <t>Inspect route</t>
  </si>
  <si>
    <t>Unique title, H1, description, canonical, internal link from hub</t>
  </si>
  <si>
    <t>Marketing</t>
  </si>
  <si>
    <t>VAL-17</t>
  </si>
  <si>
    <t>Compare production formulas to 04 Calculation Model</t>
  </si>
  <si>
    <t>Exact formula and assumption alignment</t>
  </si>
  <si>
    <t>VAL-18</t>
  </si>
  <si>
    <t>Sources</t>
  </si>
  <si>
    <t>Open every methodology source</t>
  </si>
  <si>
    <t>URL works and wording stays within supported claim</t>
  </si>
  <si>
    <t>Research</t>
  </si>
  <si>
    <t>Regression rule: any change to formulas, range factors, recovery rates, field defaults, benchmark copy, or disclaimer requires re-running VAL-01 through VAL-18.</t>
  </si>
  <si>
    <t>Sources and Claim Register</t>
  </si>
  <si>
    <t>Plain-text URLs are included for auditing. Each source is limited to the claim it directly supports.</t>
  </si>
  <si>
    <t>Source register</t>
  </si>
  <si>
    <t>Publisher</t>
  </si>
  <si>
    <t>Document / page</t>
  </si>
  <si>
    <t>Date</t>
  </si>
  <si>
    <t>URL</t>
  </si>
  <si>
    <t>Claim supported</t>
  </si>
  <si>
    <t>Limitation</t>
  </si>
  <si>
    <t>Quality</t>
  </si>
  <si>
    <t>S001</t>
  </si>
  <si>
    <t>Project Management Institute</t>
  </si>
  <si>
    <t>Pulse of the Profession 2021</t>
  </si>
  <si>
    <t>9.4% wasted investment due to poor project performance in the report</t>
  </si>
  <si>
    <t>Broader than rework; not a calculator default</t>
  </si>
  <si>
    <t>Primary professional association report</t>
  </si>
  <si>
    <t>S002</t>
  </si>
  <si>
    <t>Requirements Management?</t>
  </si>
  <si>
    <t>5.1% of project/program dollars wasted due to poor requirements management</t>
  </si>
  <si>
    <t>Not a universal rework rate</t>
  </si>
  <si>
    <t>Professional association research summary</t>
  </si>
  <si>
    <t>S003</t>
  </si>
  <si>
    <t>Love et al. / Engineering</t>
  </si>
  <si>
    <t>State of Science: Why Does Rework Occur in Construction?</t>
  </si>
  <si>
    <t>Construction literature reports direct rework costs of 2.4%–12.4% under specified definitions</t>
  </si>
  <si>
    <t>Construction only; measurement definitions vary</t>
  </si>
  <si>
    <t>Peer-reviewed review article</t>
  </si>
  <si>
    <t>S004</t>
  </si>
  <si>
    <t>American Society of Civil Engineers</t>
  </si>
  <si>
    <t>How much does field rework in construction actually cost?</t>
  </si>
  <si>
    <t>Research summary reports 0.38% precompletion and 0.76% including postcompletion corrections</t>
  </si>
  <si>
    <t>Contractor dataset; not generalizable to all work</t>
  </si>
  <si>
    <t>S005</t>
  </si>
  <si>
    <t>Symbiosis: project managers and business analysts</t>
  </si>
  <si>
    <t>Cites older findings that 30%–50% of software-project effort can be rework</t>
  </si>
  <si>
    <t>Older secondary citations; contextual only</t>
  </si>
  <si>
    <t>Professional library article</t>
  </si>
  <si>
    <t>S006</t>
  </si>
  <si>
    <t>National Institute of Standards and Technology</t>
  </si>
  <si>
    <t>Methods for Assessing Economic Impacts</t>
  </si>
  <si>
    <t>Summarizes $59.5B annual cost estimate for inadequate software testing infrastructure</t>
  </si>
  <si>
    <t>Old economy-wide estimate; do not apply to a company</t>
  </si>
  <si>
    <t>U.S. government report</t>
  </si>
  <si>
    <t>S007</t>
  </si>
  <si>
    <t>Costs and Benefits of Advanced Maintenance in Manufacturing</t>
  </si>
  <si>
    <t>Separates direct labor/material, downtime, lost sales and rework/defect cost categories</t>
  </si>
  <si>
    <t>Manufacturing maintenance context</t>
  </si>
  <si>
    <t>01, 04</t>
  </si>
  <si>
    <t>S008</t>
  </si>
  <si>
    <t>U.S. Government Accountability Office</t>
  </si>
  <si>
    <t>Cost Estimating and Assessment Guide</t>
  </si>
  <si>
    <t>Supports documenting assumptions, ranges, sources and reproducible estimates</t>
  </si>
  <si>
    <t>Not a rework benchmark</t>
  </si>
  <si>
    <t>U.S. government guide</t>
  </si>
  <si>
    <t>04, 05, methodology</t>
  </si>
  <si>
    <t>D001</t>
  </si>
  <si>
    <t>Jaspen</t>
  </si>
  <si>
    <t>Rework Cost Calculator product decision</t>
  </si>
  <si>
    <t>Inputs include team size, hours/week, estimated rework share, and external benchmark context; result should produce a useful dollar figure</t>
  </si>
  <si>
    <t>Internal product decision, not external evidence</t>
  </si>
  <si>
    <t>Owner decision</t>
  </si>
  <si>
    <t>All sheets</t>
  </si>
  <si>
    <t>Refinement Notes</t>
  </si>
  <si>
    <t>Open decisions and evidence plan for improving the calculator after launch without overstating certainty.</t>
  </si>
  <si>
    <t>Open work</t>
  </si>
  <si>
    <t>Question</t>
  </si>
  <si>
    <t>Current position</t>
  </si>
  <si>
    <t>Evidence needed</t>
  </si>
  <si>
    <t>Method</t>
  </si>
  <si>
    <t>Timing</t>
  </si>
  <si>
    <t>Decision date</t>
  </si>
  <si>
    <t>Approve the public definition of rework</t>
  </si>
  <si>
    <t>Redoing work previously considered complete or ready to advance</t>
  </si>
  <si>
    <t>User comprehension and legal/copy review</t>
  </si>
  <si>
    <t>Test definition with 5–8 business users across industries</t>
  </si>
  <si>
    <t>Product / Marketing</t>
  </si>
  <si>
    <t>Before launch</t>
  </si>
  <si>
    <t>Open</t>
  </si>
  <si>
    <t>Distinguish necessary iteration from avoidable rework</t>
  </si>
  <si>
    <t>Approve demo defaults</t>
  </si>
  <si>
    <t>12 people, 8% rework, 50% avoidable, $65/hour</t>
  </si>
  <si>
    <t>Evidence that users understand defaults as editable examples</t>
  </si>
  <si>
    <t>Usability test and monitor edits</t>
  </si>
  <si>
    <t>Owner / Product</t>
  </si>
  <si>
    <t>Avoid presenting 8% as industry average</t>
  </si>
  <si>
    <t>Validate uncertainty factors</t>
  </si>
  <si>
    <t>±10%, ±25%, ±40% planning ranges</t>
  </si>
  <si>
    <t>Comparison of estimates to observed records</t>
  </si>
  <si>
    <t>Pilot with teams that can measure actual rework hours/costs</t>
  </si>
  <si>
    <t>Research / Finance</t>
  </si>
  <si>
    <t>After first pilots</t>
  </si>
  <si>
    <t>Not statistical confidence intervals</t>
  </si>
  <si>
    <t>Decide which benchmark contexts ship</t>
  </si>
  <si>
    <t>Knowledge work has no universal benchmark</t>
  </si>
  <si>
    <t>Source quality and user relevance</t>
  </si>
  <si>
    <t>Editorial review by industry; remove weak/old sources if distracting</t>
  </si>
  <si>
    <t>Research / Marketing</t>
  </si>
  <si>
    <t>Fewer honest sources are better</t>
  </si>
  <si>
    <t>Measure actual rework consistently</t>
  </si>
  <si>
    <t>No account upload in public MVP</t>
  </si>
  <si>
    <t>Secure data model and consent flow</t>
  </si>
  <si>
    <t>Later authenticated measurement worksheet or import</t>
  </si>
  <si>
    <t>Product / Security</t>
  </si>
  <si>
    <t>Do not add public homepage upload</t>
  </si>
  <si>
    <t>Define Jaspen bridge copy</t>
  </si>
  <si>
    <t>Jaspen preserves context and reveals tradeoffs</t>
  </si>
  <si>
    <t>Evidence and non-causal wording</t>
  </si>
  <si>
    <t>Copy review; no promise Jaspen prevents rework</t>
  </si>
  <si>
    <t>Marketing / Legal</t>
  </si>
  <si>
    <t>Use ‘can help address drivers’ rather than ‘will save’</t>
  </si>
  <si>
    <t>Add calculation history</t>
  </si>
  <si>
    <t>Future account benefit</t>
  </si>
  <si>
    <t>User demand and secure storage design</t>
  </si>
  <si>
    <t>Track save-click demand before building</t>
  </si>
  <si>
    <t>Post-launch</t>
  </si>
  <si>
    <t>Calculator remains usable without signup</t>
  </si>
  <si>
    <t>Improve industry modules</t>
  </si>
  <si>
    <t>Generic inputs plus context</t>
  </si>
  <si>
    <t>Industry-specific cost components and terminology</t>
  </si>
  <si>
    <t>Interview construction, software, manufacturing, professional-service users</t>
  </si>
  <si>
    <t>After traffic</t>
  </si>
  <si>
    <t>May become separate calculator variants</t>
  </si>
  <si>
    <t>Validate SEO demand</t>
  </si>
  <si>
    <t>Target cost of rework / rework calculator / rework budget</t>
  </si>
  <si>
    <t>Search Console impressions and query mix</t>
  </si>
  <si>
    <t>Review after indexing</t>
  </si>
  <si>
    <t>30–60 days post-launch</t>
  </si>
  <si>
    <t>Collect outcome evidence</t>
  </si>
  <si>
    <t>No savings or ROI claims</t>
  </si>
  <si>
    <t>Longitudinal measured rework data and intervention records</t>
  </si>
  <si>
    <t>Consent-based studies with baseline and follow-up</t>
  </si>
  <si>
    <t>Later</t>
  </si>
  <si>
    <t>Do not retrofit testimonials into universal claims</t>
  </si>
  <si>
    <t>Change log</t>
  </si>
  <si>
    <t>Version</t>
  </si>
  <si>
    <t>Changed item</t>
  </si>
  <si>
    <t>Previous</t>
  </si>
  <si>
    <t>New</t>
  </si>
  <si>
    <t>Reason</t>
  </si>
  <si>
    <t>Approved by</t>
  </si>
  <si>
    <t>Implemented</t>
  </si>
  <si>
    <t>1.0</t>
  </si>
  <si>
    <t>Initial workbook</t>
  </si>
  <si>
    <t>Comprehensive deterministic methodology</t>
  </si>
  <si>
    <t>Correct the mistaken Enterprise workbook deliverable and define Rework Cost Calculator</t>
  </si>
  <si>
    <t>Prior Jaspen utility research plus cited sources</t>
  </si>
  <si>
    <t>Pending owner approval</t>
  </si>
  <si>
    <t>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</si>
</sst>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quot;$&quot;#,##0.00"/>
    <numFmt numFmtId="166" formatCode="&quot;$&quot;#,##0"/>
    <numFmt numFmtId="167" formatCode="0.0%"/>
    <numFmt numFmtId="168" formatCode="#,##0.0"/>
    <numFmt numFmtId="169" formatCode="#,##0.0\ &quot;hours&quot;"/>
    <numFmt numFmtId="170" formatCode="0.00\ &quot;FTE&quot;"/>
  </numFmts>
  <fonts count="7">
    <font>
      <sz val="11"/>
      <name val="Carlito"/>
    </font>
    <font>
      <b/>
      <sz val="18"/>
      <color rgb="FFFFFFFF"/>
      <name val="Carlito"/>
    </font>
    <font>
      <i/>
      <sz val="10"/>
      <color rgb="FF1D2A44"/>
      <name val="Carlito"/>
    </font>
    <font>
      <b/>
      <sz val="11"/>
      <color rgb="FFFFFFFF"/>
      <name val="Carlito"/>
    </font>
    <font>
      <b/>
      <sz val="11"/>
      <color rgb="FF1D2A44"/>
      <name val="Carlito"/>
    </font>
    <font>
      <i/>
      <sz val="11"/>
      <color rgb="FF1D2A44"/>
      <name val="Carlito"/>
    </font>
    <font>
      <b/>
      <sz val="11"/>
      <color rgb="FFA0036C"/>
      <name val="Carlito"/>
    </font>
  </fonts>
  <fills count="9">
    <fill>
      <patternFill patternType="none"/>
    </fill>
    <fill>
      <patternFill patternType="gray125"/>
    </fill>
    <fill>
      <patternFill patternType="solid">
        <fgColor rgb="FF161F3B"/>
      </patternFill>
    </fill>
    <fill>
      <patternFill patternType="solid">
        <fgColor rgb="FFEFF9FC"/>
      </patternFill>
    </fill>
    <fill>
      <patternFill patternType="solid">
        <fgColor rgb="FFA0036C"/>
      </patternFill>
    </fill>
    <fill>
      <patternFill patternType="solid">
        <fgColor rgb="FFE9B57B"/>
      </patternFill>
    </fill>
    <fill>
      <patternFill patternType="solid">
        <fgColor rgb="FFFFF3CD"/>
      </patternFill>
    </fill>
    <fill>
      <patternFill patternType="solid">
        <fgColor rgb="FFE7F4ED"/>
      </patternFill>
    </fill>
    <fill>
      <patternFill patternType="solid">
        <fgColor rgb="FFFBEAF4"/>
      </patternFill>
    </fill>
  </fills>
  <borders count="10">
    <border>
      <left/>
      <right/>
      <top/>
      <bottom/>
      <diagonal/>
    </border>
    <border>
      <left style="thin">
        <color rgb="FFD6DCE8"/>
      </left>
      <right/>
      <top style="thin">
        <color rgb="FFD6DCE8"/>
      </top>
      <bottom/>
      <diagonal/>
    </border>
    <border>
      <left/>
      <right/>
      <top style="thin">
        <color rgb="FFD6DCE8"/>
      </top>
      <bottom/>
      <diagonal/>
    </border>
    <border>
      <left/>
      <right style="thin">
        <color rgb="FFD6DCE8"/>
      </right>
      <top style="thin">
        <color rgb="FFD6DCE8"/>
      </top>
      <bottom/>
      <diagonal/>
    </border>
    <border>
      <left style="thin">
        <color rgb="FFD6DCE8"/>
      </left>
      <right/>
      <top/>
      <bottom/>
      <diagonal/>
    </border>
    <border>
      <left/>
      <right style="thin">
        <color rgb="FFD6DCE8"/>
      </right>
      <top/>
      <bottom/>
      <diagonal/>
    </border>
    <border>
      <left style="thin">
        <color rgb="FFD6DCE8"/>
      </left>
      <right/>
      <top/>
      <bottom style="thin">
        <color rgb="FFD6DCE8"/>
      </bottom>
      <diagonal/>
    </border>
    <border>
      <left/>
      <right/>
      <top/>
      <bottom style="thin">
        <color rgb="FFD6DCE8"/>
      </bottom>
      <diagonal/>
    </border>
    <border>
      <left/>
      <right style="thin">
        <color rgb="FFD6DCE8"/>
      </right>
      <top/>
      <bottom style="thin">
        <color rgb="FFD6DCE8"/>
      </bottom>
      <diagonal/>
    </border>
    <border>
      <left style="thin">
        <color rgb="FFD6DCE8"/>
      </left>
      <right style="thin">
        <color rgb="FFD6DCE8"/>
      </right>
      <top style="thin">
        <color rgb="FFD6DCE8"/>
      </top>
      <bottom style="thin">
        <color rgb="FFD6DCE8"/>
      </bottom>
      <diagonal/>
    </border>
  </borders>
  <cellStyleXfs count="1">
    <xf numFmtId="0" fontId="0" fillId="0" borderId="0"/>
  </cellStyleXfs>
  <cellXfs count="68">
    <xf numFmtId="0" fontId="0" fillId="0" borderId="0" xfId="0"/>
    <xf numFmtId="0" fontId="3" fillId="4" borderId="9" xfId="0" applyFont="1" applyFill="1" applyBorder="1" applyAlignment="1">
      <alignment vertical="center" wrapText="1"/>
    </xf>
    <xf numFmtId="0" fontId="0" fillId="0" borderId="9" xfId="0" applyBorder="1" applyAlignment="1">
      <alignment vertical="top" wrapText="1"/>
    </xf>
    <xf numFmtId="164" fontId="0" fillId="0" borderId="9" xfId="0" applyNumberFormat="1" applyBorder="1" applyAlignment="1">
      <alignment vertical="top" wrapText="1"/>
    </xf>
    <xf numFmtId="3" fontId="0" fillId="0" borderId="9" xfId="0" applyNumberFormat="1" applyBorder="1" applyAlignment="1">
      <alignment vertical="top" wrapText="1"/>
    </xf>
    <xf numFmtId="165" fontId="0" fillId="0" borderId="9" xfId="0" applyNumberFormat="1" applyBorder="1" applyAlignment="1">
      <alignment vertical="top" wrapText="1"/>
    </xf>
    <xf numFmtId="9" fontId="0" fillId="0" borderId="9" xfId="0" applyNumberFormat="1" applyBorder="1" applyAlignment="1">
      <alignment vertical="top" wrapText="1"/>
    </xf>
    <xf numFmtId="166" fontId="0" fillId="0" borderId="9" xfId="0" applyNumberFormat="1" applyBorder="1" applyAlignment="1">
      <alignment vertical="top" wrapText="1"/>
    </xf>
    <xf numFmtId="0" fontId="0" fillId="6" borderId="9" xfId="0" applyFill="1" applyBorder="1" applyAlignment="1">
      <alignment vertical="top" wrapText="1"/>
    </xf>
    <xf numFmtId="0" fontId="6" fillId="6" borderId="9" xfId="0" applyFont="1" applyFill="1" applyBorder="1" applyAlignment="1">
      <alignment vertical="top" wrapText="1"/>
    </xf>
    <xf numFmtId="9" fontId="6" fillId="6" borderId="9" xfId="0" applyNumberFormat="1" applyFont="1" applyFill="1" applyBorder="1" applyAlignment="1">
      <alignment vertical="top" wrapText="1"/>
    </xf>
    <xf numFmtId="3" fontId="6" fillId="6" borderId="9" xfId="0" applyNumberFormat="1" applyFont="1" applyFill="1" applyBorder="1" applyAlignment="1">
      <alignment vertical="top" wrapText="1"/>
    </xf>
    <xf numFmtId="165" fontId="6" fillId="6" borderId="9" xfId="0" applyNumberFormat="1" applyFont="1" applyFill="1" applyBorder="1" applyAlignment="1">
      <alignment vertical="top" wrapText="1"/>
    </xf>
    <xf numFmtId="167" fontId="6" fillId="6" borderId="9" xfId="0" applyNumberFormat="1" applyFont="1" applyFill="1" applyBorder="1" applyAlignment="1">
      <alignment vertical="top" wrapText="1"/>
    </xf>
    <xf numFmtId="168" fontId="6" fillId="6" borderId="9" xfId="0" applyNumberFormat="1" applyFont="1" applyFill="1" applyBorder="1" applyAlignment="1">
      <alignment vertical="top" wrapText="1"/>
    </xf>
    <xf numFmtId="166" fontId="6" fillId="6" borderId="9" xfId="0" applyNumberFormat="1" applyFont="1" applyFill="1" applyBorder="1" applyAlignment="1">
      <alignment vertical="top" wrapText="1"/>
    </xf>
    <xf numFmtId="169" fontId="0" fillId="3" borderId="9" xfId="0" applyNumberFormat="1" applyFill="1" applyBorder="1" applyAlignment="1">
      <alignment vertical="top" wrapText="1"/>
    </xf>
    <xf numFmtId="166" fontId="0" fillId="3" borderId="9" xfId="0" applyNumberFormat="1" applyFill="1" applyBorder="1" applyAlignment="1">
      <alignment vertical="top" wrapText="1"/>
    </xf>
    <xf numFmtId="166" fontId="6" fillId="3" borderId="9" xfId="0" applyNumberFormat="1" applyFont="1" applyFill="1" applyBorder="1" applyAlignment="1">
      <alignment vertical="top" wrapText="1"/>
    </xf>
    <xf numFmtId="170" fontId="6" fillId="3" borderId="9" xfId="0" applyNumberFormat="1" applyFont="1" applyFill="1" applyBorder="1" applyAlignment="1">
      <alignment vertical="top" wrapText="1"/>
    </xf>
    <xf numFmtId="167" fontId="0" fillId="3" borderId="9" xfId="0" applyNumberFormat="1" applyFill="1" applyBorder="1" applyAlignment="1">
      <alignment vertical="top" wrapText="1"/>
    </xf>
    <xf numFmtId="164" fontId="0" fillId="6" borderId="9" xfId="0" applyNumberFormat="1"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0" xfId="0" applyFont="1" applyFill="1" applyAlignment="1">
      <alignment vertical="center"/>
    </xf>
    <xf numFmtId="0" fontId="0" fillId="3" borderId="1" xfId="0" applyFill="1" applyBorder="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3" borderId="4" xfId="0" applyFill="1" applyBorder="1" applyAlignment="1">
      <alignment vertical="top" wrapText="1"/>
    </xf>
    <xf numFmtId="0" fontId="0" fillId="3" borderId="0" xfId="0" applyFill="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0" fillId="3" borderId="7" xfId="0" applyFill="1" applyBorder="1" applyAlignment="1">
      <alignment vertical="top" wrapText="1"/>
    </xf>
    <xf numFmtId="0" fontId="0" fillId="3" borderId="8" xfId="0" applyFill="1" applyBorder="1" applyAlignment="1">
      <alignment vertical="top" wrapText="1"/>
    </xf>
    <xf numFmtId="0" fontId="4" fillId="5" borderId="0" xfId="0" applyFont="1" applyFill="1" applyAlignment="1">
      <alignment vertical="center"/>
    </xf>
    <xf numFmtId="0" fontId="5" fillId="6" borderId="1" xfId="0" applyFont="1" applyFill="1" applyBorder="1" applyAlignment="1">
      <alignment vertical="center" wrapText="1"/>
    </xf>
    <xf numFmtId="0" fontId="5" fillId="6" borderId="2" xfId="0" applyFont="1" applyFill="1" applyBorder="1" applyAlignment="1">
      <alignment vertical="center" wrapText="1"/>
    </xf>
    <xf numFmtId="0" fontId="5" fillId="6" borderId="3" xfId="0" applyFont="1" applyFill="1" applyBorder="1" applyAlignment="1">
      <alignment vertical="center" wrapText="1"/>
    </xf>
    <xf numFmtId="0" fontId="5" fillId="6" borderId="4" xfId="0" applyFont="1" applyFill="1" applyBorder="1" applyAlignment="1">
      <alignment vertical="center" wrapText="1"/>
    </xf>
    <xf numFmtId="0" fontId="5" fillId="6" borderId="0" xfId="0" applyFont="1" applyFill="1" applyAlignment="1">
      <alignment vertical="center" wrapText="1"/>
    </xf>
    <xf numFmtId="0" fontId="5" fillId="6" borderId="5" xfId="0" applyFont="1" applyFill="1" applyBorder="1" applyAlignment="1">
      <alignment vertical="center" wrapText="1"/>
    </xf>
    <xf numFmtId="0" fontId="5" fillId="6" borderId="6"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7" borderId="1" xfId="0" applyFont="1" applyFill="1" applyBorder="1" applyAlignment="1">
      <alignment vertical="center" wrapText="1"/>
    </xf>
    <xf numFmtId="0" fontId="5" fillId="7" borderId="2" xfId="0" applyFont="1" applyFill="1" applyBorder="1" applyAlignment="1">
      <alignment vertical="center" wrapText="1"/>
    </xf>
    <xf numFmtId="0" fontId="5" fillId="7" borderId="3" xfId="0" applyFont="1" applyFill="1" applyBorder="1" applyAlignment="1">
      <alignment vertical="center" wrapText="1"/>
    </xf>
    <xf numFmtId="0" fontId="5" fillId="7" borderId="4" xfId="0" applyFont="1" applyFill="1" applyBorder="1" applyAlignment="1">
      <alignment vertical="center" wrapText="1"/>
    </xf>
    <xf numFmtId="0" fontId="5" fillId="7" borderId="0" xfId="0" applyFont="1" applyFill="1" applyAlignment="1">
      <alignment vertical="center" wrapText="1"/>
    </xf>
    <xf numFmtId="0" fontId="5" fillId="7" borderId="5" xfId="0" applyFont="1" applyFill="1" applyBorder="1" applyAlignment="1">
      <alignment vertical="center" wrapText="1"/>
    </xf>
    <xf numFmtId="0" fontId="5" fillId="7" borderId="6" xfId="0" applyFont="1" applyFill="1" applyBorder="1" applyAlignment="1">
      <alignment vertical="center" wrapText="1"/>
    </xf>
    <xf numFmtId="0" fontId="5" fillId="7" borderId="7" xfId="0" applyFont="1" applyFill="1" applyBorder="1" applyAlignment="1">
      <alignment vertical="center" wrapText="1"/>
    </xf>
    <xf numFmtId="0" fontId="5" fillId="7" borderId="8" xfId="0" applyFont="1" applyFill="1" applyBorder="1" applyAlignment="1">
      <alignment vertical="center" wrapText="1"/>
    </xf>
    <xf numFmtId="0" fontId="5" fillId="8" borderId="1" xfId="0" applyFont="1" applyFill="1" applyBorder="1" applyAlignment="1">
      <alignment vertical="center" wrapText="1"/>
    </xf>
    <xf numFmtId="0" fontId="5" fillId="8" borderId="2" xfId="0" applyFont="1" applyFill="1" applyBorder="1" applyAlignment="1">
      <alignment vertical="center" wrapText="1"/>
    </xf>
    <xf numFmtId="0" fontId="5" fillId="8" borderId="3" xfId="0" applyFont="1" applyFill="1" applyBorder="1" applyAlignment="1">
      <alignment vertical="center" wrapText="1"/>
    </xf>
    <xf numFmtId="0" fontId="5" fillId="8" borderId="4" xfId="0" applyFont="1" applyFill="1" applyBorder="1" applyAlignment="1">
      <alignment vertical="center" wrapText="1"/>
    </xf>
    <xf numFmtId="0" fontId="5" fillId="8" borderId="0" xfId="0" applyFont="1" applyFill="1" applyAlignment="1">
      <alignment vertical="center" wrapText="1"/>
    </xf>
    <xf numFmtId="0" fontId="5" fillId="8" borderId="5" xfId="0" applyFont="1" applyFill="1" applyBorder="1" applyAlignment="1">
      <alignment vertical="center" wrapText="1"/>
    </xf>
    <xf numFmtId="0" fontId="5" fillId="8" borderId="6" xfId="0" applyFont="1" applyFill="1" applyBorder="1" applyAlignment="1">
      <alignment vertical="center" wrapText="1"/>
    </xf>
    <xf numFmtId="0" fontId="5" fillId="8" borderId="7" xfId="0" applyFont="1" applyFill="1" applyBorder="1" applyAlignment="1">
      <alignment vertical="center" wrapText="1"/>
    </xf>
    <xf numFmtId="0" fontId="5" fillId="8" borderId="8" xfId="0" applyFont="1" applyFill="1" applyBorder="1" applyAlignment="1">
      <alignment vertical="center"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1041400</xdr:colOff>
      <xdr:row>25</xdr:row>
      <xdr:rowOff>25400</xdr:rowOff>
    </xdr:to>
    <xdr:sp macro="" textlink="">
      <xdr:nvSpPr>
        <xdr:cNvPr id="1028" name="Text Box 4" hidden="1">
          <a:extLst>
            <a:ext uri="{FF2B5EF4-FFF2-40B4-BE49-F238E27FC236}">
              <a16:creationId xmlns:a16="http://schemas.microsoft.com/office/drawing/2014/main" id="{C7AA0A91-1E24-7C51-81EB-C46D305C5FBC}"/>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Lydia Bailey" id="{B75FBDCD-822D-4840-AAAC-2105EF346CFB}" userId="" providerI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6-07-18T01:15:14.27" personId="{B75FBDCD-822D-4840-AAAC-2105EF346CFB}" id="{D3EAFE13-A027-70F3-6CCF-C28DEB7E382D}">
    <text>This is a planning range factor, not a statistical confidence interval.</text>
  </threadedComment>
  <threadedComment ref="D15" dT="2026-07-18T01:12:50.04" personId="{B75FBDCD-822D-4840-AAAC-2105EF346CFB}" id="{62042086-5DE5-B4F2-1439-ADF9BD477797}">
    <text>Illustrative demo default only. Published benchmarks must not silently replace the user's estimate.</text>
  </threadedComment>
  <threadedComment ref="D16" dT="2026-07-18T01:12:50.04" personId="{B75FBDCD-822D-4840-AAAC-2105EF346CFB}" id="{5B3C11E0-09B1-2B45-0871-489F6A311B36}">
    <text>The avoidable share is a user judgment. The calculator does not claim all rework can be eliminated.</text>
  </threadedComment>
</ThreadedComment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showGridLines="0" tabSelected="1" workbookViewId="0">
      <selection sqref="A1:J1"/>
    </sheetView>
  </sheetViews>
  <sheetFormatPr baseColWidth="10" defaultColWidth="8.83203125" defaultRowHeight="14"/>
  <cols>
    <col min="1" max="1" width="29" customWidth="1"/>
    <col min="2" max="2" width="72" customWidth="1"/>
    <col min="3" max="3" width="25" customWidth="1"/>
    <col min="4" max="10" width="12" customWidth="1"/>
  </cols>
  <sheetData>
    <row r="1" spans="1:10" ht="31" customHeight="1">
      <c r="A1" s="22" t="s">
        <v>0</v>
      </c>
      <c r="B1" s="22"/>
      <c r="C1" s="22"/>
      <c r="D1" s="22"/>
      <c r="E1" s="22"/>
      <c r="F1" s="22"/>
      <c r="G1" s="22"/>
      <c r="H1" s="22"/>
      <c r="I1" s="22"/>
      <c r="J1" s="22"/>
    </row>
    <row r="2" spans="1:10" ht="30" customHeight="1">
      <c r="A2" s="23" t="s">
        <v>1</v>
      </c>
      <c r="B2" s="23"/>
      <c r="C2" s="23"/>
      <c r="D2" s="23"/>
      <c r="E2" s="23"/>
      <c r="F2" s="23"/>
      <c r="G2" s="23"/>
      <c r="H2" s="23"/>
      <c r="I2" s="23"/>
      <c r="J2" s="23"/>
    </row>
    <row r="4" spans="1:10" ht="23" customHeight="1">
      <c r="A4" s="24" t="s">
        <v>2</v>
      </c>
      <c r="B4" s="24" t="s">
        <v>2</v>
      </c>
      <c r="C4" s="24" t="s">
        <v>2</v>
      </c>
      <c r="D4" s="24" t="s">
        <v>2</v>
      </c>
      <c r="E4" s="24" t="s">
        <v>2</v>
      </c>
      <c r="F4" s="24" t="s">
        <v>2</v>
      </c>
      <c r="G4" s="24" t="s">
        <v>2</v>
      </c>
      <c r="H4" s="24" t="s">
        <v>2</v>
      </c>
      <c r="I4" s="24" t="s">
        <v>2</v>
      </c>
      <c r="J4" s="24" t="s">
        <v>2</v>
      </c>
    </row>
    <row r="5" spans="1:10">
      <c r="A5" s="25" t="s">
        <v>3</v>
      </c>
      <c r="B5" s="26"/>
      <c r="C5" s="26"/>
      <c r="D5" s="26"/>
      <c r="E5" s="26"/>
      <c r="F5" s="26"/>
      <c r="G5" s="26"/>
      <c r="H5" s="26"/>
      <c r="I5" s="26"/>
      <c r="J5" s="27"/>
    </row>
    <row r="6" spans="1:10">
      <c r="A6" s="28"/>
      <c r="B6" s="29"/>
      <c r="C6" s="29"/>
      <c r="D6" s="29"/>
      <c r="E6" s="29"/>
      <c r="F6" s="29"/>
      <c r="G6" s="29"/>
      <c r="H6" s="29"/>
      <c r="I6" s="29"/>
      <c r="J6" s="30"/>
    </row>
    <row r="7" spans="1:10">
      <c r="A7" s="28"/>
      <c r="B7" s="29"/>
      <c r="C7" s="29"/>
      <c r="D7" s="29"/>
      <c r="E7" s="29"/>
      <c r="F7" s="29"/>
      <c r="G7" s="29"/>
      <c r="H7" s="29"/>
      <c r="I7" s="29"/>
      <c r="J7" s="30"/>
    </row>
    <row r="8" spans="1:10">
      <c r="A8" s="31"/>
      <c r="B8" s="32"/>
      <c r="C8" s="32"/>
      <c r="D8" s="32"/>
      <c r="E8" s="32"/>
      <c r="F8" s="32"/>
      <c r="G8" s="32"/>
      <c r="H8" s="32"/>
      <c r="I8" s="32"/>
      <c r="J8" s="33"/>
    </row>
    <row r="10" spans="1:10" ht="23" customHeight="1">
      <c r="A10" s="34" t="s">
        <v>4</v>
      </c>
      <c r="B10" s="34" t="s">
        <v>4</v>
      </c>
      <c r="C10" s="34" t="s">
        <v>4</v>
      </c>
      <c r="D10" s="34" t="s">
        <v>4</v>
      </c>
      <c r="E10" s="34" t="s">
        <v>4</v>
      </c>
      <c r="F10" s="34" t="s">
        <v>4</v>
      </c>
      <c r="G10" s="34" t="s">
        <v>4</v>
      </c>
      <c r="H10" s="34" t="s">
        <v>4</v>
      </c>
      <c r="I10" s="34" t="s">
        <v>4</v>
      </c>
      <c r="J10" s="34" t="s">
        <v>4</v>
      </c>
    </row>
    <row r="11" spans="1:10" ht="30" customHeight="1">
      <c r="A11" s="1" t="s">
        <v>5</v>
      </c>
      <c r="B11" s="1" t="s">
        <v>6</v>
      </c>
      <c r="C11" s="1" t="s">
        <v>7</v>
      </c>
    </row>
    <row r="12" spans="1:10" ht="15">
      <c r="A12" s="2" t="s">
        <v>8</v>
      </c>
      <c r="B12" s="2" t="s">
        <v>9</v>
      </c>
      <c r="C12" s="2" t="s">
        <v>10</v>
      </c>
    </row>
    <row r="13" spans="1:10" ht="15">
      <c r="A13" s="2" t="s">
        <v>11</v>
      </c>
      <c r="B13" s="2" t="s">
        <v>12</v>
      </c>
      <c r="C13" s="2" t="s">
        <v>13</v>
      </c>
    </row>
    <row r="14" spans="1:10" ht="15">
      <c r="A14" s="2" t="s">
        <v>14</v>
      </c>
      <c r="B14" s="2" t="s">
        <v>15</v>
      </c>
      <c r="C14" s="2" t="s">
        <v>16</v>
      </c>
    </row>
    <row r="15" spans="1:10" ht="15">
      <c r="A15" s="2" t="s">
        <v>17</v>
      </c>
      <c r="B15" s="2" t="s">
        <v>18</v>
      </c>
      <c r="C15" s="2" t="s">
        <v>19</v>
      </c>
    </row>
    <row r="16" spans="1:10" ht="15">
      <c r="A16" s="2" t="s">
        <v>20</v>
      </c>
      <c r="B16" s="2" t="s">
        <v>21</v>
      </c>
      <c r="C16" s="2" t="s">
        <v>22</v>
      </c>
    </row>
    <row r="17" spans="1:10" ht="15">
      <c r="A17" s="2" t="s">
        <v>23</v>
      </c>
      <c r="B17" s="2" t="s">
        <v>24</v>
      </c>
      <c r="C17" s="2" t="s">
        <v>25</v>
      </c>
    </row>
    <row r="18" spans="1:10" ht="15">
      <c r="A18" s="2" t="s">
        <v>26</v>
      </c>
      <c r="B18" s="2" t="s">
        <v>27</v>
      </c>
      <c r="C18" s="2" t="s">
        <v>28</v>
      </c>
    </row>
    <row r="19" spans="1:10" ht="15">
      <c r="A19" s="2" t="s">
        <v>29</v>
      </c>
      <c r="B19" s="2" t="s">
        <v>30</v>
      </c>
      <c r="C19" s="2" t="s">
        <v>31</v>
      </c>
    </row>
    <row r="20" spans="1:10" ht="15">
      <c r="A20" s="2" t="s">
        <v>32</v>
      </c>
      <c r="B20" s="2" t="s">
        <v>33</v>
      </c>
      <c r="C20" s="2" t="s">
        <v>34</v>
      </c>
    </row>
    <row r="21" spans="1:10" ht="15">
      <c r="A21" s="2" t="s">
        <v>35</v>
      </c>
      <c r="B21" s="2" t="s">
        <v>36</v>
      </c>
      <c r="C21" s="2" t="s">
        <v>37</v>
      </c>
    </row>
    <row r="22" spans="1:10" ht="15">
      <c r="A22" s="2" t="s">
        <v>38</v>
      </c>
      <c r="B22" s="2" t="s">
        <v>39</v>
      </c>
      <c r="C22" s="2" t="s">
        <v>40</v>
      </c>
    </row>
    <row r="24" spans="1:10" ht="42" customHeight="1">
      <c r="A24" s="35" t="s">
        <v>41</v>
      </c>
      <c r="B24" s="36" t="s">
        <v>41</v>
      </c>
      <c r="C24" s="36" t="s">
        <v>41</v>
      </c>
      <c r="D24" s="36" t="s">
        <v>41</v>
      </c>
      <c r="E24" s="36" t="s">
        <v>41</v>
      </c>
      <c r="F24" s="36" t="s">
        <v>41</v>
      </c>
      <c r="G24" s="36" t="s">
        <v>41</v>
      </c>
      <c r="H24" s="36" t="s">
        <v>41</v>
      </c>
      <c r="I24" s="36" t="s">
        <v>41</v>
      </c>
      <c r="J24" s="37" t="s">
        <v>41</v>
      </c>
    </row>
    <row r="25" spans="1:10" ht="42" customHeight="1">
      <c r="A25" s="38" t="s">
        <v>41</v>
      </c>
      <c r="B25" s="39" t="s">
        <v>41</v>
      </c>
      <c r="C25" s="39" t="s">
        <v>41</v>
      </c>
      <c r="D25" s="39" t="s">
        <v>41</v>
      </c>
      <c r="E25" s="39" t="s">
        <v>41</v>
      </c>
      <c r="F25" s="39" t="s">
        <v>41</v>
      </c>
      <c r="G25" s="39" t="s">
        <v>41</v>
      </c>
      <c r="H25" s="39" t="s">
        <v>41</v>
      </c>
      <c r="I25" s="39" t="s">
        <v>41</v>
      </c>
      <c r="J25" s="40" t="s">
        <v>41</v>
      </c>
    </row>
    <row r="26" spans="1:10" ht="42" customHeight="1">
      <c r="A26" s="41" t="s">
        <v>41</v>
      </c>
      <c r="B26" s="42" t="s">
        <v>41</v>
      </c>
      <c r="C26" s="42" t="s">
        <v>41</v>
      </c>
      <c r="D26" s="42" t="s">
        <v>41</v>
      </c>
      <c r="E26" s="42" t="s">
        <v>41</v>
      </c>
      <c r="F26" s="42" t="s">
        <v>41</v>
      </c>
      <c r="G26" s="42" t="s">
        <v>41</v>
      </c>
      <c r="H26" s="42" t="s">
        <v>41</v>
      </c>
      <c r="I26" s="42" t="s">
        <v>41</v>
      </c>
      <c r="J26" s="43" t="s">
        <v>41</v>
      </c>
    </row>
  </sheetData>
  <mergeCells count="6">
    <mergeCell ref="A24:J26"/>
    <mergeCell ref="A1:J1"/>
    <mergeCell ref="A2:J2"/>
    <mergeCell ref="A4:J4"/>
    <mergeCell ref="A5:J8"/>
    <mergeCell ref="A10:J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showGridLines="0" workbookViewId="0"/>
  </sheetViews>
  <sheetFormatPr baseColWidth="10" defaultColWidth="8.83203125" defaultRowHeight="14"/>
  <cols>
    <col min="1" max="1" width="10" customWidth="1"/>
    <col min="2" max="2" width="19" customWidth="1"/>
    <col min="3" max="3" width="30" customWidth="1"/>
    <col min="4" max="4" width="34" customWidth="1"/>
    <col min="5" max="5" width="38" customWidth="1"/>
    <col min="6" max="7" width="39" customWidth="1"/>
    <col min="8" max="8" width="33" customWidth="1"/>
    <col min="9" max="9" width="55" customWidth="1"/>
    <col min="10" max="10" width="14" customWidth="1"/>
  </cols>
  <sheetData>
    <row r="1" spans="1:10" ht="31" customHeight="1">
      <c r="A1" s="22" t="s">
        <v>42</v>
      </c>
      <c r="B1" s="22"/>
      <c r="C1" s="22"/>
      <c r="D1" s="22"/>
      <c r="E1" s="22"/>
      <c r="F1" s="22"/>
      <c r="G1" s="22"/>
      <c r="H1" s="22"/>
      <c r="I1" s="22"/>
      <c r="J1" s="22"/>
    </row>
    <row r="2" spans="1:10" ht="30" customHeight="1">
      <c r="A2" s="23" t="s">
        <v>43</v>
      </c>
      <c r="B2" s="23"/>
      <c r="C2" s="23"/>
      <c r="D2" s="23"/>
      <c r="E2" s="23"/>
      <c r="F2" s="23"/>
      <c r="G2" s="23"/>
      <c r="H2" s="23"/>
      <c r="I2" s="23"/>
      <c r="J2" s="23"/>
    </row>
    <row r="4" spans="1:10" ht="23" customHeight="1">
      <c r="A4" s="24" t="s">
        <v>44</v>
      </c>
      <c r="B4" s="24" t="s">
        <v>44</v>
      </c>
      <c r="C4" s="24" t="s">
        <v>44</v>
      </c>
      <c r="D4" s="24" t="s">
        <v>44</v>
      </c>
      <c r="E4" s="24" t="s">
        <v>44</v>
      </c>
      <c r="F4" s="24" t="s">
        <v>44</v>
      </c>
      <c r="G4" s="24" t="s">
        <v>44</v>
      </c>
      <c r="H4" s="24" t="s">
        <v>44</v>
      </c>
      <c r="I4" s="24" t="s">
        <v>44</v>
      </c>
      <c r="J4" s="24" t="s">
        <v>44</v>
      </c>
    </row>
    <row r="5" spans="1:10" ht="30" customHeight="1">
      <c r="A5" s="1" t="s">
        <v>45</v>
      </c>
      <c r="B5" s="1" t="s">
        <v>46</v>
      </c>
      <c r="C5" s="1" t="s">
        <v>47</v>
      </c>
      <c r="D5" s="1" t="s">
        <v>48</v>
      </c>
      <c r="E5" s="1" t="s">
        <v>49</v>
      </c>
      <c r="F5" s="1" t="s">
        <v>50</v>
      </c>
      <c r="G5" s="1" t="s">
        <v>51</v>
      </c>
      <c r="H5" s="1" t="s">
        <v>52</v>
      </c>
      <c r="I5" s="1" t="s">
        <v>53</v>
      </c>
      <c r="J5" s="1" t="s">
        <v>54</v>
      </c>
    </row>
    <row r="6" spans="1:10" ht="90" customHeight="1">
      <c r="A6" s="2" t="s">
        <v>55</v>
      </c>
      <c r="B6" s="2" t="s">
        <v>56</v>
      </c>
      <c r="C6" s="2" t="s">
        <v>57</v>
      </c>
      <c r="D6" s="2" t="s">
        <v>58</v>
      </c>
      <c r="E6" s="2" t="s">
        <v>59</v>
      </c>
      <c r="F6" s="2" t="s">
        <v>60</v>
      </c>
      <c r="G6" s="2" t="s">
        <v>61</v>
      </c>
      <c r="H6" s="2" t="s">
        <v>62</v>
      </c>
      <c r="I6" s="2" t="s">
        <v>63</v>
      </c>
      <c r="J6" s="3">
        <v>46221</v>
      </c>
    </row>
    <row r="7" spans="1:10" ht="90" customHeight="1">
      <c r="A7" s="2" t="s">
        <v>64</v>
      </c>
      <c r="B7" s="2" t="s">
        <v>65</v>
      </c>
      <c r="C7" s="2" t="s">
        <v>66</v>
      </c>
      <c r="D7" s="2" t="s">
        <v>67</v>
      </c>
      <c r="E7" s="2" t="s">
        <v>68</v>
      </c>
      <c r="F7" s="2" t="s">
        <v>69</v>
      </c>
      <c r="G7" s="2" t="s">
        <v>70</v>
      </c>
      <c r="H7" s="2" t="s">
        <v>71</v>
      </c>
      <c r="I7" s="2" t="s">
        <v>72</v>
      </c>
      <c r="J7" s="3">
        <v>46221</v>
      </c>
    </row>
    <row r="8" spans="1:10" ht="90" customHeight="1">
      <c r="A8" s="2" t="s">
        <v>73</v>
      </c>
      <c r="B8" s="2" t="s">
        <v>74</v>
      </c>
      <c r="C8" s="2" t="s">
        <v>75</v>
      </c>
      <c r="D8" s="2" t="s">
        <v>76</v>
      </c>
      <c r="E8" s="2" t="s">
        <v>77</v>
      </c>
      <c r="F8" s="2" t="s">
        <v>78</v>
      </c>
      <c r="G8" s="2" t="s">
        <v>79</v>
      </c>
      <c r="H8" s="2" t="s">
        <v>80</v>
      </c>
      <c r="I8" s="2" t="s">
        <v>81</v>
      </c>
      <c r="J8" s="3">
        <v>46221</v>
      </c>
    </row>
    <row r="9" spans="1:10" ht="90" customHeight="1">
      <c r="A9" s="2" t="s">
        <v>82</v>
      </c>
      <c r="B9" s="2" t="s">
        <v>74</v>
      </c>
      <c r="C9" s="2" t="s">
        <v>83</v>
      </c>
      <c r="D9" s="2" t="s">
        <v>84</v>
      </c>
      <c r="E9" s="2" t="s">
        <v>85</v>
      </c>
      <c r="F9" s="2" t="s">
        <v>86</v>
      </c>
      <c r="G9" s="2" t="s">
        <v>87</v>
      </c>
      <c r="H9" s="2" t="s">
        <v>88</v>
      </c>
      <c r="I9" s="2" t="s">
        <v>89</v>
      </c>
      <c r="J9" s="3">
        <v>46221</v>
      </c>
    </row>
    <row r="10" spans="1:10" ht="90" customHeight="1">
      <c r="A10" s="2" t="s">
        <v>90</v>
      </c>
      <c r="B10" s="2" t="s">
        <v>91</v>
      </c>
      <c r="C10" s="2" t="s">
        <v>92</v>
      </c>
      <c r="D10" s="2" t="s">
        <v>93</v>
      </c>
      <c r="E10" s="2" t="s">
        <v>94</v>
      </c>
      <c r="F10" s="2" t="s">
        <v>95</v>
      </c>
      <c r="G10" s="2" t="s">
        <v>96</v>
      </c>
      <c r="H10" s="2" t="s">
        <v>97</v>
      </c>
      <c r="I10" s="2" t="s">
        <v>98</v>
      </c>
      <c r="J10" s="3">
        <v>46221</v>
      </c>
    </row>
    <row r="11" spans="1:10" ht="90" customHeight="1">
      <c r="A11" s="2" t="s">
        <v>99</v>
      </c>
      <c r="B11" s="2" t="s">
        <v>100</v>
      </c>
      <c r="C11" s="2" t="s">
        <v>101</v>
      </c>
      <c r="D11" s="2" t="s">
        <v>102</v>
      </c>
      <c r="E11" s="2" t="s">
        <v>103</v>
      </c>
      <c r="F11" s="2" t="s">
        <v>104</v>
      </c>
      <c r="G11" s="2" t="s">
        <v>105</v>
      </c>
      <c r="H11" s="2" t="s">
        <v>106</v>
      </c>
      <c r="I11" s="2" t="s">
        <v>107</v>
      </c>
      <c r="J11" s="3">
        <v>46221</v>
      </c>
    </row>
    <row r="12" spans="1:10" ht="90" customHeight="1">
      <c r="A12" s="2" t="s">
        <v>108</v>
      </c>
      <c r="B12" s="2" t="s">
        <v>109</v>
      </c>
      <c r="C12" s="2" t="s">
        <v>110</v>
      </c>
      <c r="D12" s="2" t="s">
        <v>111</v>
      </c>
      <c r="E12" s="2" t="s">
        <v>112</v>
      </c>
      <c r="F12" s="2" t="s">
        <v>113</v>
      </c>
      <c r="G12" s="2" t="s">
        <v>114</v>
      </c>
      <c r="H12" s="2" t="s">
        <v>106</v>
      </c>
      <c r="I12" s="2" t="s">
        <v>115</v>
      </c>
      <c r="J12" s="3">
        <v>46221</v>
      </c>
    </row>
    <row r="13" spans="1:10" ht="90" customHeight="1">
      <c r="A13" s="2" t="s">
        <v>116</v>
      </c>
      <c r="B13" s="2" t="s">
        <v>117</v>
      </c>
      <c r="C13" s="2" t="s">
        <v>118</v>
      </c>
      <c r="D13" s="2" t="s">
        <v>119</v>
      </c>
      <c r="E13" s="2" t="s">
        <v>120</v>
      </c>
      <c r="F13" s="2" t="s">
        <v>121</v>
      </c>
      <c r="G13" s="2" t="s">
        <v>122</v>
      </c>
      <c r="H13" s="2" t="s">
        <v>123</v>
      </c>
      <c r="I13" s="2" t="s">
        <v>124</v>
      </c>
      <c r="J13" s="3">
        <v>46221</v>
      </c>
    </row>
    <row r="15" spans="1:10" ht="42" customHeight="1">
      <c r="A15" s="35" t="s">
        <v>125</v>
      </c>
      <c r="B15" s="36" t="s">
        <v>125</v>
      </c>
      <c r="C15" s="36" t="s">
        <v>125</v>
      </c>
      <c r="D15" s="36" t="s">
        <v>125</v>
      </c>
      <c r="E15" s="36" t="s">
        <v>125</v>
      </c>
      <c r="F15" s="36" t="s">
        <v>125</v>
      </c>
      <c r="G15" s="36" t="s">
        <v>125</v>
      </c>
      <c r="H15" s="36" t="s">
        <v>125</v>
      </c>
      <c r="I15" s="36" t="s">
        <v>125</v>
      </c>
      <c r="J15" s="37" t="s">
        <v>125</v>
      </c>
    </row>
    <row r="16" spans="1:10" ht="42" customHeight="1">
      <c r="A16" s="38" t="s">
        <v>125</v>
      </c>
      <c r="B16" s="39" t="s">
        <v>125</v>
      </c>
      <c r="C16" s="39" t="s">
        <v>125</v>
      </c>
      <c r="D16" s="39" t="s">
        <v>125</v>
      </c>
      <c r="E16" s="39" t="s">
        <v>125</v>
      </c>
      <c r="F16" s="39" t="s">
        <v>125</v>
      </c>
      <c r="G16" s="39" t="s">
        <v>125</v>
      </c>
      <c r="H16" s="39" t="s">
        <v>125</v>
      </c>
      <c r="I16" s="39" t="s">
        <v>125</v>
      </c>
      <c r="J16" s="40" t="s">
        <v>125</v>
      </c>
    </row>
    <row r="17" spans="1:10" ht="42" customHeight="1">
      <c r="A17" s="41" t="s">
        <v>125</v>
      </c>
      <c r="B17" s="42" t="s">
        <v>125</v>
      </c>
      <c r="C17" s="42" t="s">
        <v>125</v>
      </c>
      <c r="D17" s="42" t="s">
        <v>125</v>
      </c>
      <c r="E17" s="42" t="s">
        <v>125</v>
      </c>
      <c r="F17" s="42" t="s">
        <v>125</v>
      </c>
      <c r="G17" s="42" t="s">
        <v>125</v>
      </c>
      <c r="H17" s="42" t="s">
        <v>125</v>
      </c>
      <c r="I17" s="42" t="s">
        <v>125</v>
      </c>
      <c r="J17" s="43" t="s">
        <v>125</v>
      </c>
    </row>
  </sheetData>
  <mergeCells count="4">
    <mergeCell ref="A1:J1"/>
    <mergeCell ref="A2:J2"/>
    <mergeCell ref="A4:J4"/>
    <mergeCell ref="A15:J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showGridLines="0" workbookViewId="0"/>
  </sheetViews>
  <sheetFormatPr baseColWidth="10" defaultColWidth="8.83203125" defaultRowHeight="14"/>
  <cols>
    <col min="1" max="1" width="9" customWidth="1"/>
    <col min="2" max="2" width="25" customWidth="1"/>
    <col min="3" max="3" width="32" customWidth="1"/>
    <col min="4" max="4" width="35" customWidth="1"/>
    <col min="5" max="5" width="31" customWidth="1"/>
    <col min="6" max="6" width="36" customWidth="1"/>
    <col min="7" max="7" width="27" customWidth="1"/>
    <col min="8" max="8" width="40" customWidth="1"/>
    <col min="9" max="9" width="24" customWidth="1"/>
    <col min="10" max="10" width="32" customWidth="1"/>
  </cols>
  <sheetData>
    <row r="1" spans="1:10" ht="31" customHeight="1">
      <c r="A1" s="22" t="s">
        <v>126</v>
      </c>
      <c r="B1" s="22"/>
      <c r="C1" s="22"/>
      <c r="D1" s="22"/>
      <c r="E1" s="22"/>
      <c r="F1" s="22"/>
      <c r="G1" s="22"/>
      <c r="H1" s="22"/>
      <c r="I1" s="22"/>
      <c r="J1" s="22"/>
    </row>
    <row r="2" spans="1:10" ht="30" customHeight="1">
      <c r="A2" s="23" t="s">
        <v>127</v>
      </c>
      <c r="B2" s="23"/>
      <c r="C2" s="23"/>
      <c r="D2" s="23"/>
      <c r="E2" s="23"/>
      <c r="F2" s="23"/>
      <c r="G2" s="23"/>
      <c r="H2" s="23"/>
      <c r="I2" s="23"/>
      <c r="J2" s="23"/>
    </row>
    <row r="4" spans="1:10" ht="23" customHeight="1">
      <c r="A4" s="24" t="s">
        <v>128</v>
      </c>
      <c r="B4" s="24" t="s">
        <v>128</v>
      </c>
      <c r="C4" s="24" t="s">
        <v>128</v>
      </c>
      <c r="D4" s="24" t="s">
        <v>128</v>
      </c>
      <c r="E4" s="24" t="s">
        <v>128</v>
      </c>
      <c r="F4" s="24" t="s">
        <v>128</v>
      </c>
      <c r="G4" s="24" t="s">
        <v>128</v>
      </c>
      <c r="H4" s="24" t="s">
        <v>128</v>
      </c>
      <c r="I4" s="24" t="s">
        <v>128</v>
      </c>
      <c r="J4" s="24" t="s">
        <v>128</v>
      </c>
    </row>
    <row r="5" spans="1:10" ht="30" customHeight="1">
      <c r="A5" s="1" t="s">
        <v>129</v>
      </c>
      <c r="B5" s="1" t="s">
        <v>130</v>
      </c>
      <c r="C5" s="1" t="s">
        <v>131</v>
      </c>
      <c r="D5" s="1" t="s">
        <v>132</v>
      </c>
      <c r="E5" s="1" t="s">
        <v>133</v>
      </c>
      <c r="F5" s="1" t="s">
        <v>134</v>
      </c>
      <c r="G5" s="1" t="s">
        <v>135</v>
      </c>
      <c r="H5" s="1" t="s">
        <v>136</v>
      </c>
      <c r="I5" s="1" t="s">
        <v>137</v>
      </c>
      <c r="J5" s="1" t="s">
        <v>138</v>
      </c>
    </row>
    <row r="6" spans="1:10" ht="82" customHeight="1">
      <c r="A6" s="2">
        <v>1</v>
      </c>
      <c r="B6" s="2" t="s">
        <v>139</v>
      </c>
      <c r="C6" s="2" t="s">
        <v>140</v>
      </c>
      <c r="D6" s="2" t="s">
        <v>141</v>
      </c>
      <c r="E6" s="2" t="s">
        <v>142</v>
      </c>
      <c r="F6" s="2" t="s">
        <v>143</v>
      </c>
      <c r="G6" s="2" t="s">
        <v>144</v>
      </c>
      <c r="H6" s="2" t="s">
        <v>145</v>
      </c>
      <c r="I6" s="2" t="s">
        <v>146</v>
      </c>
      <c r="J6" s="2" t="s">
        <v>147</v>
      </c>
    </row>
    <row r="7" spans="1:10" ht="82" customHeight="1">
      <c r="A7" s="2">
        <v>2</v>
      </c>
      <c r="B7" s="2" t="s">
        <v>148</v>
      </c>
      <c r="C7" s="2" t="s">
        <v>149</v>
      </c>
      <c r="D7" s="2" t="s">
        <v>150</v>
      </c>
      <c r="E7" s="2" t="s">
        <v>151</v>
      </c>
      <c r="F7" s="2" t="s">
        <v>152</v>
      </c>
      <c r="G7" s="2" t="s">
        <v>153</v>
      </c>
      <c r="H7" s="2" t="s">
        <v>154</v>
      </c>
      <c r="I7" s="2" t="s">
        <v>155</v>
      </c>
      <c r="J7" s="2" t="s">
        <v>156</v>
      </c>
    </row>
    <row r="8" spans="1:10" ht="82" customHeight="1">
      <c r="A8" s="2">
        <v>3</v>
      </c>
      <c r="B8" s="2" t="s">
        <v>157</v>
      </c>
      <c r="C8" s="2" t="s">
        <v>158</v>
      </c>
      <c r="D8" s="2" t="s">
        <v>159</v>
      </c>
      <c r="E8" s="2" t="s">
        <v>160</v>
      </c>
      <c r="F8" s="2" t="s">
        <v>161</v>
      </c>
      <c r="G8" s="2" t="s">
        <v>162</v>
      </c>
      <c r="H8" s="2" t="s">
        <v>163</v>
      </c>
      <c r="I8" s="2" t="s">
        <v>155</v>
      </c>
      <c r="J8" s="2" t="s">
        <v>164</v>
      </c>
    </row>
    <row r="9" spans="1:10" ht="82" customHeight="1">
      <c r="A9" s="2">
        <v>4</v>
      </c>
      <c r="B9" s="2" t="s">
        <v>162</v>
      </c>
      <c r="C9" s="2" t="s">
        <v>165</v>
      </c>
      <c r="D9" s="2" t="s">
        <v>150</v>
      </c>
      <c r="E9" s="2" t="s">
        <v>166</v>
      </c>
      <c r="F9" s="2" t="s">
        <v>167</v>
      </c>
      <c r="G9" s="2" t="s">
        <v>153</v>
      </c>
      <c r="H9" s="2" t="s">
        <v>168</v>
      </c>
      <c r="I9" s="2" t="s">
        <v>155</v>
      </c>
      <c r="J9" s="2" t="s">
        <v>169</v>
      </c>
    </row>
    <row r="10" spans="1:10" ht="82" customHeight="1">
      <c r="A10" s="2">
        <v>5</v>
      </c>
      <c r="B10" s="2" t="s">
        <v>170</v>
      </c>
      <c r="C10" s="2" t="s">
        <v>171</v>
      </c>
      <c r="D10" s="2" t="s">
        <v>172</v>
      </c>
      <c r="E10" s="2" t="s">
        <v>173</v>
      </c>
      <c r="F10" s="2" t="s">
        <v>174</v>
      </c>
      <c r="G10" s="2" t="s">
        <v>175</v>
      </c>
      <c r="H10" s="2" t="s">
        <v>176</v>
      </c>
      <c r="I10" s="2" t="s">
        <v>155</v>
      </c>
      <c r="J10" s="2" t="s">
        <v>177</v>
      </c>
    </row>
    <row r="11" spans="1:10" ht="82" customHeight="1">
      <c r="A11" s="2">
        <v>6</v>
      </c>
      <c r="B11" s="2" t="s">
        <v>178</v>
      </c>
      <c r="C11" s="2" t="s">
        <v>179</v>
      </c>
      <c r="D11" s="2" t="s">
        <v>180</v>
      </c>
      <c r="E11" s="2" t="s">
        <v>181</v>
      </c>
      <c r="F11" s="2" t="s">
        <v>182</v>
      </c>
      <c r="G11" s="2" t="s">
        <v>183</v>
      </c>
      <c r="H11" s="2" t="s">
        <v>184</v>
      </c>
      <c r="I11" s="2" t="s">
        <v>185</v>
      </c>
      <c r="J11" s="2" t="s">
        <v>186</v>
      </c>
    </row>
    <row r="12" spans="1:10" ht="82" customHeight="1">
      <c r="A12" s="2">
        <v>7</v>
      </c>
      <c r="B12" s="2" t="s">
        <v>187</v>
      </c>
      <c r="C12" s="2" t="s">
        <v>188</v>
      </c>
      <c r="D12" s="2" t="s">
        <v>189</v>
      </c>
      <c r="E12" s="2" t="s">
        <v>190</v>
      </c>
      <c r="F12" s="2" t="s">
        <v>191</v>
      </c>
      <c r="G12" s="2" t="s">
        <v>192</v>
      </c>
      <c r="H12" s="2" t="s">
        <v>193</v>
      </c>
      <c r="I12" s="2" t="s">
        <v>194</v>
      </c>
      <c r="J12" s="2" t="s">
        <v>195</v>
      </c>
    </row>
    <row r="13" spans="1:10" ht="82" customHeight="1">
      <c r="A13" s="2">
        <v>8</v>
      </c>
      <c r="B13" s="2" t="s">
        <v>196</v>
      </c>
      <c r="C13" s="2" t="s">
        <v>197</v>
      </c>
      <c r="D13" s="2" t="s">
        <v>198</v>
      </c>
      <c r="E13" s="2" t="s">
        <v>199</v>
      </c>
      <c r="F13" s="2" t="s">
        <v>200</v>
      </c>
      <c r="G13" s="2" t="s">
        <v>201</v>
      </c>
      <c r="H13" s="2" t="s">
        <v>202</v>
      </c>
      <c r="I13" s="2" t="s">
        <v>203</v>
      </c>
      <c r="J13" s="2" t="s">
        <v>204</v>
      </c>
    </row>
    <row r="14" spans="1:10" ht="82" customHeight="1">
      <c r="A14" s="2">
        <v>9</v>
      </c>
      <c r="B14" s="2" t="s">
        <v>205</v>
      </c>
      <c r="C14" s="2" t="s">
        <v>206</v>
      </c>
      <c r="D14" s="2" t="s">
        <v>207</v>
      </c>
      <c r="E14" s="2" t="s">
        <v>208</v>
      </c>
      <c r="F14" s="2" t="s">
        <v>209</v>
      </c>
      <c r="G14" s="2" t="s">
        <v>210</v>
      </c>
      <c r="H14" s="2" t="s">
        <v>211</v>
      </c>
      <c r="I14" s="2" t="s">
        <v>212</v>
      </c>
      <c r="J14" s="2" t="s">
        <v>213</v>
      </c>
    </row>
    <row r="16" spans="1:10" ht="23" customHeight="1">
      <c r="A16" s="34" t="s">
        <v>214</v>
      </c>
      <c r="B16" s="34" t="s">
        <v>214</v>
      </c>
      <c r="C16" s="34" t="s">
        <v>214</v>
      </c>
      <c r="D16" s="34" t="s">
        <v>214</v>
      </c>
      <c r="E16" s="34" t="s">
        <v>214</v>
      </c>
      <c r="F16" s="34" t="s">
        <v>214</v>
      </c>
      <c r="G16" s="34" t="s">
        <v>214</v>
      </c>
      <c r="H16" s="34" t="s">
        <v>214</v>
      </c>
      <c r="I16" s="34" t="s">
        <v>214</v>
      </c>
      <c r="J16" s="34" t="s">
        <v>214</v>
      </c>
    </row>
    <row r="17" spans="1:10" ht="42" customHeight="1">
      <c r="A17" s="44" t="s">
        <v>215</v>
      </c>
      <c r="B17" s="45" t="s">
        <v>215</v>
      </c>
      <c r="C17" s="45" t="s">
        <v>215</v>
      </c>
      <c r="D17" s="45" t="s">
        <v>215</v>
      </c>
      <c r="E17" s="45" t="s">
        <v>215</v>
      </c>
      <c r="F17" s="45" t="s">
        <v>215</v>
      </c>
      <c r="G17" s="45" t="s">
        <v>215</v>
      </c>
      <c r="H17" s="45" t="s">
        <v>215</v>
      </c>
      <c r="I17" s="45" t="s">
        <v>215</v>
      </c>
      <c r="J17" s="46" t="s">
        <v>215</v>
      </c>
    </row>
    <row r="18" spans="1:10" ht="42" customHeight="1">
      <c r="A18" s="47" t="s">
        <v>215</v>
      </c>
      <c r="B18" s="48" t="s">
        <v>215</v>
      </c>
      <c r="C18" s="48" t="s">
        <v>215</v>
      </c>
      <c r="D18" s="48" t="s">
        <v>215</v>
      </c>
      <c r="E18" s="48" t="s">
        <v>215</v>
      </c>
      <c r="F18" s="48" t="s">
        <v>215</v>
      </c>
      <c r="G18" s="48" t="s">
        <v>215</v>
      </c>
      <c r="H18" s="48" t="s">
        <v>215</v>
      </c>
      <c r="I18" s="48" t="s">
        <v>215</v>
      </c>
      <c r="J18" s="49" t="s">
        <v>215</v>
      </c>
    </row>
    <row r="19" spans="1:10" ht="42" customHeight="1">
      <c r="A19" s="50" t="s">
        <v>215</v>
      </c>
      <c r="B19" s="51" t="s">
        <v>215</v>
      </c>
      <c r="C19" s="51" t="s">
        <v>215</v>
      </c>
      <c r="D19" s="51" t="s">
        <v>215</v>
      </c>
      <c r="E19" s="51" t="s">
        <v>215</v>
      </c>
      <c r="F19" s="51" t="s">
        <v>215</v>
      </c>
      <c r="G19" s="51" t="s">
        <v>215</v>
      </c>
      <c r="H19" s="51" t="s">
        <v>215</v>
      </c>
      <c r="I19" s="51" t="s">
        <v>215</v>
      </c>
      <c r="J19" s="52" t="s">
        <v>215</v>
      </c>
    </row>
    <row r="21" spans="1:10" ht="23" customHeight="1">
      <c r="A21" s="34" t="s">
        <v>216</v>
      </c>
      <c r="B21" s="34" t="s">
        <v>216</v>
      </c>
      <c r="C21" s="34" t="s">
        <v>216</v>
      </c>
      <c r="D21" s="34" t="s">
        <v>216</v>
      </c>
      <c r="E21" s="34" t="s">
        <v>216</v>
      </c>
      <c r="F21" s="34" t="s">
        <v>216</v>
      </c>
      <c r="G21" s="34" t="s">
        <v>216</v>
      </c>
      <c r="H21" s="34" t="s">
        <v>216</v>
      </c>
      <c r="I21" s="34" t="s">
        <v>216</v>
      </c>
      <c r="J21" s="34" t="s">
        <v>216</v>
      </c>
    </row>
    <row r="22" spans="1:10" ht="42" customHeight="1">
      <c r="A22" s="53" t="s">
        <v>217</v>
      </c>
      <c r="B22" s="54" t="s">
        <v>217</v>
      </c>
      <c r="C22" s="54" t="s">
        <v>217</v>
      </c>
      <c r="D22" s="54" t="s">
        <v>217</v>
      </c>
      <c r="E22" s="54" t="s">
        <v>217</v>
      </c>
      <c r="F22" s="54" t="s">
        <v>217</v>
      </c>
      <c r="G22" s="54" t="s">
        <v>217</v>
      </c>
      <c r="H22" s="54" t="s">
        <v>217</v>
      </c>
      <c r="I22" s="54" t="s">
        <v>217</v>
      </c>
      <c r="J22" s="55" t="s">
        <v>217</v>
      </c>
    </row>
    <row r="23" spans="1:10" ht="42" customHeight="1">
      <c r="A23" s="56" t="s">
        <v>217</v>
      </c>
      <c r="B23" s="57" t="s">
        <v>217</v>
      </c>
      <c r="C23" s="57" t="s">
        <v>217</v>
      </c>
      <c r="D23" s="57" t="s">
        <v>217</v>
      </c>
      <c r="E23" s="57" t="s">
        <v>217</v>
      </c>
      <c r="F23" s="57" t="s">
        <v>217</v>
      </c>
      <c r="G23" s="57" t="s">
        <v>217</v>
      </c>
      <c r="H23" s="57" t="s">
        <v>217</v>
      </c>
      <c r="I23" s="57" t="s">
        <v>217</v>
      </c>
      <c r="J23" s="58" t="s">
        <v>217</v>
      </c>
    </row>
    <row r="24" spans="1:10" ht="42" customHeight="1">
      <c r="A24" s="59" t="s">
        <v>217</v>
      </c>
      <c r="B24" s="60" t="s">
        <v>217</v>
      </c>
      <c r="C24" s="60" t="s">
        <v>217</v>
      </c>
      <c r="D24" s="60" t="s">
        <v>217</v>
      </c>
      <c r="E24" s="60" t="s">
        <v>217</v>
      </c>
      <c r="F24" s="60" t="s">
        <v>217</v>
      </c>
      <c r="G24" s="60" t="s">
        <v>217</v>
      </c>
      <c r="H24" s="60" t="s">
        <v>217</v>
      </c>
      <c r="I24" s="60" t="s">
        <v>217</v>
      </c>
      <c r="J24" s="61" t="s">
        <v>217</v>
      </c>
    </row>
  </sheetData>
  <mergeCells count="7">
    <mergeCell ref="A21:J21"/>
    <mergeCell ref="A22:J24"/>
    <mergeCell ref="A1:J1"/>
    <mergeCell ref="A2:J2"/>
    <mergeCell ref="A4:J4"/>
    <mergeCell ref="A16:J16"/>
    <mergeCell ref="A17:J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
  <sheetViews>
    <sheetView showGridLines="0" workbookViewId="0"/>
  </sheetViews>
  <sheetFormatPr baseColWidth="10" defaultColWidth="8.83203125" defaultRowHeight="14"/>
  <cols>
    <col min="1" max="1" width="9" customWidth="1"/>
    <col min="2" max="2" width="38" customWidth="1"/>
    <col min="3" max="3" width="16" customWidth="1"/>
    <col min="4" max="4" width="31" customWidth="1"/>
    <col min="5" max="5" width="19" customWidth="1"/>
    <col min="6" max="6" width="14" customWidth="1"/>
    <col min="7" max="7" width="29" customWidth="1"/>
    <col min="8" max="8" width="52" customWidth="1"/>
    <col min="9" max="9" width="26" customWidth="1"/>
    <col min="10" max="10" width="29" customWidth="1"/>
  </cols>
  <sheetData>
    <row r="1" spans="1:10" ht="31" customHeight="1">
      <c r="A1" s="22" t="s">
        <v>218</v>
      </c>
      <c r="B1" s="22"/>
      <c r="C1" s="22"/>
      <c r="D1" s="22"/>
      <c r="E1" s="22"/>
      <c r="F1" s="22"/>
      <c r="G1" s="22"/>
      <c r="H1" s="22"/>
      <c r="I1" s="22"/>
      <c r="J1" s="22"/>
    </row>
    <row r="2" spans="1:10" ht="30" customHeight="1">
      <c r="A2" s="23" t="s">
        <v>219</v>
      </c>
      <c r="B2" s="23"/>
      <c r="C2" s="23"/>
      <c r="D2" s="23"/>
      <c r="E2" s="23"/>
      <c r="F2" s="23"/>
      <c r="G2" s="23"/>
      <c r="H2" s="23"/>
      <c r="I2" s="23"/>
      <c r="J2" s="23"/>
    </row>
    <row r="4" spans="1:10" ht="23" customHeight="1">
      <c r="A4" s="24" t="s">
        <v>220</v>
      </c>
      <c r="B4" s="24" t="s">
        <v>220</v>
      </c>
      <c r="C4" s="24" t="s">
        <v>220</v>
      </c>
      <c r="D4" s="24" t="s">
        <v>220</v>
      </c>
      <c r="E4" s="24" t="s">
        <v>220</v>
      </c>
      <c r="F4" s="24" t="s">
        <v>220</v>
      </c>
      <c r="G4" s="24" t="s">
        <v>220</v>
      </c>
      <c r="H4" s="24" t="s">
        <v>220</v>
      </c>
      <c r="I4" s="24" t="s">
        <v>220</v>
      </c>
      <c r="J4" s="24" t="s">
        <v>220</v>
      </c>
    </row>
    <row r="5" spans="1:10" ht="30" customHeight="1">
      <c r="A5" s="1" t="s">
        <v>45</v>
      </c>
      <c r="B5" s="1" t="s">
        <v>221</v>
      </c>
      <c r="C5" s="1" t="s">
        <v>222</v>
      </c>
      <c r="D5" s="1" t="s">
        <v>223</v>
      </c>
      <c r="E5" s="1" t="s">
        <v>224</v>
      </c>
      <c r="F5" s="1" t="s">
        <v>225</v>
      </c>
      <c r="G5" s="1" t="s">
        <v>226</v>
      </c>
      <c r="H5" s="1" t="s">
        <v>227</v>
      </c>
      <c r="I5" s="1" t="s">
        <v>228</v>
      </c>
      <c r="J5" s="1" t="s">
        <v>229</v>
      </c>
    </row>
    <row r="6" spans="1:10" ht="68" customHeight="1">
      <c r="A6" s="2" t="s">
        <v>230</v>
      </c>
      <c r="B6" s="2" t="s">
        <v>231</v>
      </c>
      <c r="C6" s="2" t="s">
        <v>232</v>
      </c>
      <c r="D6" s="2" t="s">
        <v>233</v>
      </c>
      <c r="E6" s="2" t="s">
        <v>234</v>
      </c>
      <c r="F6" s="2" t="s">
        <v>235</v>
      </c>
      <c r="G6" s="2" t="s">
        <v>196</v>
      </c>
      <c r="H6" s="2" t="s">
        <v>236</v>
      </c>
      <c r="I6" s="2" t="s">
        <v>237</v>
      </c>
      <c r="J6" s="2" t="s">
        <v>238</v>
      </c>
    </row>
    <row r="7" spans="1:10" ht="68" customHeight="1">
      <c r="A7" s="2" t="s">
        <v>239</v>
      </c>
      <c r="B7" s="2" t="s">
        <v>240</v>
      </c>
      <c r="C7" s="2" t="s">
        <v>241</v>
      </c>
      <c r="D7" s="2" t="s">
        <v>242</v>
      </c>
      <c r="E7" s="4">
        <v>12</v>
      </c>
      <c r="F7" s="2" t="s">
        <v>235</v>
      </c>
      <c r="G7" s="2" t="s">
        <v>243</v>
      </c>
      <c r="H7" s="2" t="s">
        <v>244</v>
      </c>
      <c r="I7" s="2" t="s">
        <v>245</v>
      </c>
      <c r="J7" s="2" t="s">
        <v>238</v>
      </c>
    </row>
    <row r="8" spans="1:10" ht="68" customHeight="1">
      <c r="A8" s="2" t="s">
        <v>246</v>
      </c>
      <c r="B8" s="2" t="s">
        <v>247</v>
      </c>
      <c r="C8" s="2" t="s">
        <v>241</v>
      </c>
      <c r="D8" s="2" t="s">
        <v>248</v>
      </c>
      <c r="E8" s="4">
        <v>40</v>
      </c>
      <c r="F8" s="2" t="s">
        <v>235</v>
      </c>
      <c r="G8" s="2" t="s">
        <v>249</v>
      </c>
      <c r="H8" s="2" t="s">
        <v>250</v>
      </c>
      <c r="I8" s="2" t="s">
        <v>251</v>
      </c>
      <c r="J8" s="2" t="s">
        <v>238</v>
      </c>
    </row>
    <row r="9" spans="1:10" ht="68" customHeight="1">
      <c r="A9" s="2" t="s">
        <v>252</v>
      </c>
      <c r="B9" s="2" t="s">
        <v>253</v>
      </c>
      <c r="C9" s="2" t="s">
        <v>241</v>
      </c>
      <c r="D9" s="2" t="s">
        <v>254</v>
      </c>
      <c r="E9" s="4">
        <v>48</v>
      </c>
      <c r="F9" s="2" t="s">
        <v>235</v>
      </c>
      <c r="G9" s="2" t="s">
        <v>249</v>
      </c>
      <c r="H9" s="2" t="s">
        <v>255</v>
      </c>
      <c r="I9" s="2" t="s">
        <v>256</v>
      </c>
      <c r="J9" s="2" t="s">
        <v>257</v>
      </c>
    </row>
    <row r="10" spans="1:10" ht="68" customHeight="1">
      <c r="A10" s="2" t="s">
        <v>258</v>
      </c>
      <c r="B10" s="2" t="s">
        <v>259</v>
      </c>
      <c r="C10" s="2" t="s">
        <v>260</v>
      </c>
      <c r="D10" s="2" t="s">
        <v>261</v>
      </c>
      <c r="E10" s="5">
        <v>65</v>
      </c>
      <c r="F10" s="2" t="s">
        <v>235</v>
      </c>
      <c r="G10" s="2" t="s">
        <v>262</v>
      </c>
      <c r="H10" s="2" t="s">
        <v>263</v>
      </c>
      <c r="I10" s="2" t="s">
        <v>251</v>
      </c>
      <c r="J10" s="2" t="s">
        <v>264</v>
      </c>
    </row>
    <row r="11" spans="1:10" ht="68" customHeight="1">
      <c r="A11" s="2" t="s">
        <v>265</v>
      </c>
      <c r="B11" s="2" t="s">
        <v>266</v>
      </c>
      <c r="C11" s="2" t="s">
        <v>267</v>
      </c>
      <c r="D11" s="2" t="s">
        <v>268</v>
      </c>
      <c r="E11" s="5">
        <v>0.08</v>
      </c>
      <c r="F11" s="2" t="s">
        <v>235</v>
      </c>
      <c r="G11" s="2" t="s">
        <v>269</v>
      </c>
      <c r="H11" s="2" t="s">
        <v>270</v>
      </c>
      <c r="I11" s="2" t="s">
        <v>268</v>
      </c>
      <c r="J11" s="2" t="s">
        <v>238</v>
      </c>
    </row>
    <row r="12" spans="1:10" ht="68" customHeight="1">
      <c r="A12" s="2" t="s">
        <v>271</v>
      </c>
      <c r="B12" s="2" t="s">
        <v>272</v>
      </c>
      <c r="C12" s="2" t="s">
        <v>267</v>
      </c>
      <c r="D12" s="2" t="s">
        <v>268</v>
      </c>
      <c r="E12" s="6">
        <v>0.5</v>
      </c>
      <c r="F12" s="2" t="s">
        <v>235</v>
      </c>
      <c r="G12" s="2" t="s">
        <v>273</v>
      </c>
      <c r="H12" s="2" t="s">
        <v>274</v>
      </c>
      <c r="I12" s="2" t="s">
        <v>268</v>
      </c>
      <c r="J12" s="2" t="s">
        <v>238</v>
      </c>
    </row>
    <row r="13" spans="1:10" ht="68" customHeight="1">
      <c r="A13" s="2" t="s">
        <v>275</v>
      </c>
      <c r="B13" s="2" t="s">
        <v>276</v>
      </c>
      <c r="C13" s="2" t="s">
        <v>241</v>
      </c>
      <c r="D13" s="2" t="s">
        <v>277</v>
      </c>
      <c r="E13" s="6">
        <v>3</v>
      </c>
      <c r="F13" s="2" t="s">
        <v>278</v>
      </c>
      <c r="G13" s="2" t="s">
        <v>279</v>
      </c>
      <c r="H13" s="2" t="s">
        <v>280</v>
      </c>
      <c r="I13" s="2" t="s">
        <v>281</v>
      </c>
      <c r="J13" s="2" t="s">
        <v>238</v>
      </c>
    </row>
    <row r="14" spans="1:10" ht="68" customHeight="1">
      <c r="A14" s="2" t="s">
        <v>282</v>
      </c>
      <c r="B14" s="2" t="s">
        <v>283</v>
      </c>
      <c r="C14" s="2" t="s">
        <v>260</v>
      </c>
      <c r="D14" s="2" t="s">
        <v>261</v>
      </c>
      <c r="E14" s="7">
        <v>95</v>
      </c>
      <c r="F14" s="2" t="s">
        <v>284</v>
      </c>
      <c r="G14" s="2" t="s">
        <v>279</v>
      </c>
      <c r="H14" s="2" t="s">
        <v>285</v>
      </c>
      <c r="I14" s="2" t="s">
        <v>286</v>
      </c>
      <c r="J14" s="2" t="s">
        <v>264</v>
      </c>
    </row>
    <row r="15" spans="1:10" ht="68" customHeight="1">
      <c r="A15" s="2" t="s">
        <v>287</v>
      </c>
      <c r="B15" s="2" t="s">
        <v>288</v>
      </c>
      <c r="C15" s="2" t="s">
        <v>260</v>
      </c>
      <c r="D15" s="2" t="s">
        <v>289</v>
      </c>
      <c r="E15" s="7">
        <v>12000</v>
      </c>
      <c r="F15" s="2" t="s">
        <v>278</v>
      </c>
      <c r="G15" s="2" t="s">
        <v>290</v>
      </c>
      <c r="H15" s="2" t="s">
        <v>291</v>
      </c>
      <c r="I15" s="2" t="s">
        <v>281</v>
      </c>
      <c r="J15" s="2" t="s">
        <v>238</v>
      </c>
    </row>
    <row r="16" spans="1:10" ht="68" customHeight="1">
      <c r="A16" s="2" t="s">
        <v>292</v>
      </c>
      <c r="B16" s="2" t="s">
        <v>293</v>
      </c>
      <c r="C16" s="2" t="s">
        <v>260</v>
      </c>
      <c r="D16" s="2" t="s">
        <v>289</v>
      </c>
      <c r="E16" s="7">
        <v>0</v>
      </c>
      <c r="F16" s="2" t="s">
        <v>278</v>
      </c>
      <c r="G16" s="2" t="s">
        <v>294</v>
      </c>
      <c r="H16" s="2" t="s">
        <v>295</v>
      </c>
      <c r="I16" s="2" t="s">
        <v>281</v>
      </c>
      <c r="J16" s="2" t="s">
        <v>238</v>
      </c>
    </row>
    <row r="17" spans="1:10" ht="68" customHeight="1">
      <c r="A17" s="2" t="s">
        <v>296</v>
      </c>
      <c r="B17" s="2" t="s">
        <v>297</v>
      </c>
      <c r="C17" s="2" t="s">
        <v>260</v>
      </c>
      <c r="D17" s="2" t="s">
        <v>289</v>
      </c>
      <c r="E17" s="7">
        <v>1000000</v>
      </c>
      <c r="F17" s="2" t="s">
        <v>278</v>
      </c>
      <c r="G17" s="2" t="s">
        <v>298</v>
      </c>
      <c r="H17" s="2" t="s">
        <v>299</v>
      </c>
      <c r="I17" s="2" t="s">
        <v>281</v>
      </c>
      <c r="J17" s="2" t="s">
        <v>238</v>
      </c>
    </row>
    <row r="18" spans="1:10" ht="68" customHeight="1">
      <c r="A18" s="2" t="s">
        <v>300</v>
      </c>
      <c r="B18" s="2" t="s">
        <v>301</v>
      </c>
      <c r="C18" s="2" t="s">
        <v>260</v>
      </c>
      <c r="D18" s="2" t="s">
        <v>289</v>
      </c>
      <c r="E18" s="7">
        <v>0</v>
      </c>
      <c r="F18" s="2" t="s">
        <v>278</v>
      </c>
      <c r="G18" s="2" t="s">
        <v>302</v>
      </c>
      <c r="H18" s="2" t="s">
        <v>299</v>
      </c>
      <c r="I18" s="2" t="s">
        <v>281</v>
      </c>
      <c r="J18" s="2" t="s">
        <v>238</v>
      </c>
    </row>
    <row r="19" spans="1:10" ht="68" customHeight="1">
      <c r="A19" s="2" t="s">
        <v>303</v>
      </c>
      <c r="B19" s="2" t="s">
        <v>304</v>
      </c>
      <c r="C19" s="2" t="s">
        <v>232</v>
      </c>
      <c r="D19" s="2" t="s">
        <v>305</v>
      </c>
      <c r="E19" s="2" t="s">
        <v>306</v>
      </c>
      <c r="F19" s="2" t="s">
        <v>235</v>
      </c>
      <c r="G19" s="2" t="s">
        <v>307</v>
      </c>
      <c r="H19" s="2" t="s">
        <v>308</v>
      </c>
      <c r="I19" s="2" t="s">
        <v>237</v>
      </c>
      <c r="J19" s="2" t="s">
        <v>309</v>
      </c>
    </row>
    <row r="21" spans="1:10" ht="42" customHeight="1">
      <c r="A21" s="35" t="s">
        <v>310</v>
      </c>
      <c r="B21" s="36" t="s">
        <v>310</v>
      </c>
      <c r="C21" s="36" t="s">
        <v>310</v>
      </c>
      <c r="D21" s="36" t="s">
        <v>310</v>
      </c>
      <c r="E21" s="36" t="s">
        <v>310</v>
      </c>
      <c r="F21" s="36" t="s">
        <v>310</v>
      </c>
      <c r="G21" s="36" t="s">
        <v>310</v>
      </c>
      <c r="H21" s="36" t="s">
        <v>310</v>
      </c>
      <c r="I21" s="36" t="s">
        <v>310</v>
      </c>
      <c r="J21" s="37" t="s">
        <v>310</v>
      </c>
    </row>
    <row r="22" spans="1:10" ht="42" customHeight="1">
      <c r="A22" s="38" t="s">
        <v>310</v>
      </c>
      <c r="B22" s="39" t="s">
        <v>310</v>
      </c>
      <c r="C22" s="39" t="s">
        <v>310</v>
      </c>
      <c r="D22" s="39" t="s">
        <v>310</v>
      </c>
      <c r="E22" s="39" t="s">
        <v>310</v>
      </c>
      <c r="F22" s="39" t="s">
        <v>310</v>
      </c>
      <c r="G22" s="39" t="s">
        <v>310</v>
      </c>
      <c r="H22" s="39" t="s">
        <v>310</v>
      </c>
      <c r="I22" s="39" t="s">
        <v>310</v>
      </c>
      <c r="J22" s="40" t="s">
        <v>310</v>
      </c>
    </row>
    <row r="23" spans="1:10" ht="42" customHeight="1">
      <c r="A23" s="41" t="s">
        <v>310</v>
      </c>
      <c r="B23" s="42" t="s">
        <v>310</v>
      </c>
      <c r="C23" s="42" t="s">
        <v>310</v>
      </c>
      <c r="D23" s="42" t="s">
        <v>310</v>
      </c>
      <c r="E23" s="42" t="s">
        <v>310</v>
      </c>
      <c r="F23" s="42" t="s">
        <v>310</v>
      </c>
      <c r="G23" s="42" t="s">
        <v>310</v>
      </c>
      <c r="H23" s="42" t="s">
        <v>310</v>
      </c>
      <c r="I23" s="42" t="s">
        <v>310</v>
      </c>
      <c r="J23" s="43" t="s">
        <v>310</v>
      </c>
    </row>
  </sheetData>
  <mergeCells count="4">
    <mergeCell ref="A1:J1"/>
    <mergeCell ref="A2:J2"/>
    <mergeCell ref="A4:J4"/>
    <mergeCell ref="A21:J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5"/>
  <sheetViews>
    <sheetView showGridLines="0" workbookViewId="0"/>
  </sheetViews>
  <sheetFormatPr baseColWidth="10" defaultColWidth="8.83203125" defaultRowHeight="14"/>
  <cols>
    <col min="1" max="1" width="11" customWidth="1"/>
    <col min="2" max="2" width="28" customWidth="1"/>
    <col min="3" max="3" width="40" customWidth="1"/>
    <col min="4" max="4" width="28" customWidth="1"/>
    <col min="5" max="5" width="17" customWidth="1"/>
    <col min="6" max="6" width="18" customWidth="1"/>
    <col min="7" max="7" width="24" customWidth="1"/>
    <col min="8" max="8" width="41" customWidth="1"/>
    <col min="9" max="9" width="29" customWidth="1"/>
    <col min="10" max="10" width="32" customWidth="1"/>
  </cols>
  <sheetData>
    <row r="1" spans="1:10" ht="31" customHeight="1">
      <c r="A1" s="22" t="s">
        <v>311</v>
      </c>
      <c r="B1" s="22"/>
      <c r="C1" s="22"/>
      <c r="D1" s="22"/>
      <c r="E1" s="22"/>
      <c r="F1" s="22"/>
      <c r="G1" s="22"/>
      <c r="H1" s="22"/>
      <c r="I1" s="22"/>
      <c r="J1" s="22"/>
    </row>
    <row r="2" spans="1:10" ht="30" customHeight="1">
      <c r="A2" s="23" t="s">
        <v>312</v>
      </c>
      <c r="B2" s="23"/>
      <c r="C2" s="23"/>
      <c r="D2" s="23"/>
      <c r="E2" s="23"/>
      <c r="F2" s="23"/>
      <c r="G2" s="23"/>
      <c r="H2" s="23"/>
      <c r="I2" s="23"/>
      <c r="J2" s="23"/>
    </row>
    <row r="4" spans="1:10" ht="23" customHeight="1">
      <c r="A4" s="24" t="s">
        <v>313</v>
      </c>
      <c r="B4" s="24" t="s">
        <v>313</v>
      </c>
      <c r="C4" s="24" t="s">
        <v>313</v>
      </c>
      <c r="D4" s="24" t="s">
        <v>313</v>
      </c>
      <c r="E4" s="24" t="s">
        <v>313</v>
      </c>
      <c r="F4" s="24" t="s">
        <v>313</v>
      </c>
      <c r="G4" s="24" t="s">
        <v>313</v>
      </c>
      <c r="H4" s="24" t="s">
        <v>313</v>
      </c>
      <c r="I4" s="24" t="s">
        <v>313</v>
      </c>
      <c r="J4" s="24" t="s">
        <v>313</v>
      </c>
    </row>
    <row r="5" spans="1:10" ht="30" customHeight="1">
      <c r="A5" s="1" t="s">
        <v>45</v>
      </c>
      <c r="B5" s="1" t="s">
        <v>314</v>
      </c>
      <c r="C5" s="1" t="s">
        <v>315</v>
      </c>
      <c r="D5" s="1" t="s">
        <v>316</v>
      </c>
      <c r="E5" s="1" t="s">
        <v>317</v>
      </c>
      <c r="F5" s="1" t="s">
        <v>318</v>
      </c>
      <c r="G5" s="1" t="s">
        <v>319</v>
      </c>
      <c r="H5" s="1" t="s">
        <v>320</v>
      </c>
      <c r="I5" s="1" t="s">
        <v>321</v>
      </c>
      <c r="J5" s="1" t="s">
        <v>222</v>
      </c>
    </row>
    <row r="6" spans="1:10" ht="74" customHeight="1">
      <c r="A6" s="2" t="s">
        <v>322</v>
      </c>
      <c r="B6" s="2" t="s">
        <v>323</v>
      </c>
      <c r="C6" s="2" t="s">
        <v>324</v>
      </c>
      <c r="D6" s="2" t="s">
        <v>325</v>
      </c>
      <c r="E6" s="2" t="s">
        <v>326</v>
      </c>
      <c r="F6" s="2" t="s">
        <v>327</v>
      </c>
      <c r="G6" s="2" t="s">
        <v>327</v>
      </c>
      <c r="H6" s="2" t="s">
        <v>328</v>
      </c>
      <c r="I6" s="2" t="s">
        <v>329</v>
      </c>
      <c r="J6" s="2" t="s">
        <v>330</v>
      </c>
    </row>
    <row r="7" spans="1:10" ht="74" customHeight="1">
      <c r="A7" s="2" t="s">
        <v>331</v>
      </c>
      <c r="B7" s="2" t="s">
        <v>157</v>
      </c>
      <c r="C7" s="2" t="s">
        <v>332</v>
      </c>
      <c r="D7" s="2" t="s">
        <v>333</v>
      </c>
      <c r="E7" s="2" t="s">
        <v>326</v>
      </c>
      <c r="F7" s="2" t="s">
        <v>334</v>
      </c>
      <c r="G7" s="2" t="s">
        <v>334</v>
      </c>
      <c r="H7" s="2" t="s">
        <v>335</v>
      </c>
      <c r="I7" s="2" t="s">
        <v>336</v>
      </c>
      <c r="J7" s="2" t="s">
        <v>337</v>
      </c>
    </row>
    <row r="8" spans="1:10" ht="74" customHeight="1">
      <c r="A8" s="2" t="s">
        <v>338</v>
      </c>
      <c r="B8" s="2" t="s">
        <v>339</v>
      </c>
      <c r="C8" s="2" t="s">
        <v>340</v>
      </c>
      <c r="D8" s="2" t="s">
        <v>341</v>
      </c>
      <c r="E8" s="2" t="s">
        <v>342</v>
      </c>
      <c r="F8" s="2" t="s">
        <v>235</v>
      </c>
      <c r="G8" s="2" t="s">
        <v>343</v>
      </c>
      <c r="H8" s="2" t="s">
        <v>344</v>
      </c>
      <c r="I8" s="2" t="s">
        <v>345</v>
      </c>
      <c r="J8" s="2" t="s">
        <v>346</v>
      </c>
    </row>
    <row r="9" spans="1:10" ht="74" customHeight="1">
      <c r="A9" s="2" t="s">
        <v>347</v>
      </c>
      <c r="B9" s="2" t="s">
        <v>348</v>
      </c>
      <c r="C9" s="2" t="s">
        <v>349</v>
      </c>
      <c r="D9" s="2" t="s">
        <v>350</v>
      </c>
      <c r="E9" s="2" t="s">
        <v>342</v>
      </c>
      <c r="F9" s="2" t="s">
        <v>235</v>
      </c>
      <c r="G9" s="2" t="s">
        <v>343</v>
      </c>
      <c r="H9" s="2" t="s">
        <v>351</v>
      </c>
      <c r="I9" s="2" t="s">
        <v>352</v>
      </c>
      <c r="J9" s="2" t="s">
        <v>353</v>
      </c>
    </row>
    <row r="10" spans="1:10" ht="74" customHeight="1">
      <c r="A10" s="2" t="s">
        <v>354</v>
      </c>
      <c r="B10" s="2" t="s">
        <v>290</v>
      </c>
      <c r="C10" s="2" t="s">
        <v>355</v>
      </c>
      <c r="D10" s="2" t="s">
        <v>287</v>
      </c>
      <c r="E10" s="2" t="s">
        <v>342</v>
      </c>
      <c r="F10" s="2" t="s">
        <v>235</v>
      </c>
      <c r="G10" s="2" t="s">
        <v>343</v>
      </c>
      <c r="H10" s="2" t="s">
        <v>356</v>
      </c>
      <c r="I10" s="2" t="s">
        <v>357</v>
      </c>
      <c r="J10" s="2" t="s">
        <v>358</v>
      </c>
    </row>
    <row r="11" spans="1:10" ht="74" customHeight="1">
      <c r="A11" s="2" t="s">
        <v>359</v>
      </c>
      <c r="B11" s="2" t="s">
        <v>360</v>
      </c>
      <c r="C11" s="2" t="s">
        <v>361</v>
      </c>
      <c r="D11" s="2" t="s">
        <v>292</v>
      </c>
      <c r="E11" s="2" t="s">
        <v>342</v>
      </c>
      <c r="F11" s="2" t="s">
        <v>235</v>
      </c>
      <c r="G11" s="2" t="s">
        <v>343</v>
      </c>
      <c r="H11" s="2" t="s">
        <v>362</v>
      </c>
      <c r="I11" s="2" t="s">
        <v>357</v>
      </c>
      <c r="J11" s="2" t="s">
        <v>363</v>
      </c>
    </row>
    <row r="12" spans="1:10" ht="74" customHeight="1">
      <c r="A12" s="2" t="s">
        <v>364</v>
      </c>
      <c r="B12" s="2" t="s">
        <v>365</v>
      </c>
      <c r="C12" s="2" t="s">
        <v>366</v>
      </c>
      <c r="D12" s="2" t="s">
        <v>367</v>
      </c>
      <c r="E12" s="2" t="s">
        <v>342</v>
      </c>
      <c r="F12" s="2" t="s">
        <v>368</v>
      </c>
      <c r="G12" s="2" t="s">
        <v>155</v>
      </c>
      <c r="H12" s="2" t="s">
        <v>369</v>
      </c>
      <c r="I12" s="2" t="s">
        <v>370</v>
      </c>
      <c r="J12" s="2" t="s">
        <v>371</v>
      </c>
    </row>
    <row r="13" spans="1:10" ht="74" customHeight="1">
      <c r="A13" s="2" t="s">
        <v>372</v>
      </c>
      <c r="B13" s="2" t="s">
        <v>373</v>
      </c>
      <c r="C13" s="2" t="s">
        <v>374</v>
      </c>
      <c r="D13" s="2" t="s">
        <v>375</v>
      </c>
      <c r="E13" s="2" t="s">
        <v>342</v>
      </c>
      <c r="F13" s="2" t="s">
        <v>155</v>
      </c>
      <c r="G13" s="2" t="s">
        <v>368</v>
      </c>
      <c r="H13" s="2" t="s">
        <v>376</v>
      </c>
      <c r="I13" s="2" t="s">
        <v>377</v>
      </c>
      <c r="J13" s="2" t="s">
        <v>378</v>
      </c>
    </row>
    <row r="14" spans="1:10" ht="74" customHeight="1">
      <c r="A14" s="2" t="s">
        <v>379</v>
      </c>
      <c r="B14" s="2" t="s">
        <v>162</v>
      </c>
      <c r="C14" s="2" t="s">
        <v>380</v>
      </c>
      <c r="D14" s="2" t="s">
        <v>381</v>
      </c>
      <c r="E14" s="2" t="s">
        <v>382</v>
      </c>
      <c r="F14" s="2" t="s">
        <v>327</v>
      </c>
      <c r="G14" s="2" t="s">
        <v>327</v>
      </c>
      <c r="H14" s="2" t="s">
        <v>383</v>
      </c>
      <c r="I14" s="2" t="s">
        <v>384</v>
      </c>
      <c r="J14" s="2" t="s">
        <v>385</v>
      </c>
    </row>
    <row r="15" spans="1:10" ht="74" customHeight="1">
      <c r="A15" s="2" t="s">
        <v>386</v>
      </c>
      <c r="B15" s="2" t="s">
        <v>387</v>
      </c>
      <c r="C15" s="2" t="s">
        <v>388</v>
      </c>
      <c r="D15" s="2" t="s">
        <v>389</v>
      </c>
      <c r="E15" s="2" t="s">
        <v>342</v>
      </c>
      <c r="F15" s="2" t="s">
        <v>368</v>
      </c>
      <c r="G15" s="2" t="s">
        <v>390</v>
      </c>
      <c r="H15" s="2" t="s">
        <v>391</v>
      </c>
      <c r="I15" s="2" t="s">
        <v>392</v>
      </c>
      <c r="J15" s="2" t="s">
        <v>393</v>
      </c>
    </row>
    <row r="16" spans="1:10" ht="74" customHeight="1">
      <c r="A16" s="2" t="s">
        <v>394</v>
      </c>
      <c r="B16" s="2" t="s">
        <v>395</v>
      </c>
      <c r="C16" s="2" t="s">
        <v>396</v>
      </c>
      <c r="D16" s="2" t="s">
        <v>397</v>
      </c>
      <c r="E16" s="2" t="s">
        <v>342</v>
      </c>
      <c r="F16" s="2" t="s">
        <v>327</v>
      </c>
      <c r="G16" s="2" t="s">
        <v>398</v>
      </c>
      <c r="H16" s="2" t="s">
        <v>399</v>
      </c>
      <c r="I16" s="2" t="s">
        <v>400</v>
      </c>
      <c r="J16" s="2" t="s">
        <v>401</v>
      </c>
    </row>
    <row r="17" spans="1:10" ht="74" customHeight="1">
      <c r="A17" s="2" t="s">
        <v>402</v>
      </c>
      <c r="B17" s="2" t="s">
        <v>403</v>
      </c>
      <c r="C17" s="2" t="s">
        <v>404</v>
      </c>
      <c r="D17" s="2" t="s">
        <v>405</v>
      </c>
      <c r="E17" s="2" t="s">
        <v>267</v>
      </c>
      <c r="F17" s="2" t="s">
        <v>327</v>
      </c>
      <c r="G17" s="2" t="s">
        <v>327</v>
      </c>
      <c r="H17" s="2" t="s">
        <v>406</v>
      </c>
      <c r="I17" s="2" t="s">
        <v>407</v>
      </c>
      <c r="J17" s="2" t="s">
        <v>408</v>
      </c>
    </row>
    <row r="19" spans="1:10" ht="23" customHeight="1">
      <c r="A19" s="34" t="s">
        <v>409</v>
      </c>
      <c r="B19" s="34" t="s">
        <v>409</v>
      </c>
      <c r="C19" s="34" t="s">
        <v>409</v>
      </c>
      <c r="D19" s="34" t="s">
        <v>409</v>
      </c>
      <c r="E19" s="34" t="s">
        <v>409</v>
      </c>
      <c r="F19" s="34" t="s">
        <v>409</v>
      </c>
      <c r="G19" s="34" t="s">
        <v>409</v>
      </c>
      <c r="H19" s="34" t="s">
        <v>409</v>
      </c>
      <c r="I19" s="34" t="s">
        <v>409</v>
      </c>
      <c r="J19" s="34" t="s">
        <v>409</v>
      </c>
    </row>
    <row r="20" spans="1:10" ht="30" customHeight="1">
      <c r="A20" s="1" t="s">
        <v>410</v>
      </c>
      <c r="B20" s="1" t="s">
        <v>53</v>
      </c>
      <c r="C20" s="1" t="s">
        <v>411</v>
      </c>
      <c r="D20" s="1" t="s">
        <v>412</v>
      </c>
      <c r="E20" s="1" t="s">
        <v>413</v>
      </c>
    </row>
    <row r="21" spans="1:10" ht="30">
      <c r="A21" s="2" t="s">
        <v>414</v>
      </c>
      <c r="B21" s="2" t="s">
        <v>415</v>
      </c>
      <c r="C21" s="2" t="s">
        <v>416</v>
      </c>
      <c r="D21" s="2" t="s">
        <v>417</v>
      </c>
      <c r="E21" s="2" t="s">
        <v>418</v>
      </c>
    </row>
    <row r="22" spans="1:10" ht="30">
      <c r="A22" s="2" t="s">
        <v>419</v>
      </c>
      <c r="B22" s="2" t="s">
        <v>420</v>
      </c>
      <c r="C22" s="2" t="s">
        <v>421</v>
      </c>
      <c r="D22" s="2" t="s">
        <v>422</v>
      </c>
      <c r="E22" s="2" t="s">
        <v>418</v>
      </c>
    </row>
    <row r="23" spans="1:10" ht="30">
      <c r="A23" s="2" t="s">
        <v>423</v>
      </c>
      <c r="B23" s="2" t="s">
        <v>424</v>
      </c>
      <c r="C23" s="2" t="s">
        <v>425</v>
      </c>
      <c r="D23" s="2" t="s">
        <v>426</v>
      </c>
      <c r="E23" s="2" t="s">
        <v>418</v>
      </c>
    </row>
    <row r="24" spans="1:10" ht="45">
      <c r="A24" s="2" t="s">
        <v>427</v>
      </c>
      <c r="B24" s="2" t="s">
        <v>428</v>
      </c>
      <c r="C24" s="2" t="s">
        <v>425</v>
      </c>
      <c r="D24" s="2" t="s">
        <v>429</v>
      </c>
      <c r="E24" s="2" t="s">
        <v>430</v>
      </c>
    </row>
    <row r="25" spans="1:10" ht="30">
      <c r="A25" s="2" t="s">
        <v>431</v>
      </c>
      <c r="B25" s="2" t="s">
        <v>432</v>
      </c>
      <c r="C25" s="2" t="s">
        <v>406</v>
      </c>
      <c r="D25" s="2" t="s">
        <v>433</v>
      </c>
      <c r="E25" s="2" t="s">
        <v>434</v>
      </c>
    </row>
  </sheetData>
  <mergeCells count="4">
    <mergeCell ref="A1:J1"/>
    <mergeCell ref="A2:J2"/>
    <mergeCell ref="A4:J4"/>
    <mergeCell ref="A19:J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
  <sheetViews>
    <sheetView showGridLines="0" workbookViewId="0"/>
  </sheetViews>
  <sheetFormatPr baseColWidth="10" defaultColWidth="8.83203125" defaultRowHeight="14"/>
  <cols>
    <col min="1" max="1" width="11" customWidth="1"/>
    <col min="2" max="2" width="22" customWidth="1"/>
    <col min="3" max="3" width="39" customWidth="1"/>
    <col min="4" max="4" width="18" customWidth="1"/>
    <col min="5" max="5" width="22" customWidth="1"/>
    <col min="6" max="6" width="17" customWidth="1"/>
    <col min="7" max="7" width="24" customWidth="1"/>
    <col min="8" max="8" width="46" customWidth="1"/>
    <col min="9" max="9" width="35" customWidth="1"/>
    <col min="10" max="10" width="14" customWidth="1"/>
  </cols>
  <sheetData>
    <row r="1" spans="1:10" ht="31" customHeight="1">
      <c r="A1" s="22" t="s">
        <v>435</v>
      </c>
      <c r="B1" s="22"/>
      <c r="C1" s="22"/>
      <c r="D1" s="22"/>
      <c r="E1" s="22"/>
      <c r="F1" s="22"/>
      <c r="G1" s="22"/>
      <c r="H1" s="22"/>
      <c r="I1" s="22"/>
      <c r="J1" s="22"/>
    </row>
    <row r="2" spans="1:10" ht="30" customHeight="1">
      <c r="A2" s="23" t="s">
        <v>436</v>
      </c>
      <c r="B2" s="23"/>
      <c r="C2" s="23"/>
      <c r="D2" s="23"/>
      <c r="E2" s="23"/>
      <c r="F2" s="23"/>
      <c r="G2" s="23"/>
      <c r="H2" s="23"/>
      <c r="I2" s="23"/>
      <c r="J2" s="23"/>
    </row>
    <row r="4" spans="1:10" ht="23" customHeight="1">
      <c r="A4" s="24" t="s">
        <v>437</v>
      </c>
      <c r="B4" s="24" t="s">
        <v>437</v>
      </c>
      <c r="C4" s="24" t="s">
        <v>437</v>
      </c>
      <c r="D4" s="24" t="s">
        <v>437</v>
      </c>
      <c r="E4" s="24" t="s">
        <v>437</v>
      </c>
      <c r="F4" s="24" t="s">
        <v>437</v>
      </c>
      <c r="G4" s="24" t="s">
        <v>437</v>
      </c>
      <c r="H4" s="24" t="s">
        <v>437</v>
      </c>
      <c r="I4" s="24" t="s">
        <v>437</v>
      </c>
      <c r="J4" s="24" t="s">
        <v>437</v>
      </c>
    </row>
    <row r="5" spans="1:10" ht="30" customHeight="1">
      <c r="A5" s="1" t="s">
        <v>45</v>
      </c>
      <c r="B5" s="1" t="s">
        <v>438</v>
      </c>
      <c r="C5" s="1" t="s">
        <v>439</v>
      </c>
      <c r="D5" s="1" t="s">
        <v>440</v>
      </c>
      <c r="E5" s="1" t="s">
        <v>317</v>
      </c>
      <c r="F5" s="1" t="s">
        <v>441</v>
      </c>
      <c r="G5" s="1" t="s">
        <v>442</v>
      </c>
      <c r="H5" s="1" t="s">
        <v>443</v>
      </c>
      <c r="I5" s="1" t="s">
        <v>444</v>
      </c>
      <c r="J5" s="1" t="s">
        <v>54</v>
      </c>
    </row>
    <row r="6" spans="1:10" ht="60" customHeight="1">
      <c r="A6" s="2" t="s">
        <v>445</v>
      </c>
      <c r="B6" s="2" t="s">
        <v>446</v>
      </c>
      <c r="C6" s="2" t="s">
        <v>447</v>
      </c>
      <c r="D6" s="10">
        <v>0.1</v>
      </c>
      <c r="E6" s="2" t="s">
        <v>448</v>
      </c>
      <c r="F6" s="2" t="s">
        <v>449</v>
      </c>
      <c r="G6" s="2" t="s">
        <v>450</v>
      </c>
      <c r="H6" s="2" t="s">
        <v>451</v>
      </c>
      <c r="I6" s="2" t="s">
        <v>452</v>
      </c>
      <c r="J6" s="3">
        <v>46221</v>
      </c>
    </row>
    <row r="7" spans="1:10" ht="60" customHeight="1">
      <c r="A7" s="2" t="s">
        <v>453</v>
      </c>
      <c r="B7" s="2" t="s">
        <v>446</v>
      </c>
      <c r="C7" s="2" t="s">
        <v>454</v>
      </c>
      <c r="D7" s="10">
        <v>0.25</v>
      </c>
      <c r="E7" s="2" t="s">
        <v>448</v>
      </c>
      <c r="F7" s="2" t="s">
        <v>449</v>
      </c>
      <c r="G7" s="2" t="s">
        <v>450</v>
      </c>
      <c r="H7" s="2" t="s">
        <v>455</v>
      </c>
      <c r="I7" s="2" t="s">
        <v>452</v>
      </c>
      <c r="J7" s="3">
        <v>46221</v>
      </c>
    </row>
    <row r="8" spans="1:10" ht="60" customHeight="1">
      <c r="A8" s="2" t="s">
        <v>456</v>
      </c>
      <c r="B8" s="2" t="s">
        <v>446</v>
      </c>
      <c r="C8" s="2" t="s">
        <v>457</v>
      </c>
      <c r="D8" s="10">
        <v>0.4</v>
      </c>
      <c r="E8" s="2" t="s">
        <v>448</v>
      </c>
      <c r="F8" s="2" t="s">
        <v>449</v>
      </c>
      <c r="G8" s="2" t="s">
        <v>450</v>
      </c>
      <c r="H8" s="2" t="s">
        <v>458</v>
      </c>
      <c r="I8" s="2" t="s">
        <v>452</v>
      </c>
      <c r="J8" s="3">
        <v>46221</v>
      </c>
    </row>
    <row r="9" spans="1:10" ht="60" customHeight="1">
      <c r="A9" s="2" t="s">
        <v>459</v>
      </c>
      <c r="B9" s="2" t="s">
        <v>395</v>
      </c>
      <c r="C9" s="2" t="s">
        <v>460</v>
      </c>
      <c r="D9" s="10">
        <v>0.1</v>
      </c>
      <c r="E9" s="2" t="s">
        <v>461</v>
      </c>
      <c r="F9" s="2" t="s">
        <v>235</v>
      </c>
      <c r="G9" s="2" t="s">
        <v>462</v>
      </c>
      <c r="H9" s="2" t="s">
        <v>463</v>
      </c>
      <c r="I9" s="2" t="s">
        <v>464</v>
      </c>
      <c r="J9" s="3">
        <v>46221</v>
      </c>
    </row>
    <row r="10" spans="1:10" ht="60" customHeight="1">
      <c r="A10" s="2" t="s">
        <v>465</v>
      </c>
      <c r="B10" s="2" t="s">
        <v>395</v>
      </c>
      <c r="C10" s="2" t="s">
        <v>466</v>
      </c>
      <c r="D10" s="10">
        <v>0.25</v>
      </c>
      <c r="E10" s="2" t="s">
        <v>461</v>
      </c>
      <c r="F10" s="2" t="s">
        <v>235</v>
      </c>
      <c r="G10" s="2" t="s">
        <v>462</v>
      </c>
      <c r="H10" s="2" t="s">
        <v>467</v>
      </c>
      <c r="I10" s="2" t="s">
        <v>464</v>
      </c>
      <c r="J10" s="3">
        <v>46221</v>
      </c>
    </row>
    <row r="11" spans="1:10" ht="60" customHeight="1">
      <c r="A11" s="2" t="s">
        <v>468</v>
      </c>
      <c r="B11" s="2" t="s">
        <v>395</v>
      </c>
      <c r="C11" s="2" t="s">
        <v>469</v>
      </c>
      <c r="D11" s="10">
        <v>0.5</v>
      </c>
      <c r="E11" s="2" t="s">
        <v>461</v>
      </c>
      <c r="F11" s="2" t="s">
        <v>235</v>
      </c>
      <c r="G11" s="2" t="s">
        <v>462</v>
      </c>
      <c r="H11" s="2" t="s">
        <v>470</v>
      </c>
      <c r="I11" s="2" t="s">
        <v>464</v>
      </c>
      <c r="J11" s="3">
        <v>46221</v>
      </c>
    </row>
    <row r="12" spans="1:10" ht="60" customHeight="1">
      <c r="A12" s="2" t="s">
        <v>471</v>
      </c>
      <c r="B12" s="2" t="s">
        <v>472</v>
      </c>
      <c r="C12" s="2" t="s">
        <v>253</v>
      </c>
      <c r="D12" s="11">
        <v>48</v>
      </c>
      <c r="E12" s="2" t="s">
        <v>473</v>
      </c>
      <c r="F12" s="2" t="s">
        <v>235</v>
      </c>
      <c r="G12" s="2" t="s">
        <v>257</v>
      </c>
      <c r="H12" s="2" t="s">
        <v>474</v>
      </c>
      <c r="I12" s="2" t="s">
        <v>475</v>
      </c>
      <c r="J12" s="3">
        <v>46221</v>
      </c>
    </row>
    <row r="13" spans="1:10" ht="60" customHeight="1">
      <c r="A13" s="2" t="s">
        <v>476</v>
      </c>
      <c r="B13" s="2" t="s">
        <v>472</v>
      </c>
      <c r="C13" s="2" t="s">
        <v>259</v>
      </c>
      <c r="D13" s="12">
        <v>65</v>
      </c>
      <c r="E13" s="2" t="s">
        <v>477</v>
      </c>
      <c r="F13" s="2" t="s">
        <v>235</v>
      </c>
      <c r="G13" s="2" t="s">
        <v>257</v>
      </c>
      <c r="H13" s="2" t="s">
        <v>478</v>
      </c>
      <c r="I13" s="2" t="s">
        <v>475</v>
      </c>
      <c r="J13" s="3">
        <v>46221</v>
      </c>
    </row>
    <row r="14" spans="1:10" ht="60" customHeight="1">
      <c r="A14" s="2" t="s">
        <v>479</v>
      </c>
      <c r="B14" s="2" t="s">
        <v>472</v>
      </c>
      <c r="C14" s="2" t="s">
        <v>283</v>
      </c>
      <c r="D14" s="12">
        <v>95</v>
      </c>
      <c r="E14" s="2" t="s">
        <v>477</v>
      </c>
      <c r="F14" s="2" t="s">
        <v>235</v>
      </c>
      <c r="G14" s="2" t="s">
        <v>257</v>
      </c>
      <c r="H14" s="2" t="s">
        <v>478</v>
      </c>
      <c r="I14" s="2" t="s">
        <v>475</v>
      </c>
      <c r="J14" s="3">
        <v>46221</v>
      </c>
    </row>
    <row r="15" spans="1:10" ht="60" customHeight="1">
      <c r="A15" s="2" t="s">
        <v>480</v>
      </c>
      <c r="B15" s="2" t="s">
        <v>472</v>
      </c>
      <c r="C15" s="2" t="s">
        <v>481</v>
      </c>
      <c r="D15" s="10">
        <v>0.08</v>
      </c>
      <c r="E15" s="2" t="s">
        <v>482</v>
      </c>
      <c r="F15" s="2" t="s">
        <v>235</v>
      </c>
      <c r="G15" s="2" t="s">
        <v>483</v>
      </c>
      <c r="H15" s="2" t="s">
        <v>484</v>
      </c>
      <c r="I15" s="2" t="s">
        <v>485</v>
      </c>
      <c r="J15" s="3">
        <v>46221</v>
      </c>
    </row>
    <row r="16" spans="1:10" ht="60" customHeight="1">
      <c r="A16" s="2" t="s">
        <v>486</v>
      </c>
      <c r="B16" s="2" t="s">
        <v>472</v>
      </c>
      <c r="C16" s="2" t="s">
        <v>487</v>
      </c>
      <c r="D16" s="10">
        <v>0.5</v>
      </c>
      <c r="E16" s="2" t="s">
        <v>488</v>
      </c>
      <c r="F16" s="2" t="s">
        <v>235</v>
      </c>
      <c r="G16" s="2" t="s">
        <v>489</v>
      </c>
      <c r="H16" s="2" t="s">
        <v>490</v>
      </c>
      <c r="I16" s="2" t="s">
        <v>485</v>
      </c>
      <c r="J16" s="3">
        <v>46221</v>
      </c>
    </row>
    <row r="18" spans="1:10" ht="42" customHeight="1">
      <c r="A18" s="35" t="s">
        <v>491</v>
      </c>
      <c r="B18" s="36" t="s">
        <v>491</v>
      </c>
      <c r="C18" s="36" t="s">
        <v>491</v>
      </c>
      <c r="D18" s="36" t="s">
        <v>491</v>
      </c>
      <c r="E18" s="36" t="s">
        <v>491</v>
      </c>
      <c r="F18" s="36" t="s">
        <v>491</v>
      </c>
      <c r="G18" s="36" t="s">
        <v>491</v>
      </c>
      <c r="H18" s="36" t="s">
        <v>491</v>
      </c>
      <c r="I18" s="36" t="s">
        <v>491</v>
      </c>
      <c r="J18" s="37" t="s">
        <v>491</v>
      </c>
    </row>
    <row r="19" spans="1:10" ht="42" customHeight="1">
      <c r="A19" s="38" t="s">
        <v>491</v>
      </c>
      <c r="B19" s="39" t="s">
        <v>491</v>
      </c>
      <c r="C19" s="39" t="s">
        <v>491</v>
      </c>
      <c r="D19" s="39" t="s">
        <v>491</v>
      </c>
      <c r="E19" s="39" t="s">
        <v>491</v>
      </c>
      <c r="F19" s="39" t="s">
        <v>491</v>
      </c>
      <c r="G19" s="39" t="s">
        <v>491</v>
      </c>
      <c r="H19" s="39" t="s">
        <v>491</v>
      </c>
      <c r="I19" s="39" t="s">
        <v>491</v>
      </c>
      <c r="J19" s="40" t="s">
        <v>491</v>
      </c>
    </row>
    <row r="20" spans="1:10" ht="42" customHeight="1">
      <c r="A20" s="41" t="s">
        <v>491</v>
      </c>
      <c r="B20" s="42" t="s">
        <v>491</v>
      </c>
      <c r="C20" s="42" t="s">
        <v>491</v>
      </c>
      <c r="D20" s="42" t="s">
        <v>491</v>
      </c>
      <c r="E20" s="42" t="s">
        <v>491</v>
      </c>
      <c r="F20" s="42" t="s">
        <v>491</v>
      </c>
      <c r="G20" s="42" t="s">
        <v>491</v>
      </c>
      <c r="H20" s="42" t="s">
        <v>491</v>
      </c>
      <c r="I20" s="42" t="s">
        <v>491</v>
      </c>
      <c r="J20" s="43" t="s">
        <v>491</v>
      </c>
    </row>
  </sheetData>
  <mergeCells count="4">
    <mergeCell ref="A1:J1"/>
    <mergeCell ref="A2:J2"/>
    <mergeCell ref="A4:J4"/>
    <mergeCell ref="A18:J20"/>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0"/>
  <sheetViews>
    <sheetView showGridLines="0" workbookViewId="0"/>
  </sheetViews>
  <sheetFormatPr baseColWidth="10" defaultColWidth="8.83203125" defaultRowHeight="14"/>
  <cols>
    <col min="1" max="10" width="22" customWidth="1"/>
  </cols>
  <sheetData>
    <row r="1" spans="1:10" ht="31" customHeight="1">
      <c r="A1" s="22" t="s">
        <v>23</v>
      </c>
      <c r="B1" s="22"/>
      <c r="C1" s="22"/>
      <c r="D1" s="22"/>
      <c r="E1" s="22"/>
      <c r="F1" s="22"/>
      <c r="G1" s="22"/>
      <c r="H1" s="22"/>
      <c r="I1" s="22"/>
      <c r="J1" s="22"/>
    </row>
    <row r="2" spans="1:10" ht="30" customHeight="1">
      <c r="A2" s="23" t="s">
        <v>492</v>
      </c>
      <c r="B2" s="23"/>
      <c r="C2" s="23"/>
      <c r="D2" s="23"/>
      <c r="E2" s="23"/>
      <c r="F2" s="23"/>
      <c r="G2" s="23"/>
      <c r="H2" s="23"/>
      <c r="I2" s="23"/>
      <c r="J2" s="23"/>
    </row>
    <row r="4" spans="1:10" ht="23" customHeight="1">
      <c r="A4" s="34" t="s">
        <v>493</v>
      </c>
      <c r="B4" s="34" t="s">
        <v>493</v>
      </c>
      <c r="C4" s="34" t="s">
        <v>493</v>
      </c>
      <c r="D4" s="34" t="s">
        <v>493</v>
      </c>
      <c r="E4" s="34" t="s">
        <v>493</v>
      </c>
      <c r="F4" s="34" t="s">
        <v>493</v>
      </c>
      <c r="G4" s="34" t="s">
        <v>493</v>
      </c>
      <c r="H4" s="34" t="s">
        <v>493</v>
      </c>
      <c r="I4" s="34" t="s">
        <v>493</v>
      </c>
      <c r="J4" s="34" t="s">
        <v>493</v>
      </c>
    </row>
    <row r="5" spans="1:10">
      <c r="A5" s="62" t="s">
        <v>494</v>
      </c>
      <c r="B5" s="63"/>
      <c r="C5" s="63"/>
      <c r="D5" s="63"/>
      <c r="E5" s="63"/>
      <c r="F5" s="63"/>
      <c r="G5" s="63"/>
      <c r="H5" s="63"/>
      <c r="I5" s="63"/>
      <c r="J5" s="64"/>
    </row>
    <row r="6" spans="1:10">
      <c r="A6" s="65"/>
      <c r="B6" s="66"/>
      <c r="C6" s="66"/>
      <c r="D6" s="66"/>
      <c r="E6" s="66"/>
      <c r="F6" s="66"/>
      <c r="G6" s="66"/>
      <c r="H6" s="66"/>
      <c r="I6" s="66"/>
      <c r="J6" s="67"/>
    </row>
    <row r="8" spans="1:10" ht="23" customHeight="1">
      <c r="A8" s="34" t="s">
        <v>495</v>
      </c>
      <c r="B8" s="34" t="s">
        <v>495</v>
      </c>
      <c r="C8" s="34" t="s">
        <v>495</v>
      </c>
      <c r="D8" s="34" t="s">
        <v>495</v>
      </c>
      <c r="E8" s="34" t="s">
        <v>495</v>
      </c>
      <c r="F8" s="34" t="s">
        <v>495</v>
      </c>
      <c r="G8" s="34" t="s">
        <v>495</v>
      </c>
      <c r="H8" s="34" t="s">
        <v>495</v>
      </c>
      <c r="I8" s="34" t="s">
        <v>495</v>
      </c>
      <c r="J8" s="34" t="s">
        <v>495</v>
      </c>
    </row>
    <row r="9" spans="1:10">
      <c r="A9" s="62" t="s">
        <v>496</v>
      </c>
      <c r="B9" s="63"/>
      <c r="C9" s="63"/>
      <c r="D9" s="63"/>
      <c r="E9" s="63"/>
      <c r="F9" s="63"/>
      <c r="G9" s="63"/>
      <c r="H9" s="63"/>
      <c r="I9" s="63"/>
      <c r="J9" s="64"/>
    </row>
    <row r="10" spans="1:10">
      <c r="A10" s="65"/>
      <c r="B10" s="66"/>
      <c r="C10" s="66"/>
      <c r="D10" s="66"/>
      <c r="E10" s="66"/>
      <c r="F10" s="66"/>
      <c r="G10" s="66"/>
      <c r="H10" s="66"/>
      <c r="I10" s="66"/>
      <c r="J10" s="67"/>
    </row>
    <row r="12" spans="1:10" ht="23" customHeight="1">
      <c r="A12" s="34" t="s">
        <v>497</v>
      </c>
      <c r="B12" s="34" t="s">
        <v>497</v>
      </c>
      <c r="C12" s="34" t="s">
        <v>497</v>
      </c>
      <c r="D12" s="34" t="s">
        <v>497</v>
      </c>
      <c r="E12" s="34" t="s">
        <v>497</v>
      </c>
      <c r="F12" s="34" t="s">
        <v>497</v>
      </c>
      <c r="G12" s="34" t="s">
        <v>497</v>
      </c>
      <c r="H12" s="34" t="s">
        <v>497</v>
      </c>
      <c r="I12" s="34" t="s">
        <v>497</v>
      </c>
      <c r="J12" s="34" t="s">
        <v>497</v>
      </c>
    </row>
    <row r="13" spans="1:10">
      <c r="A13" s="62" t="s">
        <v>498</v>
      </c>
      <c r="B13" s="63"/>
      <c r="C13" s="63"/>
      <c r="D13" s="63"/>
      <c r="E13" s="63"/>
      <c r="F13" s="63"/>
      <c r="G13" s="63"/>
      <c r="H13" s="63"/>
      <c r="I13" s="63"/>
      <c r="J13" s="64"/>
    </row>
    <row r="14" spans="1:10">
      <c r="A14" s="65"/>
      <c r="B14" s="66"/>
      <c r="C14" s="66"/>
      <c r="D14" s="66"/>
      <c r="E14" s="66"/>
      <c r="F14" s="66"/>
      <c r="G14" s="66"/>
      <c r="H14" s="66"/>
      <c r="I14" s="66"/>
      <c r="J14" s="67"/>
    </row>
    <row r="16" spans="1:10" ht="23" customHeight="1">
      <c r="A16" s="34" t="s">
        <v>499</v>
      </c>
      <c r="B16" s="34" t="s">
        <v>499</v>
      </c>
      <c r="C16" s="34" t="s">
        <v>499</v>
      </c>
      <c r="D16" s="34" t="s">
        <v>499</v>
      </c>
      <c r="E16" s="34" t="s">
        <v>499</v>
      </c>
      <c r="F16" s="34" t="s">
        <v>499</v>
      </c>
      <c r="G16" s="34" t="s">
        <v>499</v>
      </c>
      <c r="H16" s="34" t="s">
        <v>499</v>
      </c>
      <c r="I16" s="34" t="s">
        <v>499</v>
      </c>
      <c r="J16" s="34" t="s">
        <v>499</v>
      </c>
    </row>
    <row r="17" spans="1:10">
      <c r="A17" s="62" t="s">
        <v>500</v>
      </c>
      <c r="B17" s="63"/>
      <c r="C17" s="63"/>
      <c r="D17" s="63"/>
      <c r="E17" s="63"/>
      <c r="F17" s="63"/>
      <c r="G17" s="63"/>
      <c r="H17" s="63"/>
      <c r="I17" s="63"/>
      <c r="J17" s="64"/>
    </row>
    <row r="18" spans="1:10">
      <c r="A18" s="65"/>
      <c r="B18" s="66"/>
      <c r="C18" s="66"/>
      <c r="D18" s="66"/>
      <c r="E18" s="66"/>
      <c r="F18" s="66"/>
      <c r="G18" s="66"/>
      <c r="H18" s="66"/>
      <c r="I18" s="66"/>
      <c r="J18" s="67"/>
    </row>
    <row r="20" spans="1:10" ht="23" customHeight="1">
      <c r="A20" s="34" t="s">
        <v>501</v>
      </c>
      <c r="B20" s="34" t="s">
        <v>501</v>
      </c>
      <c r="C20" s="34" t="s">
        <v>501</v>
      </c>
      <c r="D20" s="34" t="s">
        <v>501</v>
      </c>
      <c r="E20" s="34" t="s">
        <v>501</v>
      </c>
      <c r="F20" s="34" t="s">
        <v>501</v>
      </c>
      <c r="G20" s="34" t="s">
        <v>501</v>
      </c>
      <c r="H20" s="34" t="s">
        <v>501</v>
      </c>
      <c r="I20" s="34" t="s">
        <v>501</v>
      </c>
      <c r="J20" s="34" t="s">
        <v>501</v>
      </c>
    </row>
    <row r="21" spans="1:10">
      <c r="A21" s="62" t="s">
        <v>502</v>
      </c>
      <c r="B21" s="63"/>
      <c r="C21" s="63"/>
      <c r="D21" s="63"/>
      <c r="E21" s="63"/>
      <c r="F21" s="63"/>
      <c r="G21" s="63"/>
      <c r="H21" s="63"/>
      <c r="I21" s="63"/>
      <c r="J21" s="64"/>
    </row>
    <row r="22" spans="1:10">
      <c r="A22" s="65"/>
      <c r="B22" s="66"/>
      <c r="C22" s="66"/>
      <c r="D22" s="66"/>
      <c r="E22" s="66"/>
      <c r="F22" s="66"/>
      <c r="G22" s="66"/>
      <c r="H22" s="66"/>
      <c r="I22" s="66"/>
      <c r="J22" s="67"/>
    </row>
    <row r="24" spans="1:10" ht="23" customHeight="1">
      <c r="A24" s="34" t="s">
        <v>503</v>
      </c>
      <c r="B24" s="34" t="s">
        <v>503</v>
      </c>
      <c r="C24" s="34" t="s">
        <v>503</v>
      </c>
      <c r="D24" s="34" t="s">
        <v>503</v>
      </c>
      <c r="E24" s="34" t="s">
        <v>503</v>
      </c>
      <c r="F24" s="34" t="s">
        <v>503</v>
      </c>
      <c r="G24" s="34" t="s">
        <v>503</v>
      </c>
      <c r="H24" s="34" t="s">
        <v>503</v>
      </c>
      <c r="I24" s="34" t="s">
        <v>503</v>
      </c>
      <c r="J24" s="34" t="s">
        <v>503</v>
      </c>
    </row>
    <row r="25" spans="1:10">
      <c r="A25" s="62" t="s">
        <v>504</v>
      </c>
      <c r="B25" s="63"/>
      <c r="C25" s="63"/>
      <c r="D25" s="63"/>
      <c r="E25" s="63"/>
      <c r="F25" s="63"/>
      <c r="G25" s="63"/>
      <c r="H25" s="63"/>
      <c r="I25" s="63"/>
      <c r="J25" s="64"/>
    </row>
    <row r="26" spans="1:10">
      <c r="A26" s="65"/>
      <c r="B26" s="66"/>
      <c r="C26" s="66"/>
      <c r="D26" s="66"/>
      <c r="E26" s="66"/>
      <c r="F26" s="66"/>
      <c r="G26" s="66"/>
      <c r="H26" s="66"/>
      <c r="I26" s="66"/>
      <c r="J26" s="67"/>
    </row>
    <row r="28" spans="1:10" ht="23" customHeight="1">
      <c r="A28" s="34" t="s">
        <v>505</v>
      </c>
      <c r="B28" s="34" t="s">
        <v>505</v>
      </c>
      <c r="C28" s="34" t="s">
        <v>505</v>
      </c>
      <c r="D28" s="34" t="s">
        <v>505</v>
      </c>
      <c r="E28" s="34" t="s">
        <v>505</v>
      </c>
      <c r="F28" s="34" t="s">
        <v>505</v>
      </c>
      <c r="G28" s="34" t="s">
        <v>505</v>
      </c>
      <c r="H28" s="34" t="s">
        <v>505</v>
      </c>
      <c r="I28" s="34" t="s">
        <v>505</v>
      </c>
      <c r="J28" s="34" t="s">
        <v>505</v>
      </c>
    </row>
    <row r="29" spans="1:10">
      <c r="A29" s="62" t="s">
        <v>506</v>
      </c>
      <c r="B29" s="63"/>
      <c r="C29" s="63"/>
      <c r="D29" s="63"/>
      <c r="E29" s="63"/>
      <c r="F29" s="63"/>
      <c r="G29" s="63"/>
      <c r="H29" s="63"/>
      <c r="I29" s="63"/>
      <c r="J29" s="64"/>
    </row>
    <row r="30" spans="1:10">
      <c r="A30" s="65"/>
      <c r="B30" s="66"/>
      <c r="C30" s="66"/>
      <c r="D30" s="66"/>
      <c r="E30" s="66"/>
      <c r="F30" s="66"/>
      <c r="G30" s="66"/>
      <c r="H30" s="66"/>
      <c r="I30" s="66"/>
      <c r="J30" s="67"/>
    </row>
  </sheetData>
  <mergeCells count="16">
    <mergeCell ref="A29:J30"/>
    <mergeCell ref="A20:J20"/>
    <mergeCell ref="A21:J22"/>
    <mergeCell ref="A24:J24"/>
    <mergeCell ref="A25:J26"/>
    <mergeCell ref="A28:J28"/>
    <mergeCell ref="A9:J10"/>
    <mergeCell ref="A12:J12"/>
    <mergeCell ref="A13:J14"/>
    <mergeCell ref="A16:J16"/>
    <mergeCell ref="A17:J18"/>
    <mergeCell ref="A1:J1"/>
    <mergeCell ref="A2:J2"/>
    <mergeCell ref="A4:J4"/>
    <mergeCell ref="A5:J6"/>
    <mergeCell ref="A8:J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8"/>
  <sheetViews>
    <sheetView showGridLines="0" workbookViewId="0"/>
  </sheetViews>
  <sheetFormatPr baseColWidth="10" defaultColWidth="8.83203125" defaultRowHeight="14"/>
  <cols>
    <col min="1" max="1" width="37" customWidth="1"/>
    <col min="2" max="2" width="26" customWidth="1"/>
    <col min="3" max="3" width="31" customWidth="1"/>
    <col min="4" max="4" width="15" customWidth="1"/>
    <col min="5" max="5" width="18" customWidth="1"/>
    <col min="6" max="6" width="31" customWidth="1"/>
    <col min="7" max="7" width="25" customWidth="1"/>
    <col min="8" max="8" width="18" customWidth="1"/>
    <col min="9" max="9" width="31" customWidth="1"/>
    <col min="10" max="10" width="48" customWidth="1"/>
  </cols>
  <sheetData>
    <row r="1" spans="1:10" ht="31" customHeight="1">
      <c r="A1" s="22" t="s">
        <v>507</v>
      </c>
      <c r="B1" s="22"/>
      <c r="C1" s="22"/>
      <c r="D1" s="22"/>
      <c r="E1" s="22"/>
      <c r="F1" s="22"/>
      <c r="G1" s="22"/>
      <c r="H1" s="22"/>
      <c r="I1" s="22"/>
      <c r="J1" s="22"/>
    </row>
    <row r="2" spans="1:10" ht="30" customHeight="1">
      <c r="A2" s="23" t="s">
        <v>508</v>
      </c>
      <c r="B2" s="23"/>
      <c r="C2" s="23"/>
      <c r="D2" s="23"/>
      <c r="E2" s="23"/>
      <c r="F2" s="23"/>
      <c r="G2" s="23"/>
      <c r="H2" s="23"/>
      <c r="I2" s="23"/>
      <c r="J2" s="23"/>
    </row>
    <row r="4" spans="1:10" ht="23" customHeight="1">
      <c r="A4" s="24" t="s">
        <v>159</v>
      </c>
      <c r="B4" s="24" t="s">
        <v>159</v>
      </c>
      <c r="C4" s="24" t="s">
        <v>159</v>
      </c>
      <c r="D4" s="24" t="s">
        <v>159</v>
      </c>
      <c r="F4" s="24" t="s">
        <v>509</v>
      </c>
      <c r="G4" s="24" t="s">
        <v>509</v>
      </c>
      <c r="H4" s="24" t="s">
        <v>509</v>
      </c>
      <c r="I4" s="24" t="s">
        <v>509</v>
      </c>
      <c r="J4" s="24" t="s">
        <v>509</v>
      </c>
    </row>
    <row r="5" spans="1:10" ht="29" customHeight="1">
      <c r="A5" s="2" t="s">
        <v>231</v>
      </c>
      <c r="B5" s="9" t="s">
        <v>234</v>
      </c>
      <c r="C5" s="2" t="s">
        <v>406</v>
      </c>
      <c r="F5" s="2" t="s">
        <v>323</v>
      </c>
      <c r="G5" s="16">
        <f>B6*B7*B8</f>
        <v>23040</v>
      </c>
      <c r="I5" s="1" t="s">
        <v>409</v>
      </c>
      <c r="J5" s="1" t="s">
        <v>510</v>
      </c>
    </row>
    <row r="6" spans="1:10" ht="29" customHeight="1">
      <c r="A6" s="2" t="s">
        <v>240</v>
      </c>
      <c r="B6" s="11">
        <v>12</v>
      </c>
      <c r="C6" s="2" t="s">
        <v>511</v>
      </c>
      <c r="F6" s="2" t="s">
        <v>157</v>
      </c>
      <c r="G6" s="16">
        <f>G5*B10</f>
        <v>1843.2</v>
      </c>
      <c r="I6" s="2" t="s">
        <v>414</v>
      </c>
      <c r="J6" s="7">
        <f>G7</f>
        <v>119808</v>
      </c>
    </row>
    <row r="7" spans="1:10" ht="29" customHeight="1">
      <c r="A7" s="2" t="s">
        <v>512</v>
      </c>
      <c r="B7" s="11">
        <v>40</v>
      </c>
      <c r="C7" s="2" t="s">
        <v>251</v>
      </c>
      <c r="F7" s="2" t="s">
        <v>339</v>
      </c>
      <c r="G7" s="17">
        <f>G6*B9</f>
        <v>119808</v>
      </c>
      <c r="I7" s="2" t="s">
        <v>419</v>
      </c>
      <c r="J7" s="7">
        <f>G8</f>
        <v>13680</v>
      </c>
    </row>
    <row r="8" spans="1:10" ht="29" customHeight="1">
      <c r="A8" s="2" t="s">
        <v>513</v>
      </c>
      <c r="B8" s="11">
        <v>48</v>
      </c>
      <c r="C8" s="2" t="s">
        <v>257</v>
      </c>
      <c r="F8" s="2" t="s">
        <v>348</v>
      </c>
      <c r="G8" s="17">
        <f>B12*B8*B13</f>
        <v>13680</v>
      </c>
      <c r="I8" s="2" t="s">
        <v>423</v>
      </c>
      <c r="J8" s="7">
        <f>G9</f>
        <v>12000</v>
      </c>
    </row>
    <row r="9" spans="1:10" ht="29" customHeight="1">
      <c r="A9" s="2" t="s">
        <v>259</v>
      </c>
      <c r="B9" s="12">
        <v>65</v>
      </c>
      <c r="C9" s="2" t="s">
        <v>477</v>
      </c>
      <c r="F9" s="2" t="s">
        <v>514</v>
      </c>
      <c r="G9" s="17">
        <f>B14</f>
        <v>12000</v>
      </c>
      <c r="I9" s="2" t="s">
        <v>427</v>
      </c>
      <c r="J9" s="7">
        <f>G10</f>
        <v>0</v>
      </c>
    </row>
    <row r="10" spans="1:10" ht="29" customHeight="1">
      <c r="A10" s="2" t="s">
        <v>515</v>
      </c>
      <c r="B10" s="13">
        <v>0.08</v>
      </c>
      <c r="C10" s="2" t="s">
        <v>482</v>
      </c>
      <c r="F10" s="2" t="s">
        <v>516</v>
      </c>
      <c r="G10" s="17">
        <f>B15</f>
        <v>0</v>
      </c>
      <c r="I10" s="2" t="s">
        <v>517</v>
      </c>
      <c r="J10" s="6">
        <f>1</f>
        <v>1</v>
      </c>
    </row>
    <row r="11" spans="1:10" ht="29" customHeight="1">
      <c r="A11" s="2" t="s">
        <v>518</v>
      </c>
      <c r="B11" s="13">
        <v>0.5</v>
      </c>
      <c r="C11" s="2" t="s">
        <v>488</v>
      </c>
      <c r="F11" s="2" t="s">
        <v>365</v>
      </c>
      <c r="G11" s="18">
        <f>SUM(G7:G10)</f>
        <v>145488</v>
      </c>
      <c r="I11" s="2" t="s">
        <v>519</v>
      </c>
      <c r="J11" s="6">
        <v>0</v>
      </c>
    </row>
    <row r="12" spans="1:10" ht="29" customHeight="1">
      <c r="A12" s="2" t="s">
        <v>520</v>
      </c>
      <c r="B12" s="14">
        <v>3</v>
      </c>
      <c r="C12" s="2" t="s">
        <v>278</v>
      </c>
      <c r="F12" s="2" t="s">
        <v>521</v>
      </c>
      <c r="G12" s="18">
        <f>G11*(1-G20)</f>
        <v>109116</v>
      </c>
      <c r="I12" s="2" t="s">
        <v>320</v>
      </c>
      <c r="J12" s="2" t="s">
        <v>522</v>
      </c>
    </row>
    <row r="13" spans="1:10" ht="29" customHeight="1">
      <c r="A13" s="2" t="s">
        <v>523</v>
      </c>
      <c r="B13" s="15">
        <v>95</v>
      </c>
      <c r="C13" s="2" t="s">
        <v>477</v>
      </c>
      <c r="F13" s="2" t="s">
        <v>524</v>
      </c>
      <c r="G13" s="18">
        <f>G11*(1+G20)</f>
        <v>181860</v>
      </c>
    </row>
    <row r="14" spans="1:10" ht="29" customHeight="1">
      <c r="A14" s="2" t="s">
        <v>525</v>
      </c>
      <c r="B14" s="15">
        <v>12000</v>
      </c>
      <c r="C14" s="2" t="s">
        <v>278</v>
      </c>
      <c r="F14" s="2" t="s">
        <v>526</v>
      </c>
      <c r="G14" s="18">
        <f>G11/12</f>
        <v>12124</v>
      </c>
    </row>
    <row r="15" spans="1:10" ht="29" customHeight="1">
      <c r="A15" s="2" t="s">
        <v>527</v>
      </c>
      <c r="B15" s="15">
        <v>0</v>
      </c>
      <c r="C15" s="2" t="s">
        <v>528</v>
      </c>
      <c r="F15" s="2" t="s">
        <v>529</v>
      </c>
      <c r="G15" s="18">
        <f>G11/B6</f>
        <v>12124</v>
      </c>
    </row>
    <row r="16" spans="1:10" ht="29" customHeight="1">
      <c r="A16" s="2" t="s">
        <v>297</v>
      </c>
      <c r="B16" s="15">
        <v>1000000</v>
      </c>
      <c r="C16" s="2" t="s">
        <v>530</v>
      </c>
      <c r="F16" s="2" t="s">
        <v>531</v>
      </c>
      <c r="G16" s="19">
        <f>G6/(B7*B8)</f>
        <v>0.96000000000000008</v>
      </c>
    </row>
    <row r="17" spans="1:10" ht="29" customHeight="1">
      <c r="A17" s="2" t="s">
        <v>301</v>
      </c>
      <c r="B17" s="15">
        <v>0</v>
      </c>
      <c r="C17" s="2" t="s">
        <v>530</v>
      </c>
      <c r="F17" s="2" t="s">
        <v>373</v>
      </c>
      <c r="G17" s="18">
        <f>G11*B11</f>
        <v>72744</v>
      </c>
    </row>
    <row r="18" spans="1:10" ht="29" customHeight="1">
      <c r="A18" s="2" t="s">
        <v>532</v>
      </c>
      <c r="B18" s="9" t="s">
        <v>306</v>
      </c>
      <c r="C18" s="2" t="s">
        <v>533</v>
      </c>
      <c r="F18" s="2" t="s">
        <v>534</v>
      </c>
      <c r="G18" s="20">
        <f>IF(B16&gt;0,G11/B16,0)</f>
        <v>0.14548800000000001</v>
      </c>
    </row>
    <row r="19" spans="1:10" ht="29" customHeight="1">
      <c r="F19" s="2" t="s">
        <v>535</v>
      </c>
      <c r="G19" s="20">
        <f>IF(B17&gt;0,G11/B17,0)</f>
        <v>0</v>
      </c>
    </row>
    <row r="20" spans="1:10" ht="29" customHeight="1">
      <c r="F20" s="2" t="s">
        <v>536</v>
      </c>
      <c r="G20" s="20">
        <f>IF(B18="High",'05 Assumption Library'!$D$6,IF(B18="Low",'05 Assumption Library'!$D$8,'05 Assumption Library'!$D$7))</f>
        <v>0.25</v>
      </c>
    </row>
    <row r="22" spans="1:10" ht="23" customHeight="1">
      <c r="A22" s="34" t="s">
        <v>537</v>
      </c>
      <c r="B22" s="34" t="s">
        <v>537</v>
      </c>
      <c r="C22" s="34" t="s">
        <v>537</v>
      </c>
      <c r="D22" s="34" t="s">
        <v>537</v>
      </c>
      <c r="E22" s="34" t="s">
        <v>537</v>
      </c>
      <c r="F22" s="34" t="s">
        <v>537</v>
      </c>
      <c r="G22" s="34" t="s">
        <v>537</v>
      </c>
      <c r="H22" s="34" t="s">
        <v>537</v>
      </c>
      <c r="I22" s="34" t="s">
        <v>537</v>
      </c>
      <c r="J22" s="34" t="s">
        <v>537</v>
      </c>
    </row>
    <row r="23" spans="1:10" ht="30" customHeight="1">
      <c r="A23" s="1" t="s">
        <v>538</v>
      </c>
      <c r="B23" s="1" t="s">
        <v>539</v>
      </c>
      <c r="C23" s="1" t="s">
        <v>540</v>
      </c>
      <c r="D23" s="1" t="s">
        <v>541</v>
      </c>
      <c r="E23" s="1" t="s">
        <v>320</v>
      </c>
    </row>
    <row r="24" spans="1:10" ht="30">
      <c r="A24" s="2" t="s">
        <v>542</v>
      </c>
      <c r="B24" s="6">
        <v>0.1</v>
      </c>
      <c r="C24" s="7">
        <f>$G$17*B24</f>
        <v>7274.4000000000005</v>
      </c>
      <c r="D24" s="7">
        <f>C24/12</f>
        <v>606.20000000000005</v>
      </c>
      <c r="E24" s="2" t="s">
        <v>543</v>
      </c>
    </row>
    <row r="25" spans="1:10" ht="45">
      <c r="A25" s="2" t="s">
        <v>544</v>
      </c>
      <c r="B25" s="6">
        <v>0.25</v>
      </c>
      <c r="C25" s="7">
        <f>$G$17*B25</f>
        <v>18186</v>
      </c>
      <c r="D25" s="7">
        <f>C25/12</f>
        <v>1515.5</v>
      </c>
      <c r="E25" s="2" t="s">
        <v>545</v>
      </c>
    </row>
    <row r="26" spans="1:10" ht="60">
      <c r="A26" s="2" t="s">
        <v>546</v>
      </c>
      <c r="B26" s="6">
        <v>0.5</v>
      </c>
      <c r="C26" s="7">
        <f>$G$17*B26</f>
        <v>36372</v>
      </c>
      <c r="D26" s="7">
        <f>C26/12</f>
        <v>3031</v>
      </c>
      <c r="E26" s="2" t="s">
        <v>547</v>
      </c>
    </row>
    <row r="28" spans="1:10" ht="42" customHeight="1">
      <c r="A28" s="53" t="s">
        <v>217</v>
      </c>
      <c r="B28" s="54" t="s">
        <v>217</v>
      </c>
      <c r="C28" s="54" t="s">
        <v>217</v>
      </c>
      <c r="D28" s="54" t="s">
        <v>217</v>
      </c>
      <c r="E28" s="54" t="s">
        <v>217</v>
      </c>
      <c r="F28" s="54" t="s">
        <v>217</v>
      </c>
      <c r="G28" s="54" t="s">
        <v>217</v>
      </c>
      <c r="H28" s="54" t="s">
        <v>217</v>
      </c>
      <c r="I28" s="54" t="s">
        <v>217</v>
      </c>
      <c r="J28" s="55" t="s">
        <v>217</v>
      </c>
    </row>
    <row r="29" spans="1:10" ht="42" customHeight="1">
      <c r="A29" s="56" t="s">
        <v>217</v>
      </c>
      <c r="B29" s="57" t="s">
        <v>217</v>
      </c>
      <c r="C29" s="57" t="s">
        <v>217</v>
      </c>
      <c r="D29" s="57" t="s">
        <v>217</v>
      </c>
      <c r="E29" s="57" t="s">
        <v>217</v>
      </c>
      <c r="F29" s="57" t="s">
        <v>217</v>
      </c>
      <c r="G29" s="57" t="s">
        <v>217</v>
      </c>
      <c r="H29" s="57" t="s">
        <v>217</v>
      </c>
      <c r="I29" s="57" t="s">
        <v>217</v>
      </c>
      <c r="J29" s="58" t="s">
        <v>217</v>
      </c>
    </row>
    <row r="30" spans="1:10" ht="42" customHeight="1">
      <c r="A30" s="59" t="s">
        <v>217</v>
      </c>
      <c r="B30" s="60" t="s">
        <v>217</v>
      </c>
      <c r="C30" s="60" t="s">
        <v>217</v>
      </c>
      <c r="D30" s="60" t="s">
        <v>217</v>
      </c>
      <c r="E30" s="60" t="s">
        <v>217</v>
      </c>
      <c r="F30" s="60" t="s">
        <v>217</v>
      </c>
      <c r="G30" s="60" t="s">
        <v>217</v>
      </c>
      <c r="H30" s="60" t="s">
        <v>217</v>
      </c>
      <c r="I30" s="60" t="s">
        <v>217</v>
      </c>
      <c r="J30" s="61" t="s">
        <v>217</v>
      </c>
    </row>
    <row r="32" spans="1:10" ht="23" customHeight="1">
      <c r="A32" s="34" t="s">
        <v>548</v>
      </c>
      <c r="B32" s="34" t="s">
        <v>548</v>
      </c>
      <c r="C32" s="34" t="s">
        <v>548</v>
      </c>
      <c r="D32" s="34" t="s">
        <v>548</v>
      </c>
      <c r="E32" s="34" t="s">
        <v>548</v>
      </c>
      <c r="F32" s="34" t="s">
        <v>548</v>
      </c>
      <c r="G32" s="34" t="s">
        <v>548</v>
      </c>
      <c r="H32" s="34" t="s">
        <v>548</v>
      </c>
      <c r="I32" s="34" t="s">
        <v>548</v>
      </c>
      <c r="J32" s="34" t="s">
        <v>548</v>
      </c>
    </row>
    <row r="33" spans="1:10" ht="30" customHeight="1">
      <c r="A33" s="1" t="s">
        <v>549</v>
      </c>
      <c r="B33" s="1" t="s">
        <v>550</v>
      </c>
      <c r="C33" s="1" t="s">
        <v>551</v>
      </c>
      <c r="D33" s="1" t="s">
        <v>473</v>
      </c>
      <c r="E33" s="1" t="s">
        <v>552</v>
      </c>
      <c r="F33" s="1" t="s">
        <v>553</v>
      </c>
      <c r="G33" s="1" t="s">
        <v>554</v>
      </c>
      <c r="H33" s="1" t="s">
        <v>555</v>
      </c>
      <c r="I33" s="1" t="s">
        <v>556</v>
      </c>
      <c r="J33" s="1" t="s">
        <v>6</v>
      </c>
    </row>
    <row r="34" spans="1:10" ht="15">
      <c r="A34" s="2" t="s">
        <v>557</v>
      </c>
      <c r="B34" s="2">
        <v>10</v>
      </c>
      <c r="C34" s="2">
        <v>40</v>
      </c>
      <c r="D34" s="2">
        <v>48</v>
      </c>
      <c r="E34" s="7">
        <v>60</v>
      </c>
      <c r="F34" s="6">
        <v>0</v>
      </c>
      <c r="G34" s="7">
        <v>0</v>
      </c>
      <c r="H34" s="7">
        <v>0</v>
      </c>
      <c r="I34" s="7">
        <v>0</v>
      </c>
      <c r="J34" s="2" t="s">
        <v>558</v>
      </c>
    </row>
    <row r="35" spans="1:10" ht="15">
      <c r="A35" s="2" t="s">
        <v>559</v>
      </c>
      <c r="B35" s="2">
        <v>10</v>
      </c>
      <c r="C35" s="2">
        <v>40</v>
      </c>
      <c r="D35" s="2">
        <v>48</v>
      </c>
      <c r="E35" s="7">
        <v>60</v>
      </c>
      <c r="F35" s="6">
        <v>0.05</v>
      </c>
      <c r="G35" s="7">
        <v>0</v>
      </c>
      <c r="H35" s="7">
        <v>0</v>
      </c>
      <c r="I35" s="7">
        <v>57600</v>
      </c>
      <c r="J35" s="2" t="s">
        <v>560</v>
      </c>
    </row>
    <row r="36" spans="1:10" ht="15">
      <c r="A36" s="2" t="s">
        <v>561</v>
      </c>
      <c r="B36" s="2">
        <v>12</v>
      </c>
      <c r="C36" s="2">
        <v>40</v>
      </c>
      <c r="D36" s="2">
        <v>48</v>
      </c>
      <c r="E36" s="7">
        <v>65</v>
      </c>
      <c r="F36" s="6">
        <v>0.08</v>
      </c>
      <c r="G36" s="7">
        <v>13680</v>
      </c>
      <c r="H36" s="7">
        <v>12000</v>
      </c>
      <c r="I36" s="7">
        <v>145488</v>
      </c>
      <c r="J36" s="2" t="s">
        <v>562</v>
      </c>
    </row>
    <row r="37" spans="1:10" ht="15">
      <c r="A37" s="2" t="s">
        <v>563</v>
      </c>
      <c r="B37" s="2">
        <v>25</v>
      </c>
      <c r="C37" s="2">
        <v>40</v>
      </c>
      <c r="D37" s="2">
        <v>50</v>
      </c>
      <c r="E37" s="7">
        <v>80</v>
      </c>
      <c r="F37" s="6">
        <v>0.2</v>
      </c>
      <c r="G37" s="7">
        <v>25000</v>
      </c>
      <c r="H37" s="7">
        <v>50000</v>
      </c>
      <c r="I37" s="7">
        <v>875000</v>
      </c>
      <c r="J37" s="2" t="s">
        <v>564</v>
      </c>
    </row>
    <row r="38" spans="1:10" ht="15">
      <c r="A38" s="2" t="s">
        <v>565</v>
      </c>
      <c r="B38" s="2">
        <v>1</v>
      </c>
      <c r="C38" s="2">
        <v>20</v>
      </c>
      <c r="D38" s="2">
        <v>40</v>
      </c>
      <c r="E38" s="7">
        <v>50</v>
      </c>
      <c r="F38" s="6">
        <v>0.1</v>
      </c>
      <c r="G38" s="7">
        <v>0</v>
      </c>
      <c r="H38" s="7">
        <v>0</v>
      </c>
      <c r="I38" s="7">
        <v>4000</v>
      </c>
      <c r="J38" s="2" t="s">
        <v>566</v>
      </c>
    </row>
  </sheetData>
  <mergeCells count="7">
    <mergeCell ref="A28:J30"/>
    <mergeCell ref="A32:J32"/>
    <mergeCell ref="A1:J1"/>
    <mergeCell ref="A2:J2"/>
    <mergeCell ref="A4:D4"/>
    <mergeCell ref="F4:J4"/>
    <mergeCell ref="A22:J22"/>
  </mergeCells>
  <dataValidations count="9">
    <dataValidation type="list" sqref="B5" xr:uid="{00000000-0002-0000-0700-000000000000}">
      <formula1>"Knowledge work,Software / technology,Construction,Manufacturing,Other"</formula1>
    </dataValidation>
    <dataValidation sqref="B6" xr:uid="{00000000-0002-0000-0700-000001000000}">
      <formula1>1</formula1>
      <formula2>100000</formula2>
    </dataValidation>
    <dataValidation type="decimal" sqref="B7" xr:uid="{00000000-0002-0000-0700-000002000000}">
      <formula1>1</formula1>
      <formula2>100</formula2>
    </dataValidation>
    <dataValidation sqref="B8" xr:uid="{00000000-0002-0000-0700-000003000000}">
      <formula1>1</formula1>
      <formula2>52</formula2>
    </dataValidation>
    <dataValidation type="decimal" sqref="B9" xr:uid="{00000000-0002-0000-0700-000004000000}">
      <formula1>1</formula1>
      <formula2>10000</formula2>
    </dataValidation>
    <dataValidation type="decimal" sqref="B10:B11" xr:uid="{00000000-0002-0000-0700-000005000000}">
      <formula1>0</formula1>
      <formula2>1</formula2>
    </dataValidation>
    <dataValidation type="decimal" sqref="B12" xr:uid="{00000000-0002-0000-0700-000006000000}">
      <formula1>0</formula1>
      <formula2>168</formula2>
    </dataValidation>
    <dataValidation type="decimal" sqref="B13:B17" xr:uid="{00000000-0002-0000-0700-000007000000}">
      <formula1>0</formula1>
    </dataValidation>
    <dataValidation type="list" sqref="B18" xr:uid="{00000000-0002-0000-0700-000008000000}">
      <formula1>"High,Medium,Low"</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5"/>
  <sheetViews>
    <sheetView showGridLines="0" workbookViewId="0"/>
  </sheetViews>
  <sheetFormatPr baseColWidth="10" defaultColWidth="8.83203125" defaultRowHeight="14"/>
  <cols>
    <col min="1" max="1" width="23" customWidth="1"/>
    <col min="2" max="2" width="43" customWidth="1"/>
    <col min="3" max="3" width="49" customWidth="1"/>
    <col min="4" max="4" width="31" customWidth="1"/>
    <col min="5" max="7" width="34" customWidth="1"/>
    <col min="8" max="8" width="40" customWidth="1"/>
    <col min="9" max="9" width="48" customWidth="1"/>
    <col min="10" max="10" width="37" customWidth="1"/>
  </cols>
  <sheetData>
    <row r="1" spans="1:10" ht="31" customHeight="1">
      <c r="A1" s="22" t="s">
        <v>567</v>
      </c>
      <c r="B1" s="22"/>
      <c r="C1" s="22"/>
      <c r="D1" s="22"/>
      <c r="E1" s="22"/>
      <c r="F1" s="22"/>
      <c r="G1" s="22"/>
      <c r="H1" s="22"/>
      <c r="I1" s="22"/>
      <c r="J1" s="22"/>
    </row>
    <row r="2" spans="1:10" ht="30" customHeight="1">
      <c r="A2" s="23" t="s">
        <v>568</v>
      </c>
      <c r="B2" s="23"/>
      <c r="C2" s="23"/>
      <c r="D2" s="23"/>
      <c r="E2" s="23"/>
      <c r="F2" s="23"/>
      <c r="G2" s="23"/>
      <c r="H2" s="23"/>
      <c r="I2" s="23"/>
      <c r="J2" s="23"/>
    </row>
    <row r="4" spans="1:10" ht="23" customHeight="1">
      <c r="A4" s="24" t="s">
        <v>569</v>
      </c>
      <c r="B4" s="24" t="s">
        <v>569</v>
      </c>
      <c r="C4" s="24" t="s">
        <v>569</v>
      </c>
      <c r="D4" s="24" t="s">
        <v>569</v>
      </c>
      <c r="E4" s="24" t="s">
        <v>569</v>
      </c>
      <c r="F4" s="24" t="s">
        <v>569</v>
      </c>
      <c r="G4" s="24" t="s">
        <v>569</v>
      </c>
      <c r="H4" s="24" t="s">
        <v>569</v>
      </c>
      <c r="I4" s="24" t="s">
        <v>569</v>
      </c>
      <c r="J4" s="24" t="s">
        <v>569</v>
      </c>
    </row>
    <row r="5" spans="1:10" ht="30" customHeight="1">
      <c r="A5" s="1" t="s">
        <v>570</v>
      </c>
      <c r="B5" s="1" t="s">
        <v>571</v>
      </c>
      <c r="C5" s="1" t="s">
        <v>572</v>
      </c>
      <c r="D5" s="1" t="s">
        <v>573</v>
      </c>
      <c r="E5" s="1" t="s">
        <v>574</v>
      </c>
      <c r="F5" s="1" t="s">
        <v>575</v>
      </c>
      <c r="G5" s="1" t="s">
        <v>576</v>
      </c>
      <c r="H5" s="1" t="s">
        <v>577</v>
      </c>
      <c r="I5" s="1" t="s">
        <v>578</v>
      </c>
      <c r="J5" s="1" t="s">
        <v>579</v>
      </c>
    </row>
    <row r="6" spans="1:10" ht="84" customHeight="1">
      <c r="A6" s="2" t="s">
        <v>580</v>
      </c>
      <c r="B6" s="2" t="s">
        <v>581</v>
      </c>
      <c r="C6" s="2" t="s">
        <v>582</v>
      </c>
      <c r="D6" s="2" t="s">
        <v>583</v>
      </c>
      <c r="E6" s="2" t="s">
        <v>584</v>
      </c>
      <c r="F6" s="2" t="s">
        <v>585</v>
      </c>
      <c r="G6" s="2" t="s">
        <v>586</v>
      </c>
      <c r="H6" s="2" t="s">
        <v>587</v>
      </c>
      <c r="I6" s="2" t="s">
        <v>588</v>
      </c>
      <c r="J6" s="2" t="s">
        <v>589</v>
      </c>
    </row>
    <row r="7" spans="1:10" ht="84" customHeight="1">
      <c r="A7" s="2" t="s">
        <v>590</v>
      </c>
      <c r="B7" s="2" t="s">
        <v>591</v>
      </c>
      <c r="C7" s="2" t="s">
        <v>592</v>
      </c>
      <c r="D7" s="2" t="s">
        <v>593</v>
      </c>
      <c r="E7" s="2" t="s">
        <v>594</v>
      </c>
      <c r="F7" s="2" t="s">
        <v>155</v>
      </c>
      <c r="G7" s="2" t="s">
        <v>155</v>
      </c>
      <c r="H7" s="2" t="s">
        <v>595</v>
      </c>
      <c r="I7" s="2" t="s">
        <v>596</v>
      </c>
      <c r="J7" s="2"/>
    </row>
    <row r="8" spans="1:10" ht="84" customHeight="1">
      <c r="A8" s="2" t="s">
        <v>316</v>
      </c>
      <c r="B8" s="2" t="s">
        <v>597</v>
      </c>
      <c r="C8" s="2" t="s">
        <v>598</v>
      </c>
      <c r="D8" s="2" t="s">
        <v>599</v>
      </c>
      <c r="E8" s="2" t="s">
        <v>600</v>
      </c>
      <c r="F8" s="2" t="s">
        <v>601</v>
      </c>
      <c r="G8" s="2" t="s">
        <v>602</v>
      </c>
      <c r="H8" s="2" t="s">
        <v>603</v>
      </c>
      <c r="I8" s="2" t="s">
        <v>604</v>
      </c>
      <c r="J8" s="2"/>
    </row>
    <row r="9" spans="1:10" ht="84" customHeight="1">
      <c r="A9" s="2" t="s">
        <v>605</v>
      </c>
      <c r="B9" s="2" t="s">
        <v>606</v>
      </c>
      <c r="C9" s="2" t="s">
        <v>607</v>
      </c>
      <c r="D9" s="2" t="s">
        <v>608</v>
      </c>
      <c r="E9" s="2" t="s">
        <v>609</v>
      </c>
      <c r="F9" s="2" t="s">
        <v>610</v>
      </c>
      <c r="G9" s="2" t="s">
        <v>611</v>
      </c>
      <c r="H9" s="2" t="s">
        <v>612</v>
      </c>
      <c r="I9" s="2" t="s">
        <v>613</v>
      </c>
      <c r="J9" s="2"/>
    </row>
    <row r="10" spans="1:10" ht="84" customHeight="1">
      <c r="A10" s="2" t="s">
        <v>196</v>
      </c>
      <c r="B10" s="2" t="s">
        <v>614</v>
      </c>
      <c r="C10" s="2" t="s">
        <v>615</v>
      </c>
      <c r="D10" s="2" t="s">
        <v>616</v>
      </c>
      <c r="E10" s="2" t="s">
        <v>617</v>
      </c>
      <c r="F10" s="2" t="s">
        <v>618</v>
      </c>
      <c r="G10" s="2" t="s">
        <v>586</v>
      </c>
      <c r="H10" s="2" t="s">
        <v>619</v>
      </c>
      <c r="I10" s="2" t="s">
        <v>620</v>
      </c>
      <c r="J10" s="2"/>
    </row>
    <row r="11" spans="1:10" ht="84" customHeight="1">
      <c r="A11" s="2" t="s">
        <v>187</v>
      </c>
      <c r="B11" s="2" t="s">
        <v>621</v>
      </c>
      <c r="C11" s="2" t="s">
        <v>622</v>
      </c>
      <c r="D11" s="2" t="s">
        <v>623</v>
      </c>
      <c r="E11" s="2" t="s">
        <v>624</v>
      </c>
      <c r="F11" s="2" t="s">
        <v>625</v>
      </c>
      <c r="G11" s="2" t="s">
        <v>586</v>
      </c>
      <c r="H11" s="2" t="s">
        <v>155</v>
      </c>
      <c r="I11" s="2" t="s">
        <v>626</v>
      </c>
      <c r="J11" s="2"/>
    </row>
    <row r="12" spans="1:10" ht="84" customHeight="1">
      <c r="A12" s="2" t="s">
        <v>627</v>
      </c>
      <c r="B12" s="2" t="s">
        <v>628</v>
      </c>
      <c r="C12" s="2" t="s">
        <v>629</v>
      </c>
      <c r="D12" s="2" t="s">
        <v>630</v>
      </c>
      <c r="E12" s="2" t="s">
        <v>631</v>
      </c>
      <c r="F12" s="2" t="s">
        <v>632</v>
      </c>
      <c r="G12" s="2" t="s">
        <v>633</v>
      </c>
      <c r="H12" s="2" t="s">
        <v>634</v>
      </c>
      <c r="I12" s="2" t="s">
        <v>635</v>
      </c>
      <c r="J12" s="2"/>
    </row>
    <row r="13" spans="1:10" ht="84" customHeight="1">
      <c r="A13" s="2" t="s">
        <v>636</v>
      </c>
      <c r="B13" s="2" t="s">
        <v>637</v>
      </c>
      <c r="C13" s="2" t="s">
        <v>638</v>
      </c>
      <c r="D13" s="2" t="s">
        <v>639</v>
      </c>
      <c r="E13" s="2" t="s">
        <v>640</v>
      </c>
      <c r="F13" s="2" t="s">
        <v>641</v>
      </c>
      <c r="G13" s="2" t="s">
        <v>642</v>
      </c>
      <c r="H13" s="2" t="s">
        <v>155</v>
      </c>
      <c r="I13" s="2" t="s">
        <v>643</v>
      </c>
      <c r="J13" s="2" t="s">
        <v>644</v>
      </c>
    </row>
    <row r="14" spans="1:10" ht="84" customHeight="1">
      <c r="A14" s="2" t="s">
        <v>645</v>
      </c>
      <c r="B14" s="2" t="s">
        <v>646</v>
      </c>
      <c r="C14" s="2" t="s">
        <v>647</v>
      </c>
      <c r="D14" s="2" t="s">
        <v>648</v>
      </c>
      <c r="E14" s="2" t="s">
        <v>649</v>
      </c>
      <c r="F14" s="2" t="s">
        <v>155</v>
      </c>
      <c r="G14" s="2" t="s">
        <v>155</v>
      </c>
      <c r="H14" s="2" t="s">
        <v>155</v>
      </c>
      <c r="I14" s="2" t="s">
        <v>650</v>
      </c>
      <c r="J14" s="2"/>
    </row>
    <row r="15" spans="1:10" ht="84" customHeight="1">
      <c r="A15" s="2" t="s">
        <v>651</v>
      </c>
      <c r="B15" s="2" t="s">
        <v>652</v>
      </c>
      <c r="C15" s="2" t="s">
        <v>653</v>
      </c>
      <c r="D15" s="2" t="s">
        <v>654</v>
      </c>
      <c r="E15" s="2" t="s">
        <v>655</v>
      </c>
      <c r="F15" s="2" t="s">
        <v>656</v>
      </c>
      <c r="G15" s="2" t="s">
        <v>155</v>
      </c>
      <c r="H15" s="2" t="s">
        <v>657</v>
      </c>
      <c r="I15" s="2" t="s">
        <v>658</v>
      </c>
      <c r="J15" s="2"/>
    </row>
    <row r="17" spans="1:10" ht="23" customHeight="1">
      <c r="A17" s="34" t="s">
        <v>659</v>
      </c>
      <c r="B17" s="34" t="s">
        <v>659</v>
      </c>
      <c r="C17" s="34" t="s">
        <v>659</v>
      </c>
      <c r="D17" s="34" t="s">
        <v>659</v>
      </c>
      <c r="E17" s="34" t="s">
        <v>659</v>
      </c>
      <c r="F17" s="34" t="s">
        <v>659</v>
      </c>
      <c r="G17" s="34" t="s">
        <v>659</v>
      </c>
      <c r="H17" s="34" t="s">
        <v>659</v>
      </c>
      <c r="I17" s="34" t="s">
        <v>659</v>
      </c>
      <c r="J17" s="34" t="s">
        <v>659</v>
      </c>
    </row>
    <row r="18" spans="1:10" ht="30" customHeight="1">
      <c r="A18" s="1" t="s">
        <v>660</v>
      </c>
      <c r="B18" s="1" t="s">
        <v>661</v>
      </c>
      <c r="C18" s="1" t="s">
        <v>662</v>
      </c>
      <c r="D18" s="1" t="s">
        <v>663</v>
      </c>
      <c r="E18" s="1" t="s">
        <v>6</v>
      </c>
      <c r="F18" s="1" t="s">
        <v>664</v>
      </c>
    </row>
    <row r="19" spans="1:10" ht="15">
      <c r="A19" s="2" t="s">
        <v>585</v>
      </c>
      <c r="B19" s="2" t="s">
        <v>665</v>
      </c>
      <c r="C19" s="2" t="s">
        <v>666</v>
      </c>
      <c r="D19" s="2" t="s">
        <v>667</v>
      </c>
      <c r="E19" s="2" t="s">
        <v>668</v>
      </c>
      <c r="F19" s="2" t="s">
        <v>669</v>
      </c>
    </row>
    <row r="20" spans="1:10" ht="15">
      <c r="A20" s="2" t="s">
        <v>601</v>
      </c>
      <c r="B20" s="2" t="s">
        <v>670</v>
      </c>
      <c r="C20" s="2" t="s">
        <v>671</v>
      </c>
      <c r="D20" s="2" t="s">
        <v>672</v>
      </c>
      <c r="E20" s="2" t="s">
        <v>673</v>
      </c>
      <c r="F20" s="2" t="s">
        <v>674</v>
      </c>
    </row>
    <row r="21" spans="1:10" ht="30">
      <c r="A21" s="2" t="s">
        <v>610</v>
      </c>
      <c r="B21" s="2" t="s">
        <v>675</v>
      </c>
      <c r="C21" s="2" t="s">
        <v>676</v>
      </c>
      <c r="D21" s="2" t="s">
        <v>677</v>
      </c>
      <c r="E21" s="2" t="s">
        <v>678</v>
      </c>
      <c r="F21" s="2" t="s">
        <v>679</v>
      </c>
    </row>
    <row r="22" spans="1:10" ht="15">
      <c r="A22" s="2" t="s">
        <v>618</v>
      </c>
      <c r="B22" s="2" t="s">
        <v>680</v>
      </c>
      <c r="C22" s="2" t="s">
        <v>681</v>
      </c>
      <c r="D22" s="2" t="s">
        <v>159</v>
      </c>
      <c r="E22" s="2" t="s">
        <v>682</v>
      </c>
      <c r="F22" s="2" t="s">
        <v>683</v>
      </c>
    </row>
    <row r="23" spans="1:10" ht="15">
      <c r="A23" s="2" t="s">
        <v>625</v>
      </c>
      <c r="B23" s="2" t="s">
        <v>684</v>
      </c>
      <c r="C23" s="2" t="s">
        <v>685</v>
      </c>
      <c r="D23" s="2" t="s">
        <v>686</v>
      </c>
      <c r="E23" s="2" t="s">
        <v>687</v>
      </c>
      <c r="F23" s="2" t="s">
        <v>688</v>
      </c>
    </row>
    <row r="24" spans="1:10" ht="15">
      <c r="A24" s="2" t="s">
        <v>632</v>
      </c>
      <c r="B24" s="2" t="s">
        <v>627</v>
      </c>
      <c r="C24" s="2" t="s">
        <v>689</v>
      </c>
      <c r="D24" s="2" t="s">
        <v>690</v>
      </c>
      <c r="E24" s="2" t="s">
        <v>691</v>
      </c>
      <c r="F24" s="2" t="s">
        <v>692</v>
      </c>
    </row>
    <row r="25" spans="1:10" ht="15">
      <c r="A25" s="2" t="s">
        <v>656</v>
      </c>
      <c r="B25" s="2" t="s">
        <v>693</v>
      </c>
      <c r="C25" s="2" t="s">
        <v>694</v>
      </c>
      <c r="D25" s="2" t="s">
        <v>695</v>
      </c>
      <c r="E25" s="2" t="s">
        <v>696</v>
      </c>
      <c r="F25" s="2" t="s">
        <v>697</v>
      </c>
    </row>
  </sheetData>
  <mergeCells count="4">
    <mergeCell ref="A1:J1"/>
    <mergeCell ref="A2:J2"/>
    <mergeCell ref="A4:J4"/>
    <mergeCell ref="A17:J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7"/>
  <sheetViews>
    <sheetView showGridLines="0" workbookViewId="0"/>
  </sheetViews>
  <sheetFormatPr baseColWidth="10" defaultColWidth="8.83203125" defaultRowHeight="14"/>
  <cols>
    <col min="1" max="1" width="12" customWidth="1"/>
    <col min="2" max="2" width="18" customWidth="1"/>
    <col min="3" max="3" width="46" customWidth="1"/>
    <col min="4" max="4" width="49" customWidth="1"/>
    <col min="5" max="5" width="14" customWidth="1"/>
    <col min="6" max="6" width="22" customWidth="1"/>
    <col min="7" max="7" width="16" customWidth="1"/>
    <col min="8" max="8" width="30" customWidth="1"/>
    <col min="9" max="9" width="15" customWidth="1"/>
    <col min="10" max="10" width="43" customWidth="1"/>
  </cols>
  <sheetData>
    <row r="1" spans="1:10" ht="31" customHeight="1">
      <c r="A1" s="22" t="s">
        <v>698</v>
      </c>
      <c r="B1" s="22"/>
      <c r="C1" s="22"/>
      <c r="D1" s="22"/>
      <c r="E1" s="22"/>
      <c r="F1" s="22"/>
      <c r="G1" s="22"/>
      <c r="H1" s="22"/>
      <c r="I1" s="22"/>
      <c r="J1" s="22"/>
    </row>
    <row r="2" spans="1:10" ht="30" customHeight="1">
      <c r="A2" s="23" t="s">
        <v>699</v>
      </c>
      <c r="B2" s="23"/>
      <c r="C2" s="23"/>
      <c r="D2" s="23"/>
      <c r="E2" s="23"/>
      <c r="F2" s="23"/>
      <c r="G2" s="23"/>
      <c r="H2" s="23"/>
      <c r="I2" s="23"/>
      <c r="J2" s="23"/>
    </row>
    <row r="4" spans="1:10" ht="23" customHeight="1">
      <c r="A4" s="24" t="s">
        <v>700</v>
      </c>
      <c r="B4" s="24" t="s">
        <v>700</v>
      </c>
      <c r="C4" s="24" t="s">
        <v>700</v>
      </c>
      <c r="D4" s="24" t="s">
        <v>700</v>
      </c>
      <c r="E4" s="24" t="s">
        <v>700</v>
      </c>
      <c r="F4" s="24" t="s">
        <v>700</v>
      </c>
      <c r="G4" s="24" t="s">
        <v>700</v>
      </c>
      <c r="H4" s="24" t="s">
        <v>700</v>
      </c>
      <c r="I4" s="24" t="s">
        <v>700</v>
      </c>
      <c r="J4" s="24" t="s">
        <v>700</v>
      </c>
    </row>
    <row r="5" spans="1:10" ht="30" customHeight="1">
      <c r="A5" s="1" t="s">
        <v>45</v>
      </c>
      <c r="B5" s="1" t="s">
        <v>438</v>
      </c>
      <c r="C5" s="1" t="s">
        <v>701</v>
      </c>
      <c r="D5" s="1" t="s">
        <v>702</v>
      </c>
      <c r="E5" s="1" t="s">
        <v>703</v>
      </c>
      <c r="F5" s="1" t="s">
        <v>704</v>
      </c>
      <c r="G5" s="1" t="s">
        <v>442</v>
      </c>
      <c r="H5" s="1" t="s">
        <v>705</v>
      </c>
      <c r="I5" s="1" t="s">
        <v>706</v>
      </c>
      <c r="J5" s="1" t="s">
        <v>707</v>
      </c>
    </row>
    <row r="6" spans="1:10" ht="61" customHeight="1">
      <c r="A6" s="2" t="s">
        <v>708</v>
      </c>
      <c r="B6" s="2" t="s">
        <v>315</v>
      </c>
      <c r="C6" s="2" t="s">
        <v>709</v>
      </c>
      <c r="D6" s="2" t="s">
        <v>710</v>
      </c>
      <c r="E6" s="2" t="s">
        <v>711</v>
      </c>
      <c r="F6" s="2" t="s">
        <v>712</v>
      </c>
      <c r="G6" s="8" t="s">
        <v>713</v>
      </c>
      <c r="H6" s="2"/>
      <c r="I6" s="3"/>
      <c r="J6" s="2" t="s">
        <v>714</v>
      </c>
    </row>
    <row r="7" spans="1:10" ht="61" customHeight="1">
      <c r="A7" s="2" t="s">
        <v>715</v>
      </c>
      <c r="B7" s="2" t="s">
        <v>315</v>
      </c>
      <c r="C7" s="2" t="s">
        <v>716</v>
      </c>
      <c r="D7" s="2" t="s">
        <v>717</v>
      </c>
      <c r="E7" s="2" t="s">
        <v>711</v>
      </c>
      <c r="F7" s="2" t="s">
        <v>712</v>
      </c>
      <c r="G7" s="8" t="s">
        <v>713</v>
      </c>
      <c r="H7" s="2"/>
      <c r="I7" s="3"/>
      <c r="J7" s="2"/>
    </row>
    <row r="8" spans="1:10" ht="61" customHeight="1">
      <c r="A8" s="2" t="s">
        <v>718</v>
      </c>
      <c r="B8" s="2" t="s">
        <v>315</v>
      </c>
      <c r="C8" s="2" t="s">
        <v>719</v>
      </c>
      <c r="D8" s="2" t="s">
        <v>720</v>
      </c>
      <c r="E8" s="2" t="s">
        <v>711</v>
      </c>
      <c r="F8" s="2" t="s">
        <v>712</v>
      </c>
      <c r="G8" s="8" t="s">
        <v>713</v>
      </c>
      <c r="H8" s="2"/>
      <c r="I8" s="3"/>
      <c r="J8" s="2"/>
    </row>
    <row r="9" spans="1:10" ht="61" customHeight="1">
      <c r="A9" s="2" t="s">
        <v>721</v>
      </c>
      <c r="B9" s="2" t="s">
        <v>722</v>
      </c>
      <c r="C9" s="2" t="s">
        <v>723</v>
      </c>
      <c r="D9" s="2" t="s">
        <v>724</v>
      </c>
      <c r="E9" s="2" t="s">
        <v>725</v>
      </c>
      <c r="F9" s="2" t="s">
        <v>712</v>
      </c>
      <c r="G9" s="8" t="s">
        <v>713</v>
      </c>
      <c r="H9" s="2"/>
      <c r="I9" s="3"/>
      <c r="J9" s="2" t="s">
        <v>726</v>
      </c>
    </row>
    <row r="10" spans="1:10" ht="61" customHeight="1">
      <c r="A10" s="2" t="s">
        <v>727</v>
      </c>
      <c r="B10" s="2" t="s">
        <v>728</v>
      </c>
      <c r="C10" s="2" t="s">
        <v>729</v>
      </c>
      <c r="D10" s="2" t="s">
        <v>730</v>
      </c>
      <c r="E10" s="2" t="s">
        <v>711</v>
      </c>
      <c r="F10" s="2" t="s">
        <v>712</v>
      </c>
      <c r="G10" s="8" t="s">
        <v>713</v>
      </c>
      <c r="H10" s="2"/>
      <c r="I10" s="3"/>
      <c r="J10" s="2" t="s">
        <v>731</v>
      </c>
    </row>
    <row r="11" spans="1:10" ht="61" customHeight="1">
      <c r="A11" s="2" t="s">
        <v>732</v>
      </c>
      <c r="B11" s="2" t="s">
        <v>733</v>
      </c>
      <c r="C11" s="2" t="s">
        <v>734</v>
      </c>
      <c r="D11" s="2" t="s">
        <v>735</v>
      </c>
      <c r="E11" s="2" t="s">
        <v>725</v>
      </c>
      <c r="F11" s="2" t="s">
        <v>712</v>
      </c>
      <c r="G11" s="8" t="s">
        <v>713</v>
      </c>
      <c r="H11" s="2"/>
      <c r="I11" s="3"/>
      <c r="J11" s="2"/>
    </row>
    <row r="12" spans="1:10" ht="61" customHeight="1">
      <c r="A12" s="2" t="s">
        <v>736</v>
      </c>
      <c r="B12" s="2" t="s">
        <v>737</v>
      </c>
      <c r="C12" s="2" t="s">
        <v>738</v>
      </c>
      <c r="D12" s="2" t="s">
        <v>739</v>
      </c>
      <c r="E12" s="2" t="s">
        <v>711</v>
      </c>
      <c r="F12" s="2" t="s">
        <v>740</v>
      </c>
      <c r="G12" s="8" t="s">
        <v>713</v>
      </c>
      <c r="H12" s="2"/>
      <c r="I12" s="3"/>
      <c r="J12" s="2"/>
    </row>
    <row r="13" spans="1:10" ht="61" customHeight="1">
      <c r="A13" s="2" t="s">
        <v>741</v>
      </c>
      <c r="B13" s="2" t="s">
        <v>228</v>
      </c>
      <c r="C13" s="2" t="s">
        <v>742</v>
      </c>
      <c r="D13" s="2" t="s">
        <v>743</v>
      </c>
      <c r="E13" s="2" t="s">
        <v>711</v>
      </c>
      <c r="F13" s="2" t="s">
        <v>664</v>
      </c>
      <c r="G13" s="8" t="s">
        <v>713</v>
      </c>
      <c r="H13" s="2"/>
      <c r="I13" s="3"/>
      <c r="J13" s="2"/>
    </row>
    <row r="14" spans="1:10" ht="61" customHeight="1">
      <c r="A14" s="2" t="s">
        <v>744</v>
      </c>
      <c r="B14" s="2" t="s">
        <v>228</v>
      </c>
      <c r="C14" s="2" t="s">
        <v>745</v>
      </c>
      <c r="D14" s="2" t="s">
        <v>746</v>
      </c>
      <c r="E14" s="2" t="s">
        <v>711</v>
      </c>
      <c r="F14" s="2" t="s">
        <v>664</v>
      </c>
      <c r="G14" s="8" t="s">
        <v>713</v>
      </c>
      <c r="H14" s="2"/>
      <c r="I14" s="3"/>
      <c r="J14" s="2"/>
    </row>
    <row r="15" spans="1:10" ht="61" customHeight="1">
      <c r="A15" s="2" t="s">
        <v>747</v>
      </c>
      <c r="B15" s="2" t="s">
        <v>136</v>
      </c>
      <c r="C15" s="2" t="s">
        <v>748</v>
      </c>
      <c r="D15" s="2" t="s">
        <v>749</v>
      </c>
      <c r="E15" s="2" t="s">
        <v>711</v>
      </c>
      <c r="F15" s="2" t="s">
        <v>750</v>
      </c>
      <c r="G15" s="8" t="s">
        <v>713</v>
      </c>
      <c r="H15" s="2"/>
      <c r="I15" s="3"/>
      <c r="J15" s="2"/>
    </row>
    <row r="16" spans="1:10" ht="61" customHeight="1">
      <c r="A16" s="2" t="s">
        <v>751</v>
      </c>
      <c r="B16" s="2" t="s">
        <v>752</v>
      </c>
      <c r="C16" s="2" t="s">
        <v>753</v>
      </c>
      <c r="D16" s="2" t="s">
        <v>754</v>
      </c>
      <c r="E16" s="2" t="s">
        <v>711</v>
      </c>
      <c r="F16" s="2" t="s">
        <v>750</v>
      </c>
      <c r="G16" s="8" t="s">
        <v>713</v>
      </c>
      <c r="H16" s="2"/>
      <c r="I16" s="3"/>
      <c r="J16" s="2"/>
    </row>
    <row r="17" spans="1:10" ht="61" customHeight="1">
      <c r="A17" s="2" t="s">
        <v>755</v>
      </c>
      <c r="B17" s="2" t="s">
        <v>574</v>
      </c>
      <c r="C17" s="2" t="s">
        <v>756</v>
      </c>
      <c r="D17" s="2" t="s">
        <v>757</v>
      </c>
      <c r="E17" s="2" t="s">
        <v>725</v>
      </c>
      <c r="F17" s="2" t="s">
        <v>664</v>
      </c>
      <c r="G17" s="8" t="s">
        <v>713</v>
      </c>
      <c r="H17" s="2"/>
      <c r="I17" s="3"/>
      <c r="J17" s="2"/>
    </row>
    <row r="18" spans="1:10" ht="61" customHeight="1">
      <c r="A18" s="2" t="s">
        <v>758</v>
      </c>
      <c r="B18" s="2" t="s">
        <v>759</v>
      </c>
      <c r="C18" s="2" t="s">
        <v>760</v>
      </c>
      <c r="D18" s="2" t="s">
        <v>761</v>
      </c>
      <c r="E18" s="2" t="s">
        <v>725</v>
      </c>
      <c r="F18" s="2" t="s">
        <v>664</v>
      </c>
      <c r="G18" s="8" t="s">
        <v>713</v>
      </c>
      <c r="H18" s="2"/>
      <c r="I18" s="3"/>
      <c r="J18" s="2"/>
    </row>
    <row r="19" spans="1:10" ht="61" customHeight="1">
      <c r="A19" s="2" t="s">
        <v>762</v>
      </c>
      <c r="B19" s="2" t="s">
        <v>576</v>
      </c>
      <c r="C19" s="2" t="s">
        <v>763</v>
      </c>
      <c r="D19" s="2" t="s">
        <v>764</v>
      </c>
      <c r="E19" s="2" t="s">
        <v>711</v>
      </c>
      <c r="F19" s="2" t="s">
        <v>712</v>
      </c>
      <c r="G19" s="8" t="s">
        <v>713</v>
      </c>
      <c r="H19" s="2"/>
      <c r="I19" s="3"/>
      <c r="J19" s="2"/>
    </row>
    <row r="20" spans="1:10" ht="61" customHeight="1">
      <c r="A20" s="2" t="s">
        <v>765</v>
      </c>
      <c r="B20" s="2" t="s">
        <v>575</v>
      </c>
      <c r="C20" s="2" t="s">
        <v>766</v>
      </c>
      <c r="D20" s="2" t="s">
        <v>767</v>
      </c>
      <c r="E20" s="2" t="s">
        <v>725</v>
      </c>
      <c r="F20" s="2" t="s">
        <v>575</v>
      </c>
      <c r="G20" s="8" t="s">
        <v>713</v>
      </c>
      <c r="H20" s="2"/>
      <c r="I20" s="3"/>
      <c r="J20" s="2"/>
    </row>
    <row r="21" spans="1:10" ht="61" customHeight="1">
      <c r="A21" s="2" t="s">
        <v>768</v>
      </c>
      <c r="B21" s="2" t="s">
        <v>577</v>
      </c>
      <c r="C21" s="2" t="s">
        <v>769</v>
      </c>
      <c r="D21" s="2" t="s">
        <v>770</v>
      </c>
      <c r="E21" s="2" t="s">
        <v>725</v>
      </c>
      <c r="F21" s="2" t="s">
        <v>771</v>
      </c>
      <c r="G21" s="8" t="s">
        <v>713</v>
      </c>
      <c r="H21" s="2"/>
      <c r="I21" s="3"/>
      <c r="J21" s="2"/>
    </row>
    <row r="22" spans="1:10" ht="61" customHeight="1">
      <c r="A22" s="2" t="s">
        <v>772</v>
      </c>
      <c r="B22" s="2" t="s">
        <v>449</v>
      </c>
      <c r="C22" s="2" t="s">
        <v>773</v>
      </c>
      <c r="D22" s="2" t="s">
        <v>774</v>
      </c>
      <c r="E22" s="2" t="s">
        <v>711</v>
      </c>
      <c r="F22" s="2" t="s">
        <v>704</v>
      </c>
      <c r="G22" s="8" t="s">
        <v>713</v>
      </c>
      <c r="H22" s="2"/>
      <c r="I22" s="3"/>
      <c r="J22" s="2"/>
    </row>
    <row r="23" spans="1:10" ht="61" customHeight="1">
      <c r="A23" s="2" t="s">
        <v>775</v>
      </c>
      <c r="B23" s="2" t="s">
        <v>776</v>
      </c>
      <c r="C23" s="2" t="s">
        <v>777</v>
      </c>
      <c r="D23" s="2" t="s">
        <v>778</v>
      </c>
      <c r="E23" s="2" t="s">
        <v>725</v>
      </c>
      <c r="F23" s="2" t="s">
        <v>779</v>
      </c>
      <c r="G23" s="8" t="s">
        <v>713</v>
      </c>
      <c r="H23" s="2"/>
      <c r="I23" s="3"/>
      <c r="J23" s="2"/>
    </row>
    <row r="25" spans="1:10" ht="42" customHeight="1">
      <c r="A25" s="53" t="s">
        <v>780</v>
      </c>
      <c r="B25" s="54" t="s">
        <v>780</v>
      </c>
      <c r="C25" s="54" t="s">
        <v>780</v>
      </c>
      <c r="D25" s="54" t="s">
        <v>780</v>
      </c>
      <c r="E25" s="54" t="s">
        <v>780</v>
      </c>
      <c r="F25" s="54" t="s">
        <v>780</v>
      </c>
      <c r="G25" s="54" t="s">
        <v>780</v>
      </c>
      <c r="H25" s="54" t="s">
        <v>780</v>
      </c>
      <c r="I25" s="54" t="s">
        <v>780</v>
      </c>
      <c r="J25" s="55" t="s">
        <v>780</v>
      </c>
    </row>
    <row r="26" spans="1:10" ht="42" customHeight="1">
      <c r="A26" s="56" t="s">
        <v>780</v>
      </c>
      <c r="B26" s="57" t="s">
        <v>780</v>
      </c>
      <c r="C26" s="57" t="s">
        <v>780</v>
      </c>
      <c r="D26" s="57" t="s">
        <v>780</v>
      </c>
      <c r="E26" s="57" t="s">
        <v>780</v>
      </c>
      <c r="F26" s="57" t="s">
        <v>780</v>
      </c>
      <c r="G26" s="57" t="s">
        <v>780</v>
      </c>
      <c r="H26" s="57" t="s">
        <v>780</v>
      </c>
      <c r="I26" s="57" t="s">
        <v>780</v>
      </c>
      <c r="J26" s="58" t="s">
        <v>780</v>
      </c>
    </row>
    <row r="27" spans="1:10" ht="42" customHeight="1">
      <c r="A27" s="59" t="s">
        <v>780</v>
      </c>
      <c r="B27" s="60" t="s">
        <v>780</v>
      </c>
      <c r="C27" s="60" t="s">
        <v>780</v>
      </c>
      <c r="D27" s="60" t="s">
        <v>780</v>
      </c>
      <c r="E27" s="60" t="s">
        <v>780</v>
      </c>
      <c r="F27" s="60" t="s">
        <v>780</v>
      </c>
      <c r="G27" s="60" t="s">
        <v>780</v>
      </c>
      <c r="H27" s="60" t="s">
        <v>780</v>
      </c>
      <c r="I27" s="60" t="s">
        <v>780</v>
      </c>
      <c r="J27" s="61" t="s">
        <v>780</v>
      </c>
    </row>
  </sheetData>
  <mergeCells count="4">
    <mergeCell ref="A1:J1"/>
    <mergeCell ref="A2:J2"/>
    <mergeCell ref="A4:J4"/>
    <mergeCell ref="A25:J27"/>
  </mergeCells>
  <dataValidations count="1">
    <dataValidation type="list" sqref="G6:G23" xr:uid="{00000000-0002-0000-0900-000000000000}">
      <formula1>"Not run,Pass,Fail,Blocked"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4"/>
  <sheetViews>
    <sheetView showGridLines="0" workbookViewId="0"/>
  </sheetViews>
  <sheetFormatPr baseColWidth="10" defaultColWidth="8.83203125" defaultRowHeight="14"/>
  <cols>
    <col min="1" max="1" width="10" customWidth="1"/>
    <col min="2" max="2" width="31" customWidth="1"/>
    <col min="3" max="3" width="43" customWidth="1"/>
    <col min="4" max="4" width="12" customWidth="1"/>
    <col min="5" max="5" width="56" customWidth="1"/>
    <col min="6" max="6" width="50" customWidth="1"/>
    <col min="7" max="7" width="45" customWidth="1"/>
    <col min="8" max="8" width="36" customWidth="1"/>
    <col min="9" max="9" width="28" customWidth="1"/>
    <col min="10" max="10" width="14" customWidth="1"/>
  </cols>
  <sheetData>
    <row r="1" spans="1:10" ht="31" customHeight="1">
      <c r="A1" s="22" t="s">
        <v>781</v>
      </c>
      <c r="B1" s="22"/>
      <c r="C1" s="22"/>
      <c r="D1" s="22"/>
      <c r="E1" s="22"/>
      <c r="F1" s="22"/>
      <c r="G1" s="22"/>
      <c r="H1" s="22"/>
      <c r="I1" s="22"/>
      <c r="J1" s="22"/>
    </row>
    <row r="2" spans="1:10" ht="30" customHeight="1">
      <c r="A2" s="23" t="s">
        <v>782</v>
      </c>
      <c r="B2" s="23"/>
      <c r="C2" s="23"/>
      <c r="D2" s="23"/>
      <c r="E2" s="23"/>
      <c r="F2" s="23"/>
      <c r="G2" s="23"/>
      <c r="H2" s="23"/>
      <c r="I2" s="23"/>
      <c r="J2" s="23"/>
    </row>
    <row r="4" spans="1:10" ht="23" customHeight="1">
      <c r="A4" s="24" t="s">
        <v>783</v>
      </c>
      <c r="B4" s="24" t="s">
        <v>783</v>
      </c>
      <c r="C4" s="24" t="s">
        <v>783</v>
      </c>
      <c r="D4" s="24" t="s">
        <v>783</v>
      </c>
      <c r="E4" s="24" t="s">
        <v>783</v>
      </c>
      <c r="F4" s="24" t="s">
        <v>783</v>
      </c>
      <c r="G4" s="24" t="s">
        <v>783</v>
      </c>
      <c r="H4" s="24" t="s">
        <v>783</v>
      </c>
      <c r="I4" s="24" t="s">
        <v>783</v>
      </c>
      <c r="J4" s="24" t="s">
        <v>783</v>
      </c>
    </row>
    <row r="5" spans="1:10" ht="30" customHeight="1">
      <c r="A5" s="1" t="s">
        <v>45</v>
      </c>
      <c r="B5" s="1" t="s">
        <v>784</v>
      </c>
      <c r="C5" s="1" t="s">
        <v>785</v>
      </c>
      <c r="D5" s="1" t="s">
        <v>786</v>
      </c>
      <c r="E5" s="1" t="s">
        <v>787</v>
      </c>
      <c r="F5" s="1" t="s">
        <v>788</v>
      </c>
      <c r="G5" s="1" t="s">
        <v>789</v>
      </c>
      <c r="H5" s="1" t="s">
        <v>790</v>
      </c>
      <c r="I5" s="1" t="s">
        <v>226</v>
      </c>
      <c r="J5" s="1" t="s">
        <v>54</v>
      </c>
    </row>
    <row r="6" spans="1:10" ht="80" customHeight="1">
      <c r="A6" s="2" t="s">
        <v>791</v>
      </c>
      <c r="B6" s="2" t="s">
        <v>792</v>
      </c>
      <c r="C6" s="2" t="s">
        <v>793</v>
      </c>
      <c r="D6" s="2">
        <v>2021</v>
      </c>
      <c r="E6" s="2" t="s">
        <v>63</v>
      </c>
      <c r="F6" s="2" t="s">
        <v>794</v>
      </c>
      <c r="G6" s="2" t="s">
        <v>795</v>
      </c>
      <c r="H6" s="2" t="s">
        <v>796</v>
      </c>
      <c r="I6" s="2" t="s">
        <v>8</v>
      </c>
      <c r="J6" s="3">
        <v>46221</v>
      </c>
    </row>
    <row r="7" spans="1:10" ht="80" customHeight="1">
      <c r="A7" s="2" t="s">
        <v>797</v>
      </c>
      <c r="B7" s="2" t="s">
        <v>792</v>
      </c>
      <c r="C7" s="2" t="s">
        <v>798</v>
      </c>
      <c r="D7" s="2">
        <v>2014</v>
      </c>
      <c r="E7" s="2" t="s">
        <v>72</v>
      </c>
      <c r="F7" s="2" t="s">
        <v>799</v>
      </c>
      <c r="G7" s="2" t="s">
        <v>800</v>
      </c>
      <c r="H7" s="2" t="s">
        <v>801</v>
      </c>
      <c r="I7" s="2" t="s">
        <v>8</v>
      </c>
      <c r="J7" s="3">
        <v>46221</v>
      </c>
    </row>
    <row r="8" spans="1:10" ht="80" customHeight="1">
      <c r="A8" s="2" t="s">
        <v>802</v>
      </c>
      <c r="B8" s="2" t="s">
        <v>803</v>
      </c>
      <c r="C8" s="2" t="s">
        <v>804</v>
      </c>
      <c r="D8" s="2">
        <v>2022</v>
      </c>
      <c r="E8" s="2" t="s">
        <v>81</v>
      </c>
      <c r="F8" s="2" t="s">
        <v>805</v>
      </c>
      <c r="G8" s="2" t="s">
        <v>806</v>
      </c>
      <c r="H8" s="2" t="s">
        <v>807</v>
      </c>
      <c r="I8" s="2" t="s">
        <v>8</v>
      </c>
      <c r="J8" s="3">
        <v>46221</v>
      </c>
    </row>
    <row r="9" spans="1:10" ht="80" customHeight="1">
      <c r="A9" s="2" t="s">
        <v>808</v>
      </c>
      <c r="B9" s="2" t="s">
        <v>809</v>
      </c>
      <c r="C9" s="2" t="s">
        <v>810</v>
      </c>
      <c r="D9" s="2">
        <v>2026</v>
      </c>
      <c r="E9" s="2" t="s">
        <v>89</v>
      </c>
      <c r="F9" s="2" t="s">
        <v>811</v>
      </c>
      <c r="G9" s="2" t="s">
        <v>812</v>
      </c>
      <c r="H9" s="2" t="s">
        <v>801</v>
      </c>
      <c r="I9" s="2" t="s">
        <v>8</v>
      </c>
      <c r="J9" s="3">
        <v>46221</v>
      </c>
    </row>
    <row r="10" spans="1:10" ht="80" customHeight="1">
      <c r="A10" s="2" t="s">
        <v>813</v>
      </c>
      <c r="B10" s="2" t="s">
        <v>792</v>
      </c>
      <c r="C10" s="2" t="s">
        <v>814</v>
      </c>
      <c r="D10" s="2">
        <v>2011</v>
      </c>
      <c r="E10" s="2" t="s">
        <v>98</v>
      </c>
      <c r="F10" s="2" t="s">
        <v>815</v>
      </c>
      <c r="G10" s="2" t="s">
        <v>816</v>
      </c>
      <c r="H10" s="2" t="s">
        <v>817</v>
      </c>
      <c r="I10" s="2" t="s">
        <v>8</v>
      </c>
      <c r="J10" s="3">
        <v>46221</v>
      </c>
    </row>
    <row r="11" spans="1:10" ht="80" customHeight="1">
      <c r="A11" s="2" t="s">
        <v>818</v>
      </c>
      <c r="B11" s="2" t="s">
        <v>819</v>
      </c>
      <c r="C11" s="2" t="s">
        <v>820</v>
      </c>
      <c r="D11" s="2">
        <v>2003</v>
      </c>
      <c r="E11" s="2" t="s">
        <v>107</v>
      </c>
      <c r="F11" s="2" t="s">
        <v>821</v>
      </c>
      <c r="G11" s="2" t="s">
        <v>822</v>
      </c>
      <c r="H11" s="2" t="s">
        <v>823</v>
      </c>
      <c r="I11" s="2" t="s">
        <v>8</v>
      </c>
      <c r="J11" s="3">
        <v>46221</v>
      </c>
    </row>
    <row r="12" spans="1:10" ht="80" customHeight="1">
      <c r="A12" s="2" t="s">
        <v>824</v>
      </c>
      <c r="B12" s="2" t="s">
        <v>819</v>
      </c>
      <c r="C12" s="2" t="s">
        <v>825</v>
      </c>
      <c r="D12" s="2">
        <v>2018</v>
      </c>
      <c r="E12" s="2" t="s">
        <v>115</v>
      </c>
      <c r="F12" s="2" t="s">
        <v>826</v>
      </c>
      <c r="G12" s="2" t="s">
        <v>827</v>
      </c>
      <c r="H12" s="2" t="s">
        <v>823</v>
      </c>
      <c r="I12" s="2" t="s">
        <v>828</v>
      </c>
      <c r="J12" s="3">
        <v>46221</v>
      </c>
    </row>
    <row r="13" spans="1:10" ht="80" customHeight="1">
      <c r="A13" s="2" t="s">
        <v>829</v>
      </c>
      <c r="B13" s="2" t="s">
        <v>830</v>
      </c>
      <c r="C13" s="2" t="s">
        <v>831</v>
      </c>
      <c r="D13" s="2">
        <v>2020</v>
      </c>
      <c r="E13" s="2" t="s">
        <v>124</v>
      </c>
      <c r="F13" s="2" t="s">
        <v>832</v>
      </c>
      <c r="G13" s="2" t="s">
        <v>833</v>
      </c>
      <c r="H13" s="2" t="s">
        <v>834</v>
      </c>
      <c r="I13" s="2" t="s">
        <v>835</v>
      </c>
      <c r="J13" s="3">
        <v>46221</v>
      </c>
    </row>
    <row r="14" spans="1:10" ht="80" customHeight="1">
      <c r="A14" s="2" t="s">
        <v>836</v>
      </c>
      <c r="B14" s="2" t="s">
        <v>837</v>
      </c>
      <c r="C14" s="2" t="s">
        <v>838</v>
      </c>
      <c r="D14" s="2">
        <v>2026</v>
      </c>
      <c r="E14" s="2"/>
      <c r="F14" s="2" t="s">
        <v>839</v>
      </c>
      <c r="G14" s="2" t="s">
        <v>840</v>
      </c>
      <c r="H14" s="2" t="s">
        <v>841</v>
      </c>
      <c r="I14" s="2" t="s">
        <v>842</v>
      </c>
      <c r="J14" s="3">
        <v>46221</v>
      </c>
    </row>
  </sheetData>
  <mergeCells count="3">
    <mergeCell ref="A1:J1"/>
    <mergeCell ref="A2:J2"/>
    <mergeCell ref="A4:J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1"/>
  <sheetViews>
    <sheetView showGridLines="0" workbookViewId="0"/>
  </sheetViews>
  <sheetFormatPr baseColWidth="10" defaultColWidth="8.83203125" defaultRowHeight="14"/>
  <cols>
    <col min="1" max="1" width="14" customWidth="1"/>
    <col min="2" max="2" width="41" customWidth="1"/>
    <col min="3" max="3" width="43" customWidth="1"/>
    <col min="4" max="4" width="48" customWidth="1"/>
    <col min="5" max="5" width="36" customWidth="1"/>
    <col min="6" max="7" width="25" customWidth="1"/>
    <col min="8" max="8" width="18" customWidth="1"/>
    <col min="9" max="9" width="16" customWidth="1"/>
    <col min="10" max="10" width="42" customWidth="1"/>
  </cols>
  <sheetData>
    <row r="1" spans="1:10" ht="31" customHeight="1">
      <c r="A1" s="22" t="s">
        <v>843</v>
      </c>
      <c r="B1" s="22"/>
      <c r="C1" s="22"/>
      <c r="D1" s="22"/>
      <c r="E1" s="22"/>
      <c r="F1" s="22"/>
      <c r="G1" s="22"/>
      <c r="H1" s="22"/>
      <c r="I1" s="22"/>
      <c r="J1" s="22"/>
    </row>
    <row r="2" spans="1:10" ht="30" customHeight="1">
      <c r="A2" s="23" t="s">
        <v>844</v>
      </c>
      <c r="B2" s="23"/>
      <c r="C2" s="23"/>
      <c r="D2" s="23"/>
      <c r="E2" s="23"/>
      <c r="F2" s="23"/>
      <c r="G2" s="23"/>
      <c r="H2" s="23"/>
      <c r="I2" s="23"/>
      <c r="J2" s="23"/>
    </row>
    <row r="4" spans="1:10" ht="23" customHeight="1">
      <c r="A4" s="24" t="s">
        <v>845</v>
      </c>
      <c r="B4" s="24" t="s">
        <v>845</v>
      </c>
      <c r="C4" s="24" t="s">
        <v>845</v>
      </c>
      <c r="D4" s="24" t="s">
        <v>845</v>
      </c>
      <c r="E4" s="24" t="s">
        <v>845</v>
      </c>
      <c r="F4" s="24" t="s">
        <v>845</v>
      </c>
      <c r="G4" s="24" t="s">
        <v>845</v>
      </c>
      <c r="H4" s="24" t="s">
        <v>845</v>
      </c>
      <c r="I4" s="24" t="s">
        <v>845</v>
      </c>
      <c r="J4" s="24" t="s">
        <v>845</v>
      </c>
    </row>
    <row r="5" spans="1:10" ht="30" customHeight="1">
      <c r="A5" s="1" t="s">
        <v>703</v>
      </c>
      <c r="B5" s="1" t="s">
        <v>846</v>
      </c>
      <c r="C5" s="1" t="s">
        <v>847</v>
      </c>
      <c r="D5" s="1" t="s">
        <v>848</v>
      </c>
      <c r="E5" s="1" t="s">
        <v>849</v>
      </c>
      <c r="F5" s="1" t="s">
        <v>704</v>
      </c>
      <c r="G5" s="1" t="s">
        <v>850</v>
      </c>
      <c r="H5" s="1" t="s">
        <v>442</v>
      </c>
      <c r="I5" s="1" t="s">
        <v>851</v>
      </c>
      <c r="J5" s="1" t="s">
        <v>707</v>
      </c>
    </row>
    <row r="6" spans="1:10" ht="72" customHeight="1">
      <c r="A6" s="2" t="s">
        <v>711</v>
      </c>
      <c r="B6" s="2" t="s">
        <v>852</v>
      </c>
      <c r="C6" s="2" t="s">
        <v>853</v>
      </c>
      <c r="D6" s="2" t="s">
        <v>854</v>
      </c>
      <c r="E6" s="2" t="s">
        <v>855</v>
      </c>
      <c r="F6" s="2" t="s">
        <v>856</v>
      </c>
      <c r="G6" s="2" t="s">
        <v>857</v>
      </c>
      <c r="H6" s="8" t="s">
        <v>858</v>
      </c>
      <c r="I6" s="3"/>
      <c r="J6" s="2" t="s">
        <v>859</v>
      </c>
    </row>
    <row r="7" spans="1:10" ht="72" customHeight="1">
      <c r="A7" s="2" t="s">
        <v>711</v>
      </c>
      <c r="B7" s="2" t="s">
        <v>860</v>
      </c>
      <c r="C7" s="2" t="s">
        <v>861</v>
      </c>
      <c r="D7" s="2" t="s">
        <v>862</v>
      </c>
      <c r="E7" s="2" t="s">
        <v>863</v>
      </c>
      <c r="F7" s="2" t="s">
        <v>864</v>
      </c>
      <c r="G7" s="2" t="s">
        <v>857</v>
      </c>
      <c r="H7" s="8" t="s">
        <v>858</v>
      </c>
      <c r="I7" s="3"/>
      <c r="J7" s="2" t="s">
        <v>865</v>
      </c>
    </row>
    <row r="8" spans="1:10" ht="72" customHeight="1">
      <c r="A8" s="2" t="s">
        <v>725</v>
      </c>
      <c r="B8" s="2" t="s">
        <v>866</v>
      </c>
      <c r="C8" s="2" t="s">
        <v>867</v>
      </c>
      <c r="D8" s="2" t="s">
        <v>868</v>
      </c>
      <c r="E8" s="2" t="s">
        <v>869</v>
      </c>
      <c r="F8" s="2" t="s">
        <v>870</v>
      </c>
      <c r="G8" s="2" t="s">
        <v>871</v>
      </c>
      <c r="H8" s="8" t="s">
        <v>858</v>
      </c>
      <c r="I8" s="3"/>
      <c r="J8" s="2" t="s">
        <v>872</v>
      </c>
    </row>
    <row r="9" spans="1:10" ht="72" customHeight="1">
      <c r="A9" s="2" t="s">
        <v>725</v>
      </c>
      <c r="B9" s="2" t="s">
        <v>873</v>
      </c>
      <c r="C9" s="2" t="s">
        <v>874</v>
      </c>
      <c r="D9" s="2" t="s">
        <v>875</v>
      </c>
      <c r="E9" s="2" t="s">
        <v>876</v>
      </c>
      <c r="F9" s="2" t="s">
        <v>877</v>
      </c>
      <c r="G9" s="2" t="s">
        <v>857</v>
      </c>
      <c r="H9" s="8" t="s">
        <v>858</v>
      </c>
      <c r="I9" s="3"/>
      <c r="J9" s="2" t="s">
        <v>878</v>
      </c>
    </row>
    <row r="10" spans="1:10" ht="72" customHeight="1">
      <c r="A10" s="2" t="s">
        <v>725</v>
      </c>
      <c r="B10" s="2" t="s">
        <v>879</v>
      </c>
      <c r="C10" s="2" t="s">
        <v>880</v>
      </c>
      <c r="D10" s="2" t="s">
        <v>881</v>
      </c>
      <c r="E10" s="2" t="s">
        <v>882</v>
      </c>
      <c r="F10" s="2" t="s">
        <v>883</v>
      </c>
      <c r="G10" s="2" t="s">
        <v>644</v>
      </c>
      <c r="H10" s="8" t="s">
        <v>858</v>
      </c>
      <c r="I10" s="3"/>
      <c r="J10" s="2" t="s">
        <v>884</v>
      </c>
    </row>
    <row r="11" spans="1:10" ht="72" customHeight="1">
      <c r="A11" s="2" t="s">
        <v>725</v>
      </c>
      <c r="B11" s="2" t="s">
        <v>885</v>
      </c>
      <c r="C11" s="2" t="s">
        <v>886</v>
      </c>
      <c r="D11" s="2" t="s">
        <v>887</v>
      </c>
      <c r="E11" s="2" t="s">
        <v>888</v>
      </c>
      <c r="F11" s="2" t="s">
        <v>889</v>
      </c>
      <c r="G11" s="2" t="s">
        <v>857</v>
      </c>
      <c r="H11" s="8" t="s">
        <v>858</v>
      </c>
      <c r="I11" s="3"/>
      <c r="J11" s="2" t="s">
        <v>890</v>
      </c>
    </row>
    <row r="12" spans="1:10" ht="72" customHeight="1">
      <c r="A12" s="2" t="s">
        <v>306</v>
      </c>
      <c r="B12" s="2" t="s">
        <v>891</v>
      </c>
      <c r="C12" s="2" t="s">
        <v>892</v>
      </c>
      <c r="D12" s="2" t="s">
        <v>893</v>
      </c>
      <c r="E12" s="2" t="s">
        <v>894</v>
      </c>
      <c r="F12" s="2" t="s">
        <v>740</v>
      </c>
      <c r="G12" s="2" t="s">
        <v>895</v>
      </c>
      <c r="H12" s="8" t="s">
        <v>858</v>
      </c>
      <c r="I12" s="3"/>
      <c r="J12" s="2" t="s">
        <v>896</v>
      </c>
    </row>
    <row r="13" spans="1:10" ht="72" customHeight="1">
      <c r="A13" s="2" t="s">
        <v>306</v>
      </c>
      <c r="B13" s="2" t="s">
        <v>897</v>
      </c>
      <c r="C13" s="2" t="s">
        <v>898</v>
      </c>
      <c r="D13" s="2" t="s">
        <v>899</v>
      </c>
      <c r="E13" s="2" t="s">
        <v>900</v>
      </c>
      <c r="F13" s="2" t="s">
        <v>779</v>
      </c>
      <c r="G13" s="2" t="s">
        <v>901</v>
      </c>
      <c r="H13" s="8" t="s">
        <v>858</v>
      </c>
      <c r="I13" s="3"/>
      <c r="J13" s="2" t="s">
        <v>902</v>
      </c>
    </row>
    <row r="14" spans="1:10" ht="72" customHeight="1">
      <c r="A14" s="2" t="s">
        <v>306</v>
      </c>
      <c r="B14" s="2" t="s">
        <v>903</v>
      </c>
      <c r="C14" s="2" t="s">
        <v>904</v>
      </c>
      <c r="D14" s="2" t="s">
        <v>905</v>
      </c>
      <c r="E14" s="2" t="s">
        <v>906</v>
      </c>
      <c r="F14" s="2" t="s">
        <v>771</v>
      </c>
      <c r="G14" s="2" t="s">
        <v>907</v>
      </c>
      <c r="H14" s="8" t="s">
        <v>858</v>
      </c>
      <c r="I14" s="3"/>
      <c r="J14" s="2"/>
    </row>
    <row r="15" spans="1:10" ht="72" customHeight="1">
      <c r="A15" s="2" t="s">
        <v>306</v>
      </c>
      <c r="B15" s="2" t="s">
        <v>908</v>
      </c>
      <c r="C15" s="2" t="s">
        <v>909</v>
      </c>
      <c r="D15" s="2" t="s">
        <v>910</v>
      </c>
      <c r="E15" s="2" t="s">
        <v>911</v>
      </c>
      <c r="F15" s="2" t="s">
        <v>779</v>
      </c>
      <c r="G15" s="2" t="s">
        <v>912</v>
      </c>
      <c r="H15" s="8" t="s">
        <v>858</v>
      </c>
      <c r="I15" s="3"/>
      <c r="J15" s="2" t="s">
        <v>913</v>
      </c>
    </row>
    <row r="17" spans="1:10" ht="23" customHeight="1">
      <c r="A17" s="34" t="s">
        <v>914</v>
      </c>
      <c r="B17" s="34" t="s">
        <v>914</v>
      </c>
      <c r="C17" s="34" t="s">
        <v>914</v>
      </c>
      <c r="D17" s="34" t="s">
        <v>914</v>
      </c>
      <c r="E17" s="34" t="s">
        <v>914</v>
      </c>
      <c r="F17" s="34" t="s">
        <v>914</v>
      </c>
      <c r="G17" s="34" t="s">
        <v>914</v>
      </c>
      <c r="H17" s="34" t="s">
        <v>914</v>
      </c>
      <c r="I17" s="34" t="s">
        <v>914</v>
      </c>
      <c r="J17" s="34" t="s">
        <v>914</v>
      </c>
    </row>
    <row r="18" spans="1:10" ht="30" customHeight="1">
      <c r="A18" s="1" t="s">
        <v>915</v>
      </c>
      <c r="B18" s="1" t="s">
        <v>786</v>
      </c>
      <c r="C18" s="1" t="s">
        <v>916</v>
      </c>
      <c r="D18" s="1" t="s">
        <v>917</v>
      </c>
      <c r="E18" s="1" t="s">
        <v>918</v>
      </c>
      <c r="F18" s="1" t="s">
        <v>919</v>
      </c>
      <c r="G18" s="1" t="s">
        <v>705</v>
      </c>
      <c r="H18" s="1" t="s">
        <v>920</v>
      </c>
      <c r="I18" s="1" t="s">
        <v>921</v>
      </c>
      <c r="J18" s="1" t="s">
        <v>707</v>
      </c>
    </row>
    <row r="19" spans="1:10" ht="60">
      <c r="A19" s="2" t="s">
        <v>922</v>
      </c>
      <c r="B19" s="3">
        <v>46221</v>
      </c>
      <c r="C19" s="2" t="s">
        <v>923</v>
      </c>
      <c r="D19" s="2" t="s">
        <v>155</v>
      </c>
      <c r="E19" s="2" t="s">
        <v>924</v>
      </c>
      <c r="F19" s="2" t="s">
        <v>925</v>
      </c>
      <c r="G19" s="2" t="s">
        <v>926</v>
      </c>
      <c r="H19" s="2" t="s">
        <v>927</v>
      </c>
      <c r="I19" s="2" t="s">
        <v>928</v>
      </c>
      <c r="J19" s="2"/>
    </row>
    <row r="20" spans="1:10">
      <c r="A20" s="8"/>
      <c r="B20" s="21"/>
      <c r="C20" s="8"/>
      <c r="D20" s="8"/>
      <c r="E20" s="8"/>
      <c r="F20" s="8"/>
      <c r="G20" s="8"/>
      <c r="H20" s="8"/>
      <c r="I20" s="8"/>
      <c r="J20" s="8"/>
    </row>
    <row r="21" spans="1:10">
      <c r="A21" s="8"/>
      <c r="B21" s="21"/>
      <c r="C21" s="8"/>
      <c r="D21" s="8"/>
      <c r="E21" s="8"/>
      <c r="F21" s="8"/>
      <c r="G21" s="8"/>
      <c r="H21" s="8"/>
      <c r="I21" s="8"/>
      <c r="J21" s="8"/>
    </row>
  </sheetData>
  <mergeCells count="4">
    <mergeCell ref="A1:J1"/>
    <mergeCell ref="A2:J2"/>
    <mergeCell ref="A4:J4"/>
    <mergeCell ref="A17:J17"/>
  </mergeCells>
  <dataValidations count="1">
    <dataValidation type="list" sqref="H6:H15" xr:uid="{00000000-0002-0000-0B00-000000000000}">
      <formula1>"Open,In progress,Decided,Deferred"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00 Read Me</vt:lpstr>
      <vt:lpstr>01 Benchmark Library</vt:lpstr>
      <vt:lpstr>02 Results Design</vt:lpstr>
      <vt:lpstr>03 User Questions</vt:lpstr>
      <vt:lpstr>04 Calculation Model</vt:lpstr>
      <vt:lpstr>05 Assumption Library</vt:lpstr>
      <vt:lpstr>How We Built These Estimates</vt:lpstr>
      <vt:lpstr>06 Sample Scenario</vt:lpstr>
      <vt:lpstr>07 Web App Spec</vt:lpstr>
      <vt:lpstr>08 Validation Checklist</vt:lpstr>
      <vt:lpstr>09 Sources</vt:lpstr>
      <vt:lpstr>10 Refinement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Lydia Bailey</cp:lastModifiedBy>
  <dcterms:created xsi:type="dcterms:W3CDTF">2026-07-18T01:15:46Z</dcterms:created>
  <dcterms:modified xsi:type="dcterms:W3CDTF">2026-07-18T01:15:46Z</dcterms:modified>
</cp:coreProperties>
</file>