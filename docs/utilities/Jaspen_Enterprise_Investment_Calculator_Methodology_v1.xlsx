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daff0b1be91f44dc" /></Relationships>
</file>

<file path=xl/workbook.xml><?xml version="1.0" encoding="utf-8"?>
<x:workbook xmlns:x="http://schemas.openxmlformats.org/spreadsheetml/2006/main">
  <x:sheets>
    <x:sheet xmlns:r="http://schemas.openxmlformats.org/officeDocument/2006/relationships" name="00 Read Me" sheetId="1" r:id="Ra0979cf6649c4e26"/>
    <x:sheet xmlns:r="http://schemas.openxmlformats.org/officeDocument/2006/relationships" name="01 Market Baseline" sheetId="2" r:id="Rc7afe2c4f0334fb3"/>
    <x:sheet xmlns:r="http://schemas.openxmlformats.org/officeDocument/2006/relationships" name="02 Results Design" sheetId="3" r:id="R22f1791117b14a3a"/>
    <x:sheet xmlns:r="http://schemas.openxmlformats.org/officeDocument/2006/relationships" name="03 User Questions" sheetId="4" r:id="Racf528c39fef4396"/>
    <x:sheet xmlns:r="http://schemas.openxmlformats.org/officeDocument/2006/relationships" name="04 Calculation Model" sheetId="5" r:id="Rd77f0a160300441c"/>
    <x:sheet xmlns:r="http://schemas.openxmlformats.org/officeDocument/2006/relationships" name="05 Pricing Policy Library" sheetId="6" r:id="Radfcc8ff3ea54f99"/>
    <x:sheet xmlns:r="http://schemas.openxmlformats.org/officeDocument/2006/relationships" name="How We Built This Estimate" sheetId="7" r:id="Rccd07878109d49d3"/>
    <x:sheet xmlns:r="http://schemas.openxmlformats.org/officeDocument/2006/relationships" name="06 Sample Scenario" sheetId="8" r:id="R381e539bfb9044f3"/>
    <x:sheet xmlns:r="http://schemas.openxmlformats.org/officeDocument/2006/relationships" name="07 Web App Spec" sheetId="9" r:id="R2dc25e8312974e3c"/>
    <x:sheet xmlns:r="http://schemas.openxmlformats.org/officeDocument/2006/relationships" name="08 Validation Checklist" sheetId="10" r:id="R6e6d8c4edcdd4c2e"/>
    <x:sheet xmlns:r="http://schemas.openxmlformats.org/officeDocument/2006/relationships" name="09 Sources" sheetId="11" r:id="Rb9c6aee8dac44f13"/>
    <x:sheet xmlns:r="http://schemas.openxmlformats.org/officeDocument/2006/relationships" name="10 Refinement Notes" sheetId="12" r:id="Rf317de3e57714b17"/>
  </x:sheets>
</x:workbook>
</file>

<file path=xl/comments1.xml><?xml version="1.0" encoding="utf-8"?>
<x:comments xmlns:x="http://schemas.openxmlformats.org/spreadsheetml/2006/main">
  <x:authors>
    <x:author>tc={2AB3AD12-E0BE-83A5-A3C2-54B08B7F8772}</x:author>
    <x:author>tc={64A3B894-8C04-41D4-E95B-0B0E54B907EA}</x:author>
    <x:author>tc={56F1ECFC-A3A6-44E5-C3CC-9FD00D355D46}</x:author>
  </x:authors>
  <x:commentList>
    <x:comment ref="D10" authorId="0">
      <x:text>
        <x:r>
          <x:t>[Threaded comment]
Your version of Excel allows you to read this threaded comment; however, any edits to it will get removed if the file is opened in a newer version of Excel. Learn more: https://go.microsoft.com/fwlink/?linkid=870924
Comment:
    Confirm the exact annual Business price and discount in Stripe before publishing. The checkout amount should be authoritative.</x:t>
        </x:r>
      </x:text>
    </x:comment>
    <x:comment ref="D11" authorId="1">
      <x:text>
        <x:r>
          <x:t>[Threaded comment]
Your version of Excel allows you to read this threaded comment; however, any edits to it will get removed if the file is opened in a newer version of Excel. Learn more: https://go.microsoft.com/fwlink/?linkid=870924
Comment:
    Owner-approved pricing policy assumption. Public competitor sources do not validate this amount.</x:t>
        </x:r>
      </x:text>
    </x:comment>
    <x:comment ref="D17" authorId="2">
      <x:text>
        <x:r>
          <x:t>[Threaded comment]
Your version of Excel allows you to read this threaded comment; however, any edits to it will get removed if the file is opened in a newer version of Excel. Learn more: https://go.microsoft.com/fwlink/?linkid=870924
Comment:
    Planning default for the investment-equivalent calculation. This is not a claim about customer labor cost or savings.</x:t>
        </x:r>
      </x:text>
    </x:comment>
  </x:commentList>
</x:comments>
</file>

<file path=xl/sharedStrings.xml><?xml version="1.0" encoding="utf-8"?>
<x:sst xmlns:x="http://schemas.openxmlformats.org/spreadsheetml/2006/main">
  <x:si>
    <x:t xml:space="preserve">Jaspen Enterprise Investment Calculator — Methodology Workbook</x:t>
  </x:si>
  <x:si>
    <x:t xml:space="preserve">Purpose and guardrails</x:t>
  </x:si>
  <x:si>
    <x:t xml:space="preserve">This workbook turns Jaspen's current Business and Enterprise pricing decisions into an auditable calculator specification. It recommends the right commercial path, shows an indicative investment range, and translates that investment into leadership-time-equivalent terms. It does not estimate ROI, guarantee savings, or claim that Jaspen prevents turnover. Enterprise ranges are Jaspen pricing policy assumptions—not market benchmarks—and final Enterprise pricing is established through a scoped annual agreement.</x:t>
  </x:si>
  <x:si>
    <x:t xml:space="preserve">Workbook map</x:t>
  </x:si>
  <x:si>
    <x:t xml:space="preserve">Sheet</x:t>
  </x:si>
  <x:si>
    <x:t xml:space="preserve">What it contains</x:t>
  </x:si>
  <x:si>
    <x:t xml:space="preserve">Primary user</x:t>
  </x:si>
  <x:si>
    <x:t xml:space="preserve">01 Market Baseline</x:t>
  </x:si>
  <x:si>
    <x:t xml:space="preserve">Public market patterns that support self-service Business vs. custom Enterprise packaging; not used to set Jaspen's prices.</x:t>
  </x:si>
  <x:si>
    <x:t xml:space="preserve">Founder / reviewer</x:t>
  </x:si>
  <x:si>
    <x:t xml:space="preserve">02 Results Design</x:t>
  </x:si>
  <x:si>
    <x:t xml:space="preserve">Recommended result hierarchy, public copy, disclosures, and calls to action.</x:t>
  </x:si>
  <x:si>
    <x:t xml:space="preserve">Marketing / design</x:t>
  </x:si>
  <x:si>
    <x:t xml:space="preserve">03 User Questions</x:t>
  </x:si>
  <x:si>
    <x:t xml:space="preserve">Calculator inputs, response types, defaults, and why each question is asked.</x:t>
  </x:si>
  <x:si>
    <x:t xml:space="preserve">Product / engineering</x:t>
  </x:si>
  <x:si>
    <x:t xml:space="preserve">04 Calculation Model</x:t>
  </x:si>
  <x:si>
    <x:t xml:space="preserve">Decision tree, complexity scoring, price selection, and investment-equivalent math.</x:t>
  </x:si>
  <x:si>
    <x:t xml:space="preserve">Engineering / finance</x:t>
  </x:si>
  <x:si>
    <x:t xml:space="preserve">05 Pricing Policy Library</x:t>
  </x:si>
  <x:si>
    <x:t xml:space="preserve">Editable commercial assumptions and internal thresholds used by formulas.</x:t>
  </x:si>
  <x:si>
    <x:t xml:space="preserve">Founder / finance</x:t>
  </x:si>
  <x:si>
    <x:t xml:space="preserve">How We Built This Estimate</x:t>
  </x:si>
  <x:si>
    <x:t xml:space="preserve">Plain-language methodology and limitations for internal and public-facing use.</x:t>
  </x:si>
  <x:si>
    <x:t xml:space="preserve">Sales / legal / marketing</x:t>
  </x:si>
  <x:si>
    <x:t xml:space="preserve">06 Sample Scenario</x:t>
  </x:si>
  <x:si>
    <x:t xml:space="preserve">Live, editable calculator model with formulas plus boundary test cases.</x:t>
  </x:si>
  <x:si>
    <x:t xml:space="preserve">Founder / QA</x:t>
  </x:si>
  <x:si>
    <x:t xml:space="preserve">07 Web App Spec</x:t>
  </x:si>
  <x:si>
    <x:t xml:space="preserve">Pricing-page placement, states, accessibility, lead form, events, and data handling.</x:t>
  </x:si>
  <x:si>
    <x:t xml:space="preserve">Engineering / design</x:t>
  </x:si>
  <x:si>
    <x:t xml:space="preserve">08 Validation Checklist</x:t>
  </x:si>
  <x:si>
    <x:t xml:space="preserve">Functional, content, pricing, privacy, analytics, and launch checks.</x:t>
  </x:si>
  <x:si>
    <x:t xml:space="preserve">QA / owner</x:t>
  </x:si>
  <x:si>
    <x:t xml:space="preserve">09 Sources</x:t>
  </x:si>
  <x:si>
    <x:t xml:space="preserve">Public sources and internal decisions, with clear limits on what each source supports.</x:t>
  </x:si>
  <x:si>
    <x:t xml:space="preserve">Reviewer</x:t>
  </x:si>
  <x:si>
    <x:t xml:space="preserve">10 Refinement Notes</x:t>
  </x:si>
  <x:si>
    <x:t xml:space="preserve">Open decisions, recommended next research, and version-control notes.</x:t>
  </x:si>
  <x:si>
    <x:t xml:space="preserve">Founder / project owner</x:t>
  </x:si>
  <x:si>
    <x:t xml:space="preserve">Before launch: confirm the annual Business Stripe price/discount, approve the Enterprise price bands, decide whether the $112.50 hourly-cost assumption should be visible or editable, and have counsel review the public disclaimer.</x:t>
  </x:si>
  <x:si>
    <x:t xml:space="preserve">Market Baseline</x:t>
  </x:si>
  <x:si>
    <x:t xml:space="preserve">Public packaging patterns inform the Business-versus-Enterprise boundary; they do not determine Jaspen's pricing bands.</x:t>
  </x:si>
  <x:si>
    <x:t xml:space="preserve">Observed packaging patterns</x:t>
  </x:si>
  <x:si>
    <x:t xml:space="preserve">Provider</x:t>
  </x:si>
  <x:si>
    <x:t xml:space="preserve">Self-service offer</x:t>
  </x:si>
  <x:si>
    <x:t xml:space="preserve">Enterprise path</x:t>
  </x:si>
  <x:si>
    <x:t xml:space="preserve">Security / admin</x:t>
  </x:si>
  <x:si>
    <x:t xml:space="preserve">Support / terms</x:t>
  </x:si>
  <x:si>
    <x:t xml:space="preserve">Billing pattern</x:t>
  </x:si>
  <x:si>
    <x:t xml:space="preserve">Relevant lesson</x:t>
  </x:si>
  <x:si>
    <x:t xml:space="preserve">Not evidence for</x:t>
  </x:si>
  <x:si>
    <x:t xml:space="preserve">Source</x:t>
  </x:si>
  <x:si>
    <x:t xml:space="preserve">Reviewed</x:t>
  </x:si>
  <x:si>
    <x:t xml:space="preserve">OpenAI</x:t>
  </x:si>
  <x:si>
    <x:t xml:space="preserve">Business is listed publicly as a self-service plan.</x:t>
  </x:si>
  <x:si>
    <x:t xml:space="preserve">Enterprise is contact sales.</x:t>
  </x:si>
  <x:si>
    <x:t xml:space="preserve">Enterprise adds controls such as SCIM, retention controls, and broader governance.</x:t>
  </x:si>
  <x:si>
    <x:t xml:space="preserve">Enterprise support, invoicing, and legal terms can be scoped.</x:t>
  </x:si>
  <x:si>
    <x:t xml:space="preserve">Public Business pricing; custom Enterprise.</x:t>
  </x:si>
  <x:si>
    <x:t xml:space="preserve">A credible boundary is operational complexity, not merely company size.</x:t>
  </x:si>
  <x:si>
    <x:t xml:space="preserve">Jaspen's $24k–$72k+ bands.</x:t>
  </x:si>
  <x:si>
    <x:t xml:space="preserve">https://openai.com/business/pricing/</x:t>
  </x:si>
  <x:si>
    <x:t xml:space="preserve">—</x:t>
  </x:si>
  <x:si>
    <x:t xml:space="preserve">Sales intake gathers deployment and organizational details.</x:t>
  </x:si>
  <x:si>
    <x:t xml:space="preserve">Custom conversation before final scope.</x:t>
  </x:si>
  <x:si>
    <x:t xml:space="preserve">Contact sales.</x:t>
  </x:si>
  <x:si>
    <x:t xml:space="preserve">Jaspen should estimate before requesting contact details, then pass inputs to sales.</x:t>
  </x:si>
  <x:si>
    <x:t xml:space="preserve">Any specific close rate or willingness to pay.</x:t>
  </x:si>
  <x:si>
    <x:t xml:space="preserve">https://openai.com/contact-sales/</x:t>
  </x:si>
  <x:si>
    <x:t xml:space="preserve">Anthropic</x:t>
  </x:si>
  <x:si>
    <x:t xml:space="preserve">Team and API offerings have standard purchase paths.</x:t>
  </x:si>
  <x:si>
    <x:t xml:space="preserve">Claude Enterprise is a scoped enterprise offer.</x:t>
  </x:si>
  <x:si>
    <x:t xml:space="preserve">Enterprise emphasizes security and compliance capabilities.</x:t>
  </x:si>
  <x:si>
    <x:t xml:space="preserve">Pricing and usage depend on agreement; support and terms can differ.</x:t>
  </x:si>
  <x:si>
    <x:t xml:space="preserve">Custom Enterprise pricing.</x:t>
  </x:si>
  <x:si>
    <x:t xml:space="preserve">Custom security, governance, and procurement needs are valid Enterprise triggers.</x:t>
  </x:si>
  <x:si>
    <x:t xml:space="preserve">Jaspen price levels or customer savings.</x:t>
  </x:si>
  <x:si>
    <x:t xml:space="preserve">https://support.anthropic.com/en/articles/9797531-what-is-the-claude-enterprise-plan</x:t>
  </x:si>
  <x:si>
    <x:t xml:space="preserve">Published platform rates exist for standard use.</x:t>
  </x:si>
  <x:si>
    <x:t xml:space="preserve">Enterprise can include custom rate limits, volume arrangements, support, and terms.</x:t>
  </x:si>
  <x:si>
    <x:t xml:space="preserve">Custom controls may be negotiated.</x:t>
  </x:si>
  <x:si>
    <x:t xml:space="preserve">Dedicated support and custom terms may apply.</x:t>
  </x:si>
  <x:si>
    <x:t xml:space="preserve">Custom arrangements layered on usage.</x:t>
  </x:si>
  <x:si>
    <x:t xml:space="preserve">Avoid presenting Jasper/Jaspen credits as equivalent to provider tokens without a documented conversion.</x:t>
  </x:si>
  <x:si>
    <x:t xml:space="preserve">A 1:1 or 1,000:1 token conversion.</x:t>
  </x:si>
  <x:si>
    <x:t xml:space="preserve">https://docs.anthropic.com/en/docs/about-claude/pricing</x:t>
  </x:si>
  <x:si>
    <x:t xml:space="preserve">Stripe</x:t>
  </x:si>
  <x:si>
    <x:t xml:space="preserve">Products and prices can support standard recurring offers.</x:t>
  </x:si>
  <x:si>
    <x:t xml:space="preserve">Quotes can be converted into subscriptions or invoices after agreement.</x:t>
  </x:si>
  <x:si>
    <x:t xml:space="preserve">Sales can issue a client-specific quote.</x:t>
  </x:si>
  <x:si>
    <x:t xml:space="preserve">Standard price objects plus negotiated quotes.</x:t>
  </x:si>
  <x:si>
    <x:t xml:space="preserve">Do not create generic Enterprise Stripe prices before the commercial scope is known.</x:t>
  </x:si>
  <x:si>
    <x:t xml:space="preserve">What Jaspen should charge.</x:t>
  </x:si>
  <x:si>
    <x:t xml:space="preserve">https://docs.stripe.com/quotes</x:t>
  </x:si>
  <x:si>
    <x:t xml:space="preserve">Interpretation: public comparables support a self-service Business tier and a contact-sales Enterprise tier. The actual Jaspen price bands remain an owner-approved policy decision and must be validated through sales conversations, customer research, delivery cost, and willingness-to-pay evidence.</x:t>
  </x:si>
  <x:si>
    <x:t xml:space="preserve">Results Design</x:t>
  </x:si>
  <x:si>
    <x:t xml:space="preserve">What the pricing-page calculator should show, in what order, and with which disclosures.</x:t>
  </x:si>
  <x:si>
    <x:t xml:space="preserve">Recommended result hierarchy</x:t>
  </x:si>
  <x:si>
    <x:t xml:space="preserve">Order</x:t>
  </x:si>
  <x:si>
    <x:t xml:space="preserve">Element</x:t>
  </x:si>
  <x:si>
    <x:t xml:space="preserve">Business result</x:t>
  </x:si>
  <x:si>
    <x:t xml:space="preserve">Enterprise Core</x:t>
  </x:si>
  <x:si>
    <x:t xml:space="preserve">Enterprise Scale</x:t>
  </x:si>
  <x:si>
    <x:t xml:space="preserve">Enterprise Strategic</x:t>
  </x:si>
  <x:si>
    <x:t xml:space="preserve">Why it matters</x:t>
  </x:si>
  <x:si>
    <x:t xml:space="preserve">Public?</x:t>
  </x:si>
  <x:si>
    <x:t xml:space="preserve">CTA</x:t>
  </x:si>
  <x:si>
    <x:t xml:space="preserve">Owner note</x:t>
  </x:si>
  <x:si>
    <x:t xml:space="preserve">Recommended fit</x:t>
  </x:si>
  <x:si>
    <x:t xml:space="preserve">Business</x:t>
  </x:si>
  <x:si>
    <x:t xml:space="preserve">Answers the user's first question immediately.</x:t>
  </x:si>
  <x:si>
    <x:t xml:space="preserve">Yes</x:t>
  </x:si>
  <x:si>
    <x:t xml:space="preserve">Contextual</x:t>
  </x:si>
  <x:si>
    <x:t xml:space="preserve">Use 'recommended fit,' not 'required plan.'</x:t>
  </x:si>
  <x:si>
    <x:t xml:space="preserve">Fit explanation</x:t>
  </x:si>
  <x:si>
    <x:t xml:space="preserve">One team, 5–10 participants, standard needs.</x:t>
  </x:si>
  <x:si>
    <x:t xml:space="preserve">Focused deployment with enterprise requirements.</x:t>
  </x:si>
  <x:si>
    <x:t xml:space="preserve">Multiple teams or greater operating complexity.</x:t>
  </x:si>
  <x:si>
    <x:t xml:space="preserve">Large or organization-wide deployment with significant complexity.</x:t>
  </x:si>
  <x:si>
    <x:t xml:space="preserve">Makes the recommendation legible and fair.</x:t>
  </x:si>
  <x:si>
    <x:t xml:space="preserve">No</x:t>
  </x:si>
  <x:si>
    <x:t xml:space="preserve">Do not penalize a large company if one small team genuinely fits Business.</x:t>
  </x:si>
  <x:si>
    <x:t xml:space="preserve">Indicative investment</x:t>
  </x:si>
  <x:si>
    <x:t xml:space="preserve">Current self-service annual price based on selected seats.</x:t>
  </x:si>
  <x:si>
    <x:t xml:space="preserve">$24,000–$36,000/year</x:t>
  </x:si>
  <x:si>
    <x:t xml:space="preserve">$48,000–$72,000/year</x:t>
  </x:si>
  <x:si>
    <x:t xml:space="preserve">Starting at $72,000/year; final quote custom</x:t>
  </x:si>
  <x:si>
    <x:t xml:space="preserve">Sets a useful expectation before contact.</x:t>
  </x:si>
  <x:si>
    <x:t xml:space="preserve">Yes, after approval</x:t>
  </x:si>
  <x:si>
    <x:t xml:space="preserve">Enterprise bands are policy, not a promise or quote.</x:t>
  </x:si>
  <x:si>
    <x:t xml:space="preserve">Key drivers</x:t>
  </x:si>
  <x:si>
    <x:t xml:space="preserve">Participants and add-on seats.</x:t>
  </x:si>
  <x:si>
    <x:t xml:space="preserve">Enterprise trigger(s), participant count, complexity.</x:t>
  </x:si>
  <x:si>
    <x:t xml:space="preserve">Scale, teams, integrations, support.</x:t>
  </x:si>
  <x:si>
    <x:t xml:space="preserve">Scale plus security, procurement, integrations, and service.</x:t>
  </x:si>
  <x:si>
    <x:t xml:space="preserve">Shows how inputs affected the result.</x:t>
  </x:si>
  <x:si>
    <x:t xml:space="preserve">List only selected drivers.</x:t>
  </x:si>
  <x:si>
    <x:t xml:space="preserve">Investment equivalent</x:t>
  </x:si>
  <x:si>
    <x:t xml:space="preserve">Optional; show only if useful.</x:t>
  </x:si>
  <x:si>
    <x:t xml:space="preserve">Minutes per participant per month at low/high range.</x:t>
  </x:si>
  <x:si>
    <x:t xml:space="preserve">Minutes per participant per month from starting price; high is custom.</x:t>
  </x:si>
  <x:si>
    <x:t xml:space="preserve">Translates dollars into an organizational unit.</x:t>
  </x:si>
  <x:si>
    <x:t xml:space="preserve">Yes with disclosure</x:t>
  </x:si>
  <x:si>
    <x:t xml:space="preserve">Never label this 'time saved.'</x:t>
  </x:si>
  <x:si>
    <x:t xml:space="preserve">Scope summary</x:t>
  </x:si>
  <x:si>
    <x:t xml:space="preserve">5 seats included; up to 5 add-ons; one workspace; standard support.</x:t>
  </x:si>
  <x:si>
    <x:t xml:space="preserve">Indicative focused deployment scope.</x:t>
  </x:si>
  <x:si>
    <x:t xml:space="preserve">Indicative multi-team scope.</x:t>
  </x:si>
  <x:si>
    <x:t xml:space="preserve">Indicative strategic scope; custom.</x:t>
  </x:si>
  <x:si>
    <x:t xml:space="preserve">Prepares the sales conversation.</x:t>
  </x:si>
  <x:si>
    <x:t xml:space="preserve">Final contract controls.</x:t>
  </x:si>
  <x:si>
    <x:t xml:space="preserve">Disclosure</x:t>
  </x:si>
  <x:si>
    <x:t xml:space="preserve">Estimate only; Stripe total controls checkout.</x:t>
  </x:si>
  <x:si>
    <x:t xml:space="preserve">Indicative planning estimate, not a quote.</x:t>
  </x:si>
  <x:si>
    <x:t xml:space="preserve">Starting point only; custom scope.</x:t>
  </x:si>
  <x:si>
    <x:t xml:space="preserve">Prevents overclaiming.</x:t>
  </x:si>
  <x:si>
    <x:t xml:space="preserve">Place adjacent to price.</x:t>
  </x:si>
  <x:si>
    <x:t xml:space="preserve">Action</x:t>
  </x:si>
  <x:si>
    <x:t xml:space="preserve">Start Business / choose seats.</x:t>
  </x:si>
  <x:si>
    <x:t xml:space="preserve">Contact Sales</x:t>
  </x:si>
  <x:si>
    <x:t xml:space="preserve">Moves the right user into the right flow.</x:t>
  </x:si>
  <x:si>
    <x:t xml:space="preserve">Primary</x:t>
  </x:si>
  <x:si>
    <x:t xml:space="preserve">Send calculator context with the lead.</x:t>
  </x:si>
  <x:si>
    <x:t xml:space="preserve">Approved investment-equivalent language</x:t>
  </x:si>
  <x:si>
    <x:t xml:space="preserve">For 20 participating leaders with a fully loaded cost of $112.50 per hour, a $24,000 annual Jaspen investment is equivalent to approximately 53 minutes of leadership time per participant each month. This comparison puts the investment into organizational terms. It does not predict or guarantee time savings, financial savings, or business outcomes.</x:t>
  </x:si>
  <x:si>
    <x:t xml:space="preserve">Language to avoid</x:t>
  </x:si>
  <x:si>
    <x:t xml:space="preserve">Avoid</x:t>
  </x:si>
  <x:si>
    <x:t xml:space="preserve">Why</x:t>
  </x:si>
  <x:si>
    <x:t xml:space="preserve">Jaspen will prevent turnover</x:t>
  </x:si>
  <x:si>
    <x:t xml:space="preserve">Jaspen can preserve decision context; it cannot prevent employee departures.</x:t>
  </x:si>
  <x:si>
    <x:t xml:space="preserve">You will save 53 minutes</x:t>
  </x:si>
  <x:si>
    <x:t xml:space="preserve">The formula expresses investment equivalence, not observed time savings.</x:t>
  </x:si>
  <x:si>
    <x:t xml:space="preserve">Your ROI is…</x:t>
  </x:si>
  <x:si>
    <x:t xml:space="preserve">No validated benefits model or customer outcome data is being used here.</x:t>
  </x:si>
  <x:si>
    <x:t xml:space="preserve">Enterprise pricing is based on your savings</x:t>
  </x:si>
  <x:si>
    <x:t xml:space="preserve">Price bands are Jaspen commercial policy and delivery scope, not a percentage of customer savings.</x:t>
  </x:si>
  <x:si>
    <x:t xml:space="preserve">User Questions</x:t>
  </x:si>
  <x:si>
    <x:t xml:space="preserve">Minimum viable inputs for a useful estimate without turning the calculator into an enterprise intake form.</x:t>
  </x:si>
  <x:si>
    <x:t xml:space="preserve">Calculator inputs</x:t>
  </x:si>
  <x:si>
    <x:t xml:space="preserve">ID</x:t>
  </x:si>
  <x:si>
    <x:t xml:space="preserve">Question / label</x:t>
  </x:si>
  <x:si>
    <x:t xml:space="preserve">Control</x:t>
  </x:si>
  <x:si>
    <x:t xml:space="preserve">Allowed values</x:t>
  </x:si>
  <x:si>
    <x:t xml:space="preserve">Default</x:t>
  </x:si>
  <x:si>
    <x:t xml:space="preserve">Required?</x:t>
  </x:si>
  <x:si>
    <x:t xml:space="preserve">Used in</x:t>
  </x:si>
  <x:si>
    <x:t xml:space="preserve">User help text</x:t>
  </x:si>
  <x:si>
    <x:t xml:space="preserve">Validation</x:t>
  </x:si>
  <x:si>
    <x:t xml:space="preserve">Data handling</x:t>
  </x:si>
  <x:si>
    <x:t xml:space="preserve">Q01</x:t>
  </x:si>
  <x:si>
    <x:t xml:space="preserve">How many people will actively use Jaspen?</x:t>
  </x:si>
  <x:si>
    <x:t xml:space="preserve">Number</x:t>
  </x:si>
  <x:si>
    <x:t xml:space="preserve">1–5,000</x:t>
  </x:si>
  <x:si>
    <x:t xml:space="preserve">Business cap; size tier; minutes</x:t>
  </x:si>
  <x:si>
    <x:t xml:space="preserve">Count active participants, not everyone employed by the company.</x:t>
  </x:si>
  <x:si>
    <x:t xml:space="preserve">Whole number; 1–5,000</x:t>
  </x:si>
  <x:si>
    <x:t xml:space="preserve">Send with sales lead only after consent.</x:t>
  </x:si>
  <x:si>
    <x:t xml:space="preserve">Q02</x:t>
  </x:si>
  <x:si>
    <x:t xml:space="preserve">How many teams or business units are included?</x:t>
  </x:si>
  <x:si>
    <x:t xml:space="preserve">1–100</x:t>
  </x:si>
  <x:si>
    <x:t xml:space="preserve">Enterprise trigger; complexity</x:t>
  </x:si>
  <x:si>
    <x:t xml:space="preserve">Use 1 for a single team, even inside a large company.</x:t>
  </x:si>
  <x:si>
    <x:t xml:space="preserve">Whole number; 1–100</x:t>
  </x:si>
  <x:si>
    <x:t xml:space="preserve">Q03</x:t>
  </x:si>
  <x:si>
    <x:t xml:space="preserve">Expected usage</x:t>
  </x:si>
  <x:si>
    <x:t xml:space="preserve">Select</x:t>
  </x:si>
  <x:si>
    <x:t xml:space="preserve">Light; Standard; High; Unsure</x:t>
  </x:si>
  <x:si>
    <x:t xml:space="preserve">Standard</x:t>
  </x:si>
  <x:si>
    <x:t xml:space="preserve">Complexity score</x:t>
  </x:si>
  <x:si>
    <x:t xml:space="preserve">Choose Unsure if you do not yet know.</x:t>
  </x:si>
  <x:si>
    <x:t xml:space="preserve">List only</x:t>
  </x:si>
  <x:si>
    <x:t xml:space="preserve">Q04</x:t>
  </x:si>
  <x:si>
    <x:t xml:space="preserve">Multiple workspaces</x:t>
  </x:si>
  <x:si>
    <x:t xml:space="preserve">Yes/No</x:t>
  </x:si>
  <x:si>
    <x:t xml:space="preserve">Yes; No</x:t>
  </x:si>
  <x:si>
    <x:t xml:space="preserve">Separate controlled environments for different teams or units.</x:t>
  </x:si>
  <x:si>
    <x:t xml:space="preserve">Send with lead.</x:t>
  </x:si>
  <x:si>
    <x:t xml:space="preserve">Q05</x:t>
  </x:si>
  <x:si>
    <x:t xml:space="preserve">SSO / SAML</x:t>
  </x:si>
  <x:si>
    <x:t xml:space="preserve">Centralized employee sign-in.</x:t>
  </x:si>
  <x:si>
    <x:t xml:space="preserve">Q06</x:t>
  </x:si>
  <x:si>
    <x:t xml:space="preserve">SCIM provisioning</x:t>
  </x:si>
  <x:si>
    <x:t xml:space="preserve">Automated user provisioning and deprovisioning.</x:t>
  </x:si>
  <x:si>
    <x:t xml:space="preserve">Q07</x:t>
  </x:si>
  <x:si>
    <x:t xml:space="preserve">Audit logs</x:t>
  </x:si>
  <x:si>
    <x:t xml:space="preserve">Administrative activity and governance records.</x:t>
  </x:si>
  <x:si>
    <x:t xml:space="preserve">Q08</x:t>
  </x:si>
  <x:si>
    <x:t xml:space="preserve">Custom permissions</x:t>
  </x:si>
  <x:si>
    <x:t xml:space="preserve">Roles beyond standard Business permissions.</x:t>
  </x:si>
  <x:si>
    <x:t xml:space="preserve">Q09</x:t>
  </x:si>
  <x:si>
    <x:t xml:space="preserve">Enterprise integrations</x:t>
  </x:si>
  <x:si>
    <x:t xml:space="preserve">Connections requiring scoping, implementation, or ongoing support.</x:t>
  </x:si>
  <x:si>
    <x:t xml:space="preserve">Q10</x:t>
  </x:si>
  <x:si>
    <x:t xml:space="preserve">Custom data retention</x:t>
  </x:si>
  <x:si>
    <x:t xml:space="preserve">Retention rules beyond standard product settings.</x:t>
  </x:si>
  <x:si>
    <x:t xml:space="preserve">Q11</x:t>
  </x:si>
  <x:si>
    <x:t xml:space="preserve">Security or compliance review</x:t>
  </x:si>
  <x:si>
    <x:t xml:space="preserve">Questionnaires, evidence review, or additional diligence.</x:t>
  </x:si>
  <x:si>
    <x:t xml:space="preserve">Q12</x:t>
  </x:si>
  <x:si>
    <x:t xml:space="preserve">Invoice or procurement process</x:t>
  </x:si>
  <x:si>
    <x:t xml:space="preserve">Purchase orders, vendor onboarding, invoicing, or negotiated payment terms.</x:t>
  </x:si>
  <x:si>
    <x:t xml:space="preserve">Q13</x:t>
  </x:si>
  <x:si>
    <x:t xml:space="preserve">SLA or dedicated support</x:t>
  </x:si>
  <x:si>
    <x:t xml:space="preserve">Contracted response targets or named support coverage.</x:t>
  </x:si>
  <x:si>
    <x:t xml:space="preserve">Q14</x:t>
  </x:si>
  <x:si>
    <x:t xml:space="preserve">Fully loaded leadership cost per hour</x:t>
  </x:si>
  <x:si>
    <x:t xml:space="preserve">Currency</x:t>
  </x:si>
  <x:si>
    <x:t xml:space="preserve">$1–$10,000</x:t>
  </x:si>
  <x:si>
    <x:t xml:space="preserve">Optional</x:t>
  </x:si>
  <x:si>
    <x:t xml:space="preserve">Investment-equivalent minutes</x:t>
  </x:si>
  <x:si>
    <x:t xml:space="preserve">Use salary plus benefits, taxes, and overhead if known. The default is a planning assumption.</x:t>
  </x:si>
  <x:si>
    <x:t xml:space="preserve">Positive number</x:t>
  </x:si>
  <x:si>
    <x:t xml:space="preserve">Calculation only unless lead submitted.</x:t>
  </x:si>
  <x:si>
    <x:t xml:space="preserve">Recommended UX: show deployment size and usage first, then place enterprise requirements under an expandable 'What will your organization need?' section. Show the result before asking for name or email. Keep contact consent separate from marketing consent.</x:t>
  </x:si>
  <x:si>
    <x:t xml:space="preserve">Calculation Model</x:t>
  </x:si>
  <x:si>
    <x:t xml:space="preserve">Auditable decision logic for plan fit, complexity, price range, and leadership-time investment equivalence.</x:t>
  </x:si>
  <x:si>
    <x:t xml:space="preserve">Decision sequence</x:t>
  </x:si>
  <x:si>
    <x:t xml:space="preserve">Step</x:t>
  </x:si>
  <x:si>
    <x:t xml:space="preserve">Question</x:t>
  </x:si>
  <x:si>
    <x:t xml:space="preserve">Rule</x:t>
  </x:si>
  <x:si>
    <x:t xml:space="preserve">If yes</x:t>
  </x:si>
  <x:si>
    <x:t xml:space="preserve">If no</x:t>
  </x:si>
  <x:si>
    <x:t xml:space="preserve">Output</x:t>
  </x:si>
  <x:si>
    <x:t xml:space="preserve">Policy source</x:t>
  </x:si>
  <x:si>
    <x:t xml:space="preserve">Public explanation</x:t>
  </x:si>
  <x:si>
    <x:t xml:space="preserve">Risk</x:t>
  </x:si>
  <x:si>
    <x:t xml:space="preserve">Is the Business boundary exceeded?</x:t>
  </x:si>
  <x:si>
    <x:t xml:space="preserve">Participants &gt; Business max OR teams &gt; 1 OR any enterprise requirement = Yes</x:t>
  </x:si>
  <x:si>
    <x:t xml:space="preserve">Evaluate Enterprise tier</x:t>
  </x:si>
  <x:si>
    <x:t xml:space="preserve">Recommend Business</x:t>
  </x:si>
  <x:si>
    <x:t xml:space="preserve">Plan family</x:t>
  </x:si>
  <x:si>
    <x:t xml:space="preserve">Pricing Policy P003 + trigger rules</x:t>
  </x:si>
  <x:si>
    <x:t xml:space="preserve">Business works for one small team with standard needs.</x:t>
  </x:si>
  <x:si>
    <x:t xml:space="preserve">Large companies may be unfairly pushed to Enterprise.</x:t>
  </x:si>
  <x:si>
    <x:t xml:space="preserve">Company size itself is not a trigger.</x:t>
  </x:si>
  <x:si>
    <x:t xml:space="preserve">Which Enterprise size band applies?</x:t>
  </x:si>
  <x:si>
    <x:t xml:space="preserve">Core through 20; Scale through 50; Strategic above 50</x:t>
  </x:si>
  <x:si>
    <x:t xml:space="preserve">Set minimum tier</x:t>
  </x:si>
  <x:si>
    <x:t xml:space="preserve">Minimum Enterprise tier</x:t>
  </x:si>
  <x:si>
    <x:t xml:space="preserve">P013–P014</x:t>
  </x:si>
  <x:si>
    <x:t xml:space="preserve">Your participant count sets a baseline deployment scale.</x:t>
  </x:si>
  <x:si>
    <x:t xml:space="preserve">Thresholds are unvalidated.</x:t>
  </x:si>
  <x:si>
    <x:t xml:space="preserve">Review quarterly after sales learning.</x:t>
  </x:si>
  <x:si>
    <x:t xml:space="preserve">Does complexity require an upgrade?</x:t>
  </x:si>
  <x:si>
    <x:t xml:space="preserve">Core if score ≤4; Scale if score ≤9; Strategic if &gt;9</x:t>
  </x:si>
  <x:si>
    <x:t xml:space="preserve">Upgrade tier</x:t>
  </x:si>
  <x:si>
    <x:t xml:space="preserve">Retain size tier</x:t>
  </x:si>
  <x:si>
    <x:t xml:space="preserve">Final recommended fit</x:t>
  </x:si>
  <x:si>
    <x:t xml:space="preserve">P015–P016 + requirement weights</x:t>
  </x:si>
  <x:si>
    <x:t xml:space="preserve">Security, integrations, support, and operating model affect scope.</x:t>
  </x:si>
  <x:si>
    <x:t xml:space="preserve">Weights can imply false precision.</x:t>
  </x:si>
  <x:si>
    <x:t xml:space="preserve">Show key drivers; label result indicative.</x:t>
  </x:si>
  <x:si>
    <x:t xml:space="preserve">What investment range applies?</x:t>
  </x:si>
  <x:si>
    <x:t xml:space="preserve">Use the policy library range for the final fit</x:t>
  </x:si>
  <x:si>
    <x:t xml:space="preserve">Return low/high or starting price</x:t>
  </x:si>
  <x:si>
    <x:t xml:space="preserve">Indicative annual investment</x:t>
  </x:si>
  <x:si>
    <x:t xml:space="preserve">P006–P011</x:t>
  </x:si>
  <x:si>
    <x:t xml:space="preserve">Planning estimate; final Enterprise quote is custom.</x:t>
  </x:si>
  <x:si>
    <x:t xml:space="preserve">Range may be treated as a binding quote.</x:t>
  </x:si>
  <x:si>
    <x:t xml:space="preserve">Adjacent disclosure; sales confirmation.</x:t>
  </x:si>
  <x:si>
    <x:t xml:space="preserve">What is the investment equivalent?</x:t>
  </x:si>
  <x:si>
    <x:t xml:space="preserve">Annual investment ÷ hourly cost ÷ participants ÷ 12 × 60</x:t>
  </x:si>
  <x:si>
    <x:t xml:space="preserve">Return minutes per participant per month</x:t>
  </x:si>
  <x:si>
    <x:t xml:space="preserve">Prompt for valid cost</x:t>
  </x:si>
  <x:si>
    <x:t xml:space="preserve">Low/high minutes</x:t>
  </x:si>
  <x:si>
    <x:t xml:space="preserve">P012 default + user input</x:t>
  </x:si>
  <x:si>
    <x:t xml:space="preserve">Equivalent to a defined amount of leadership time.</x:t>
  </x:si>
  <x:si>
    <x:t xml:space="preserve">May be mistaken for time saved or ROI.</x:t>
  </x:si>
  <x:si>
    <x:t xml:space="preserve">Use approved disclosure every time.</x:t>
  </x:si>
  <x:si>
    <x:t xml:space="preserve">Complexity scoring table</x:t>
  </x:si>
  <x:si>
    <x:t xml:space="preserve">Driver</x:t>
  </x:si>
  <x:si>
    <x:t xml:space="preserve">Response</x:t>
  </x:si>
  <x:si>
    <x:t xml:space="preserve">Points</x:t>
  </x:si>
  <x:si>
    <x:t xml:space="preserve">Why weighted</x:t>
  </x:si>
  <x:si>
    <x:t xml:space="preserve">Enterprise trigger?</x:t>
  </x:si>
  <x:si>
    <x:t xml:space="preserve">Notes</x:t>
  </x:si>
  <x:si>
    <x:t xml:space="preserve">Light / Standard / High / Unsure</x:t>
  </x:si>
  <x:si>
    <x:t xml:space="preserve">0 / 1 / 2 / 1</x:t>
  </x:si>
  <x:si>
    <x:t xml:space="preserve">Higher expected usage may increase capacity and support needs.</x:t>
  </x:si>
  <x:si>
    <x:t xml:space="preserve">No by itself</x:t>
  </x:si>
  <x:si>
    <x:t xml:space="preserve">Usage does not override the 10-seat cap for Business.</x:t>
  </x:si>
  <x:si>
    <x:t xml:space="preserve">Teams / business units</x:t>
  </x:si>
  <x:si>
    <x:t xml:space="preserve">1 / 2 / 3 / 4+</x:t>
  </x:si>
  <x:si>
    <x:t xml:space="preserve">0 / 2 / 3 / 4</x:t>
  </x:si>
  <x:si>
    <x:t xml:space="preserve">Coordination and governance grow across units.</x:t>
  </x:si>
  <x:si>
    <x:t xml:space="preserve">Yes when &gt;1</x:t>
  </x:si>
  <x:si>
    <x:t xml:space="preserve">Count distinct deployment groups.</x:t>
  </x:si>
  <x:si>
    <x:t xml:space="preserve">Separate environments add administration and implementation scope.</x:t>
  </x:si>
  <x:si>
    <x:t xml:space="preserve">Enterprise identity configuration.</x:t>
  </x:si>
  <x:si>
    <x:t xml:space="preserve">SCIM</x:t>
  </x:si>
  <x:si>
    <x:t xml:space="preserve">Automated identity lifecycle management.</x:t>
  </x:si>
  <x:si>
    <x:t xml:space="preserve">Governance and administrative visibility.</x:t>
  </x:si>
  <x:si>
    <x:t xml:space="preserve">Nonstandard access design and testing.</x:t>
  </x:si>
  <x:si>
    <x:t xml:space="preserve">Scoping, implementation, and support.</x:t>
  </x:si>
  <x:si>
    <x:t xml:space="preserve">Policy and technical configuration.</x:t>
  </x:si>
  <x:si>
    <x:t xml:space="preserve">Security / compliance review</x:t>
  </x:si>
  <x:si>
    <x:t xml:space="preserve">Diligence, evidence, and contractual review.</x:t>
  </x:si>
  <x:si>
    <x:t xml:space="preserve">Invoice / procurement</x:t>
  </x:si>
  <x:si>
    <x:t xml:space="preserve">Sales operations and billing complexity.</x:t>
  </x:si>
  <x:si>
    <x:t xml:space="preserve">SLA / dedicated support</x:t>
  </x:si>
  <x:si>
    <x:t xml:space="preserve">Service commitment and capacity.</x:t>
  </x:si>
  <x:si>
    <x:t xml:space="preserve">Formula definitions</x:t>
  </x:si>
  <x:si>
    <x:t xml:space="preserve">Metric</x:t>
  </x:si>
  <x:si>
    <x:t xml:space="preserve">Formula</x:t>
  </x:si>
  <x:si>
    <x:t xml:space="preserve">Unit</x:t>
  </x:si>
  <x:si>
    <x:t xml:space="preserve">Interpretation</x:t>
  </x:si>
  <x:si>
    <x:t xml:space="preserve">Business add-on seats</x:t>
  </x:si>
  <x:si>
    <x:t xml:space="preserve">MAX(0, MIN(Business max − included seats, participants − included seats))</x:t>
  </x:si>
  <x:si>
    <x:t xml:space="preserve">Seats</x:t>
  </x:si>
  <x:si>
    <x:t xml:space="preserve">Only applies when the result is Business.</x:t>
  </x:si>
  <x:si>
    <x:t xml:space="preserve">Business annual investment</x:t>
  </x:si>
  <x:si>
    <x:t xml:space="preserve">Requirement points + usage points + team points</x:t>
  </x:si>
  <x:si>
    <x:t xml:space="preserve">Internal routing aid, not a scientific score.</x:t>
  </x:si>
  <x:si>
    <x:t xml:space="preserve">Enterprise fit</x:t>
  </x:si>
  <x:si>
    <x:t xml:space="preserve">Higher of participant-size tier and complexity tier</x:t>
  </x:si>
  <x:si>
    <x:t xml:space="preserve">Tier</x:t>
  </x:si>
  <x:si>
    <x:t xml:space="preserve">Prevents a complex small deployment from being understated.</x:t>
  </x:si>
  <x:si>
    <x:t xml:space="preserve">Minutes/person/month</x:t>
  </x:si>
  <x:si>
    <x:t xml:space="preserve">Investment translation only; not time saved.</x:t>
  </x:si>
  <x:si>
    <x:t xml:space="preserve">Pricing Policy Library</x:t>
  </x:si>
  <x:si>
    <x:t xml:space="preserve">Edit the yellow cells to refine the calculator. All formulas in the sample model reference this sheet.</x:t>
  </x:si>
  <x:si>
    <x:t xml:space="preserve">Commercial assumptions and thresholds</x:t>
  </x:si>
  <x:si>
    <x:t xml:space="preserve">Policy ID</x:t>
  </x:si>
  <x:si>
    <x:t xml:space="preserve">Category</x:t>
  </x:si>
  <x:si>
    <x:t xml:space="preserve">Assumption</x:t>
  </x:si>
  <x:si>
    <x:t xml:space="preserve">Value</x:t>
  </x:si>
  <x:si>
    <x:t xml:space="preserve">Status</x:t>
  </x:si>
  <x:si>
    <x:t xml:space="preserve">Public display</x:t>
  </x:si>
  <x:si>
    <x:t xml:space="preserve">Rationale</x:t>
  </x:si>
  <x:si>
    <x:t xml:space="preserve">Source / owner</x:t>
  </x:si>
  <x:si>
    <x:t xml:space="preserve">Last reviewed</x:t>
  </x:si>
  <x:si>
    <x:t xml:space="preserve">P001</x:t>
  </x:si>
  <x:si>
    <x:t xml:space="preserve">Base monthly price</x:t>
  </x:si>
  <x:si>
    <x:t xml:space="preserve">$/month</x:t>
  </x:si>
  <x:si>
    <x:t xml:space="preserve">Approved/current</x:t>
  </x:si>
  <x:si>
    <x:t xml:space="preserve">$299/month</x:t>
  </x:si>
  <x:si>
    <x:t xml:space="preserve">Current Business product in Stripe; includes five seats.</x:t>
  </x:si>
  <x:si>
    <x:t xml:space="preserve">Jaspen owner decision</x:t>
  </x:si>
  <x:si>
    <x:t xml:space="preserve">P002</x:t>
  </x:si>
  <x:si>
    <x:t xml:space="preserve">Included seats</x:t>
  </x:si>
  <x:si>
    <x:t xml:space="preserve">5 seats included</x:t>
  </x:si>
  <x:si>
    <x:t xml:space="preserve">Current Business packaging.</x:t>
  </x:si>
  <x:si>
    <x:t xml:space="preserve">P003</x:t>
  </x:si>
  <x:si>
    <x:t xml:space="preserve">Maximum total seats</x:t>
  </x:si>
  <x:si>
    <x:t xml:space="preserve">Up to 10 people</x:t>
  </x:si>
  <x:si>
    <x:t xml:space="preserve">Prevents Business from becoming an unbounded enterprise deployment.</x:t>
  </x:si>
  <x:si>
    <x:t xml:space="preserve">P004</x:t>
  </x:si>
  <x:si>
    <x:t xml:space="preserve">Additional seat monthly price</x:t>
  </x:si>
  <x:si>
    <x:t xml:space="preserve">$/seat/month</x:t>
  </x:si>
  <x:si>
    <x:t xml:space="preserve">$30/additional seat/month</x:t>
  </x:si>
  <x:si>
    <x:t xml:space="preserve">Renamed Stripe Enterprise Seat to Business Seat.</x:t>
  </x:si>
  <x:si>
    <x:t xml:space="preserve">P005</x:t>
  </x:si>
  <x:si>
    <x:t xml:space="preserve">Pricing page / Stripe verification needed</x:t>
  </x:si>
  <x:si>
    <x:t xml:space="preserve">P006</x:t>
  </x:si>
  <x:si>
    <x:t xml:space="preserve">Annual low</x:t>
  </x:si>
  <x:si>
    <x:t xml:space="preserve">$/year</x:t>
  </x:si>
  <x:si>
    <x:t xml:space="preserve">Proposed</x:t>
  </x:si>
  <x:si>
    <x:t xml:space="preserve">$24,000</x:t>
  </x:si>
  <x:si>
    <x:t xml:space="preserve">Focused enterprise deployment starting point.</x:t>
  </x:si>
  <x:si>
    <x:t xml:space="preserve">Jaspen pricing policy</x:t>
  </x:si>
  <x:si>
    <x:t xml:space="preserve">P007</x:t>
  </x:si>
  <x:si>
    <x:t xml:space="preserve">Annual high</x:t>
  </x:si>
  <x:si>
    <x:t xml:space="preserve">$36,000</x:t>
  </x:si>
  <x:si>
    <x:t xml:space="preserve">Room for additional implementation or controls.</x:t>
  </x:si>
  <x:si>
    <x:t xml:space="preserve">P008</x:t>
  </x:si>
  <x:si>
    <x:t xml:space="preserve">$48,000</x:t>
  </x:si>
  <x:si>
    <x:t xml:space="preserve">Multi-team or greater operating complexity.</x:t>
  </x:si>
  <x:si>
    <x:t xml:space="preserve">P009</x:t>
  </x:si>
  <x:si>
    <x:t xml:space="preserve">$72,000</x:t>
  </x:si>
  <x:si>
    <x:t xml:space="preserve">Upper indicative Scale range before Strategic scope.</x:t>
  </x:si>
  <x:si>
    <x:t xml:space="preserve">P010</x:t>
  </x:si>
  <x:si>
    <x:t xml:space="preserve">Annual starting price</x:t>
  </x:si>
  <x:si>
    <x:t xml:space="preserve">Starting at $72,000</x:t>
  </x:si>
  <x:si>
    <x:t xml:space="preserve">Large or highly complex deployments require scoping.</x:t>
  </x:si>
  <x:si>
    <x:t xml:space="preserve">P011</x:t>
  </x:si>
  <x:si>
    <x:t xml:space="preserve">Internal sensitivity high</x:t>
  </x:si>
  <x:si>
    <x:t xml:space="preserve">Internal only / refine</x:t>
  </x:si>
  <x:si>
    <x:t xml:space="preserve">Custom</x:t>
  </x:si>
  <x:si>
    <x:t xml:space="preserve">Used only to test equivalent-time output; never present as a ceiling or quote.</x:t>
  </x:si>
  <x:si>
    <x:t xml:space="preserve">Jaspen planning assumption</x:t>
  </x:si>
  <x:si>
    <x:t xml:space="preserve">P012</x:t>
  </x:si>
  <x:si>
    <x:t xml:space="preserve">Default fully loaded leadership cost</x:t>
  </x:si>
  <x:si>
    <x:t xml:space="preserve">$/hour</x:t>
  </x:si>
  <x:si>
    <x:t xml:space="preserve">Planning assumption</x:t>
  </x:si>
  <x:si>
    <x:t xml:space="preserve">$112.50/hour</x:t>
  </x:si>
  <x:si>
    <x:t xml:space="preserve">Editable default chosen for illustration; validate before public use.</x:t>
  </x:si>
  <x:si>
    <x:t xml:space="preserve">P013</x:t>
  </x:si>
  <x:si>
    <x:t xml:space="preserve">Tier threshold</x:t>
  </x:si>
  <x:si>
    <x:t xml:space="preserve">Enterprise Core participant maximum</x:t>
  </x:si>
  <x:si>
    <x:t xml:space="preserve">Participants</x:t>
  </x:si>
  <x:si>
    <x:t xml:space="preserve">Up to ~20</x:t>
  </x:si>
  <x:si>
    <x:t xml:space="preserve">Focused deployment threshold.</x:t>
  </x:si>
  <x:si>
    <x:t xml:space="preserve">P014</x:t>
  </x:si>
  <x:si>
    <x:t xml:space="preserve">Enterprise Scale participant maximum</x:t>
  </x:si>
  <x:si>
    <x:t xml:space="preserve">Up to ~50</x:t>
  </x:si>
  <x:si>
    <x:t xml:space="preserve">Larger deployments move to Strategic.</x:t>
  </x:si>
  <x:si>
    <x:t xml:space="preserve">P015</x:t>
  </x:si>
  <x:si>
    <x:t xml:space="preserve">Enterprise Core complexity maximum</x:t>
  </x:si>
  <x:si>
    <x:t xml:space="preserve">Proposed/internal</x:t>
  </x:si>
  <x:si>
    <x:t xml:space="preserve">Not shown</x:t>
  </x:si>
  <x:si>
    <x:t xml:space="preserve">Routing threshold; not a scientific benchmark.</x:t>
  </x:si>
  <x:si>
    <x:t xml:space="preserve">P016</x:t>
  </x:si>
  <x:si>
    <x:t xml:space="preserve">Enterprise Scale complexity maximum</x:t>
  </x:si>
  <x:si>
    <x:t xml:space="preserve">Governance rule: a policy value may be changed only with an owner decision, documented sales evidence, delivery-cost learning, or approved research. Preserve the previous value and date in 10 Refinement Notes. Do not silently tune thresholds to produce a preferred result.</x:t>
  </x:si>
  <x:si>
    <x:t xml:space="preserve">Plain-language methodology for review and adaptation into the calculator's 'How this works' content.</x:t>
  </x:si>
  <x:si>
    <x:t xml:space="preserve">Method in plain language</x:t>
  </x:si>
  <x:si>
    <x:t xml:space="preserve">1. We start with the actual deployment</x:t>
  </x:si>
  <x:si>
    <x:t xml:space="preserve">The calculator asks how many people will actively participate and how many teams or business units are in scope. It does not use total company headcount as a shortcut. A large company can still be a legitimate Business customer when one small team fits the Business boundary.</x:t>
  </x:si>
  <x:si>
    <x:t xml:space="preserve">2. We identify Enterprise requirements</x:t>
  </x:si>
  <x:si>
    <x:t xml:space="preserve">Needs such as multiple workspaces, SSO/SAML, SCIM, audit logs, custom permissions, enterprise integrations, retention controls, security review, procurement, or dedicated support move the engagement into an Enterprise sales process because they change implementation, governance, service, or contracting scope.</x:t>
  </x:si>
  <x:si>
    <x:t xml:space="preserve">3. We assign an indicative Enterprise level</x:t>
  </x:si>
  <x:si>
    <x:t xml:space="preserve">Participant count establishes a minimum size tier. A transparent internal complexity score can move a deployment higher when selected requirements add scope. The score is a routing aid, not a benchmark, probability, or measurement of customer sophistication.</x:t>
  </x:si>
  <x:si>
    <x:t xml:space="preserve">4. We apply Jaspen's pricing policy</x:t>
  </x:si>
  <x:si>
    <x:t xml:space="preserve">Business uses current self-service pricing and approved add-on seat rules. Enterprise uses owner-approved planning bands: Core, Scale, or Strategic. These ranges are not derived from competitor pricing or a percentage of customer savings. Final Enterprise pricing is determined through a scoped annual agreement.</x:t>
  </x:si>
  <x:si>
    <x:t xml:space="preserve">5. We translate the investment into time-equivalent terms</x:t>
  </x:si>
  <x:si>
    <x:t xml:space="preserve">The optional comparison divides annual investment by a fully loaded hourly leadership cost, participating leaders, and 12 months, then converts hours to minutes. This makes the scale of the investment easier to discuss. It does not estimate time saved, ROI, turnover avoided, or guaranteed business outcomes.</x:t>
  </x:si>
  <x:si>
    <x:t xml:space="preserve">What this calculator does not claim</x:t>
  </x:si>
  <x:si>
    <x:t xml:space="preserve">No claim</x:t>
  </x:si>
  <x:si>
    <x:t xml:space="preserve">Reason</x:t>
  </x:si>
  <x:si>
    <x:t xml:space="preserve">Safer wording</x:t>
  </x:si>
  <x:si>
    <x:t xml:space="preserve">Evidence needed before changing</x:t>
  </x:si>
  <x:si>
    <x:t xml:space="preserve">Owner</x:t>
  </x:si>
  <x:si>
    <x:t xml:space="preserve">Turnover prevention</x:t>
  </x:si>
  <x:si>
    <x:t xml:space="preserve">Jaspen cannot control whether employees leave.</x:t>
  </x:si>
  <x:si>
    <x:t xml:space="preserve">Jaspen helps preserve decision context that can otherwise be lost.</x:t>
  </x:si>
  <x:si>
    <x:t xml:space="preserve">Longitudinal customer study with a credible causal design.</x:t>
  </x:si>
  <x:si>
    <x:t xml:space="preserve">Founder / legal</x:t>
  </x:si>
  <x:si>
    <x:t xml:space="preserve">Guaranteed time savings</x:t>
  </x:si>
  <x:si>
    <x:t xml:space="preserve">The model measures investment equivalence only.</x:t>
  </x:si>
  <x:si>
    <x:t xml:space="preserve">Equivalent to approximately X minutes of leadership time.</x:t>
  </x:si>
  <x:si>
    <x:t xml:space="preserve">Measured before/after workflow data with clear attribution.</x:t>
  </x:si>
  <x:si>
    <x:t xml:space="preserve">Product / analytics</x:t>
  </x:si>
  <x:si>
    <x:t xml:space="preserve">Guaranteed financial savings</x:t>
  </x:si>
  <x:si>
    <x:t xml:space="preserve">No benefit model is used.</x:t>
  </x:si>
  <x:si>
    <x:t xml:space="preserve">Indicative investment for planning.</x:t>
  </x:si>
  <x:si>
    <x:t xml:space="preserve">Validated customer outcomes and documented assumptions.</x:t>
  </x:si>
  <x:si>
    <x:t xml:space="preserve">Finance / legal</x:t>
  </x:si>
  <x:si>
    <x:t xml:space="preserve">Universal best-fit tier</x:t>
  </x:si>
  <x:si>
    <x:t xml:space="preserve">Organizations differ in technical and commercial needs.</x:t>
  </x:si>
  <x:si>
    <x:t xml:space="preserve">Recommended fit based on the inputs provided.</x:t>
  </x:si>
  <x:si>
    <x:t xml:space="preserve">Sales conversion and implementation evidence.</x:t>
  </x:si>
  <x:si>
    <x:t xml:space="preserve">Sales / product</x:t>
  </x:si>
  <x:si>
    <x:t xml:space="preserve">Sample Scenario — Live Calculator</x:t>
  </x:si>
  <x:si>
    <x:t xml:space="preserve">Edit yellow cells. Blue cells are formula outputs. Default scenario: 20 participants, one team, SSO required.</x:t>
  </x:si>
  <x:si>
    <x:t xml:space="preserve">Deployment inputs</x:t>
  </x:si>
  <x:si>
    <x:t xml:space="preserve">Calculated recommendation</x:t>
  </x:si>
  <x:si>
    <x:t xml:space="preserve">Active participants</x:t>
  </x:si>
  <x:si>
    <x:t xml:space="preserve">Whole number; count active users</x:t>
  </x:si>
  <x:si>
    <x:t xml:space="preserve">Use 1 for a single team</x:t>
  </x:si>
  <x:si>
    <x:t xml:space="preserve">Enterprise requirement count</x:t>
  </x:si>
  <x:si>
    <x:t xml:space="preserve">Plan boundary</x:t>
  </x:si>
  <x:si>
    <x:t xml:space="preserve">Business is allowed only when participants are at or below 10, one team is included, and no Enterprise requirement is selected.</x:t>
  </x:si>
  <x:si>
    <x:t xml:space="preserve">Requirement score</x:t>
  </x:si>
  <x:si>
    <x:t xml:space="preserve">Tier selection</x:t>
  </x:si>
  <x:si>
    <x:t xml:space="preserve">Participant size and complexity are evaluated; the higher tier controls.</x:t>
  </x:si>
  <x:si>
    <x:t xml:space="preserve">Usage score</x:t>
  </x:si>
  <x:si>
    <x:t xml:space="preserve">Price range</x:t>
  </x:si>
  <x:si>
    <x:t xml:space="preserve">Enterprise values are indicative policy bands, not a quote.</x:t>
  </x:si>
  <x:si>
    <x:t xml:space="preserve">Enterprise requirements</x:t>
  </x:si>
  <x:si>
    <x:t xml:space="preserve">Team score</x:t>
  </x:si>
  <x:si>
    <x:t xml:space="preserve">Time equivalent</x:t>
  </x:si>
  <x:si>
    <x:t xml:space="preserve">Annual investment is translated into minutes of leadership time per participant each month.</x:t>
  </x:si>
  <x:si>
    <x:t xml:space="preserve">Total complexity score</x:t>
  </x:si>
  <x:si>
    <x:t xml:space="preserve">Not time saved</x:t>
  </x:si>
  <x:si>
    <x:t xml:space="preserve">The time-equivalent result does not predict savings or outcomes.</x:t>
  </x:si>
  <x:si>
    <x:t xml:space="preserve">Business annual</x:t>
  </x:si>
  <x:si>
    <x:t xml:space="preserve">Uses the editable annual-discount assumption. Confirm Stripe before launch.</x:t>
  </x:si>
  <x:si>
    <x:t xml:space="preserve">Strategic high</x:t>
  </x:si>
  <x:si>
    <x:t xml:space="preserve">The high value is an internal sensitivity only; public output remains custom.</x:t>
  </x:si>
  <x:si>
    <x:t xml:space="preserve">Annual investment — low</x:t>
  </x:si>
  <x:si>
    <x:t xml:space="preserve">Sales handoff</x:t>
  </x:si>
  <x:si>
    <x:t xml:space="preserve">Submit inputs and result only after the user chooses Contact Sales.</x:t>
  </x:si>
  <x:si>
    <x:t xml:space="preserve">Annual investment — high / sensitivity</x:t>
  </x:si>
  <x:si>
    <x:t xml:space="preserve">Fairness</x:t>
  </x:si>
  <x:si>
    <x:t xml:space="preserve">A large employer using one small team is not automatically Enterprise.</x:t>
  </x:si>
  <x:si>
    <x:t xml:space="preserve">Equivalent minutes — low</x:t>
  </x:si>
  <x:si>
    <x:t xml:space="preserve">Equivalent minutes — high</x:t>
  </x:si>
  <x:si>
    <x:t xml:space="preserve">Public price display</x:t>
  </x:si>
  <x:si>
    <x:t xml:space="preserve">Primary next step</x:t>
  </x:si>
  <x:si>
    <x:t xml:space="preserve">Fully loaded leadership cost / hour</x:t>
  </x:si>
  <x:si>
    <x:t xml:space="preserve">Optional planning assumption</x:t>
  </x:si>
  <x:si>
    <x:t xml:space="preserve">Disclosure: This comparison puts the investment into organizational terms. It does not predict or guarantee time savings, financial savings, or business outcomes. Enterprise estimates are for planning and are not quotes; final scope and pricing are confirmed by sales.</x:t>
  </x:si>
  <x:si>
    <x:t xml:space="preserve">Boundary test cases</x:t>
  </x:si>
  <x:si>
    <x:t xml:space="preserve">QA status</x:t>
  </x:si>
  <x:si>
    <x:t xml:space="preserve">Included seats only; annual discount assumption.</x:t>
  </x:si>
  <x:si>
    <x:t xml:space="preserve">Review</x:t>
  </x:si>
  <x:si>
    <x:t xml:space="preserve">One add-on seat.</x:t>
  </x:si>
  <x:si>
    <x:t xml:space="preserve">Maximum Business seats.</x:t>
  </x:si>
  <x:si>
    <x:t xml:space="preserve">Participant cap exceeded.</x:t>
  </x:si>
  <x:si>
    <x:t xml:space="preserve">Enterprise requirement overrides seat eligibility.</x:t>
  </x:si>
  <x:si>
    <x:t xml:space="preserve">Core participant threshold exceeded.</x:t>
  </x:si>
  <x:si>
    <x:t xml:space="preserve">Scale participant threshold exceeded.</x:t>
  </x:si>
  <x:si>
    <x:t xml:space="preserve">Complexity threshold exceeded.</x:t>
  </x:si>
  <x:si>
    <x:t xml:space="preserve">Web App Specification</x:t>
  </x:si>
  <x:si>
    <x:t xml:space="preserve">Implementation requirements for embedding the estimator in the pricing page's Business &amp; Enterprise tab.</x:t>
  </x:si>
  <x:si>
    <x:t xml:space="preserve">Page behavior and content</x:t>
  </x:si>
  <x:si>
    <x:t xml:space="preserve">Area</x:t>
  </x:si>
  <x:si>
    <x:t xml:space="preserve">Requirement</x:t>
  </x:si>
  <x:si>
    <x:t xml:space="preserve">Desktop</x:t>
  </x:si>
  <x:si>
    <x:t xml:space="preserve">Mobile</x:t>
  </x:si>
  <x:si>
    <x:t xml:space="preserve">State / trigger</x:t>
  </x:si>
  <x:si>
    <x:t xml:space="preserve">Content</x:t>
  </x:si>
  <x:si>
    <x:t xml:space="preserve">Accessibility</x:t>
  </x:si>
  <x:si>
    <x:t xml:space="preserve">Analytics</x:t>
  </x:si>
  <x:si>
    <x:t xml:space="preserve">Privacy / security</x:t>
  </x:si>
  <x:si>
    <x:t xml:space="preserve">Acceptance criterion</x:t>
  </x:si>
  <x:si>
    <x:t xml:space="preserve">Pricing tabs</x:t>
  </x:si>
  <x:si>
    <x:t xml:space="preserve">Use Individuals &amp; Teams (default) and Business &amp; Enterprise.</x:t>
  </x:si>
  <x:si>
    <x:t xml:space="preserve">Segmented tabs below the heading.</x:t>
  </x:si>
  <x:si>
    <x:t xml:space="preserve">Full-width, keyboard reachable.</x:t>
  </x:si>
  <x:si>
    <x:t xml:space="preserve">User changes tab.</x:t>
  </x:si>
  <x:si>
    <x:t xml:space="preserve">Preserve heading 'Plans for every stage.'</x:t>
  </x:si>
  <x:si>
    <x:t xml:space="preserve">Tab roles, selected state, arrow keys.</x:t>
  </x:si>
  <x:si>
    <x:t xml:space="preserve">pricing_tab_selected</x:t>
  </x:si>
  <x:si>
    <x:t xml:space="preserve">No personal data.</x:t>
  </x:si>
  <x:si>
    <x:t xml:space="preserve">Selected panel is announced and only its content is focusable.</x:t>
  </x:si>
  <x:si>
    <x:t xml:space="preserve">Business card</x:t>
  </x:si>
  <x:si>
    <x:t xml:space="preserve">Show $299/month, 5 seats, and current approved features.</x:t>
  </x:si>
  <x:si>
    <x:t xml:space="preserve">Card beside Enterprise invitation.</x:t>
  </x:si>
  <x:si>
    <x:t xml:space="preserve">Stack above calculator.</x:t>
  </x:si>
  <x:si>
    <x:t xml:space="preserve">Business tab selected.</x:t>
  </x:si>
  <x:si>
    <x:t xml:space="preserve">Have more than 5 people? Estimate your needs.</x:t>
  </x:si>
  <x:si>
    <x:t xml:space="preserve">Logical heading order.</x:t>
  </x:si>
  <x:si>
    <x:t xml:space="preserve">business_card_viewed</x:t>
  </x:si>
  <x:si>
    <x:t xml:space="preserve">Card matches Stripe/product configuration.</x:t>
  </x:si>
  <x:si>
    <x:t xml:space="preserve">Calculator</x:t>
  </x:si>
  <x:si>
    <x:t xml:space="preserve">Embed under Business card; no separate page required initially.</x:t>
  </x:si>
  <x:si>
    <x:t xml:space="preserve">Two-column inputs/results where space allows.</x:t>
  </x:si>
  <x:si>
    <x:t xml:space="preserve">Single-column progressive disclosure.</x:t>
  </x:si>
  <x:si>
    <x:t xml:space="preserve">Deployment inputs, enterprise needs, result.</x:t>
  </x:si>
  <x:si>
    <x:t xml:space="preserve">Labels, errors, no color-only meaning.</x:t>
  </x:si>
  <x:si>
    <x:t xml:space="preserve">calculator_started / completed</x:t>
  </x:si>
  <x:si>
    <x:t xml:space="preserve">Do not store inputs unless needed; disclose analytics.</x:t>
  </x:si>
  <x:si>
    <x:t xml:space="preserve">Result updates predictably and can be read by screen readers.</x:t>
  </x:si>
  <x:si>
    <x:t xml:space="preserve">Compare plans</x:t>
  </x:si>
  <x:si>
    <x:t xml:space="preserve">Hide Compare Plans and credit top-up line in Business &amp; Enterprise tab.</x:t>
  </x:si>
  <x:si>
    <x:t xml:space="preserve">Not rendered.</x:t>
  </x:si>
  <x:si>
    <x:t xml:space="preserve">Hidden content not focusable.</x:t>
  </x:si>
  <x:si>
    <x:t xml:space="preserve">Elements reappear on Individuals &amp; Teams tab.</x:t>
  </x:si>
  <x:si>
    <x:t xml:space="preserve">Result</x:t>
  </x:si>
  <x:si>
    <x:t xml:space="preserve">Show fit, price range, drivers, scope, equivalent minutes, disclosure.</x:t>
  </x:si>
  <x:si>
    <x:t xml:space="preserve">Sticky result panel optional.</x:t>
  </x:si>
  <x:si>
    <x:t xml:space="preserve">Result follows inputs.</x:t>
  </x:si>
  <x:si>
    <x:t xml:space="preserve">Valid inputs.</x:t>
  </x:si>
  <x:si>
    <x:t xml:space="preserve">Use approved language from 02 Results Design.</x:t>
  </x:si>
  <x:si>
    <x:t xml:space="preserve">Announce updates without excessive interruption.</x:t>
  </x:si>
  <x:si>
    <x:t xml:space="preserve">calculator_result_viewed</x:t>
  </x:si>
  <x:si>
    <x:t xml:space="preserve">No sensitive data in event payload.</x:t>
  </x:si>
  <x:si>
    <x:t xml:space="preserve">Result never claims ROI, savings, or guaranteed outcomes.</x:t>
  </x:si>
  <x:si>
    <x:t xml:space="preserve">Business CTA</x:t>
  </x:si>
  <x:si>
    <x:t xml:space="preserve">Use current self-service purchase path.</x:t>
  </x:si>
  <x:si>
    <x:t xml:space="preserve">Primary button.</x:t>
  </x:si>
  <x:si>
    <x:t xml:space="preserve">Full-width button.</x:t>
  </x:si>
  <x:si>
    <x:t xml:space="preserve">Business result.</x:t>
  </x:si>
  <x:si>
    <x:t xml:space="preserve">Start Business</x:t>
  </x:si>
  <x:si>
    <x:t xml:space="preserve">Descriptive accessible name.</x:t>
  </x:si>
  <x:si>
    <x:t xml:space="preserve">business_cta_clicked</x:t>
  </x:si>
  <x:si>
    <x:t xml:space="preserve">Stripe/session security applies.</x:t>
  </x:si>
  <x:si>
    <x:t xml:space="preserve">Seat quantity cannot exceed 10 in UI or server-side enforcement.</x:t>
  </x:si>
  <x:si>
    <x:t xml:space="preserve">Enterprise CTA</x:t>
  </x:si>
  <x:si>
    <x:t xml:space="preserve">Open contact-sales form after estimate.</x:t>
  </x:si>
  <x:si>
    <x:t xml:space="preserve">Modal or inline panel.</x:t>
  </x:si>
  <x:si>
    <x:t xml:space="preserve">Inline accordion preferred.</x:t>
  </x:si>
  <x:si>
    <x:t xml:space="preserve">Enterprise result.</x:t>
  </x:si>
  <x:si>
    <x:t xml:space="preserve">Focus management and clear close behavior.</x:t>
  </x:si>
  <x:si>
    <x:t xml:space="preserve">contact_sales_opened</x:t>
  </x:si>
  <x:si>
    <x:t xml:space="preserve">Do not submit until user acts.</x:t>
  </x:si>
  <x:si>
    <x:t xml:space="preserve">Calculator context is shown for review before submission.</x:t>
  </x:si>
  <x:si>
    <x:t xml:space="preserve">Contact form</x:t>
  </x:si>
  <x:si>
    <x:t xml:space="preserve">First name, last name, work email, company; title/phone preferred contact/comments optional.</x:t>
  </x:si>
  <x:si>
    <x:t xml:space="preserve">Two-column where appropriate.</x:t>
  </x:si>
  <x:si>
    <x:t xml:space="preserve">Single column.</x:t>
  </x:si>
  <x:si>
    <x:t xml:space="preserve">User selects Contact Sales.</x:t>
  </x:si>
  <x:si>
    <x:t xml:space="preserve">Reply from sales@jaspen.ai.</x:t>
  </x:si>
  <x:si>
    <x:t xml:space="preserve">Errors tied to fields; email input semantics.</x:t>
  </x:si>
  <x:si>
    <x:t xml:space="preserve">contact_sales_submitted</x:t>
  </x:si>
  <x:si>
    <x:t xml:space="preserve">Separate marketing consent; anti-spam; retention policy.</x:t>
  </x:si>
  <x:si>
    <x:t xml:space="preserve">Lead reaches the sales inbox/CRM with selected inputs and result.</x:t>
  </x:si>
  <x:si>
    <x:t xml:space="preserve">Error state</x:t>
  </x:si>
  <x:si>
    <x:t xml:space="preserve">Explain invalid values and preserve entries.</x:t>
  </x:si>
  <x:si>
    <x:t xml:space="preserve">Inline messages.</x:t>
  </x:si>
  <x:si>
    <x:t xml:space="preserve">Invalid or missing input.</x:t>
  </x:si>
  <x:si>
    <x:t xml:space="preserve">Use plain language.</x:t>
  </x:si>
  <x:si>
    <x:t xml:space="preserve">Error summary plus field links.</x:t>
  </x:si>
  <x:si>
    <x:t xml:space="preserve">calculator_error</x:t>
  </x:si>
  <x:si>
    <x:t xml:space="preserve">Never echo sensitive raw input into analytics.</x:t>
  </x:si>
  <x:si>
    <x:t xml:space="preserve">No calculation runs with participants or hourly cost at zero.</x:t>
  </x:si>
  <x:si>
    <x:t xml:space="preserve">Recommended analytics payload</x:t>
  </x:si>
  <x:si>
    <x:t xml:space="preserve">Event</x:t>
  </x:si>
  <x:si>
    <x:t xml:space="preserve">When</x:t>
  </x:si>
  <x:si>
    <x:t xml:space="preserve">Allowed properties</x:t>
  </x:si>
  <x:si>
    <x:t xml:space="preserve">Do not collect</x:t>
  </x:si>
  <x:si>
    <x:t xml:space="preserve">Purpose</x:t>
  </x:si>
  <x:si>
    <x:t xml:space="preserve">QA</x:t>
  </x:si>
  <x:si>
    <x:t xml:space="preserve">calculator_started</x:t>
  </x:si>
  <x:si>
    <x:t xml:space="preserve">First interaction</x:t>
  </x:si>
  <x:si>
    <x:t xml:space="preserve">page, tab</x:t>
  </x:si>
  <x:si>
    <x:t xml:space="preserve">Name, email, comments</x:t>
  </x:si>
  <x:si>
    <x:t xml:space="preserve">Funnel start</x:t>
  </x:si>
  <x:si>
    <x:t xml:space="preserve">One event/session</x:t>
  </x:si>
  <x:si>
    <x:t xml:space="preserve">calculator_completed</x:t>
  </x:si>
  <x:si>
    <x:t xml:space="preserve">Valid result first shown</x:t>
  </x:si>
  <x:si>
    <x:t xml:space="preserve">fit, participant_band, team_band, requirement_count, usage</x:t>
  </x:si>
  <x:si>
    <x:t xml:space="preserve">Exact company-identifying text</x:t>
  </x:si>
  <x:si>
    <x:t xml:space="preserve">Completion and fit mix</x:t>
  </x:si>
  <x:si>
    <x:t xml:space="preserve">No duplicate on every keystroke</x:t>
  </x:si>
  <x:si>
    <x:t xml:space="preserve">Result in viewport</x:t>
  </x:si>
  <x:si>
    <x:t xml:space="preserve">fit, range_band</x:t>
  </x:si>
  <x:si>
    <x:t xml:space="preserve">Hourly cost</x:t>
  </x:si>
  <x:si>
    <x:t xml:space="preserve">Result visibility</x:t>
  </x:si>
  <x:si>
    <x:t xml:space="preserve">Viewport threshold documented</x:t>
  </x:si>
  <x:si>
    <x:t xml:space="preserve">seat_count, billing_period</x:t>
  </x:si>
  <x:si>
    <x:t xml:space="preserve">Email</x:t>
  </x:si>
  <x:si>
    <x:t xml:space="preserve">Purchase intent</x:t>
  </x:si>
  <x:si>
    <x:t xml:space="preserve">Matches selected inputs</x:t>
  </x:si>
  <x:si>
    <x:t xml:space="preserve">Form data</x:t>
  </x:si>
  <x:si>
    <x:t xml:space="preserve">Sales intent</x:t>
  </x:si>
  <x:si>
    <x:t xml:space="preserve">Before submission</x:t>
  </x:si>
  <x:si>
    <x:t xml:space="preserve">Successful submission</x:t>
  </x:si>
  <x:si>
    <x:t xml:space="preserve">fit, range_band, requirement_count</x:t>
  </x:si>
  <x:si>
    <x:t xml:space="preserve">Raw comments, phone, email in analytics</x:t>
  </x:si>
  <x:si>
    <x:t xml:space="preserve">Lead conversion</x:t>
  </x:si>
  <x:si>
    <x:t xml:space="preserve">Server success controls</x:t>
  </x:si>
  <x:si>
    <x:t xml:space="preserve">Validation failure</x:t>
  </x:si>
  <x:si>
    <x:t xml:space="preserve">field_id, error_type</x:t>
  </x:si>
  <x:si>
    <x:t xml:space="preserve">Raw field value</x:t>
  </x:si>
  <x:si>
    <x:t xml:space="preserve">UX quality</x:t>
  </x:si>
  <x:si>
    <x:t xml:space="preserve">Rate limited</x:t>
  </x:si>
  <x:si>
    <x:t xml:space="preserve">Validation Checklist</x:t>
  </x:si>
  <x:si>
    <x:t xml:space="preserve">Launch gate for pricing logic, presentation, lead handling, analytics, accessibility, and policy governance.</x:t>
  </x:si>
  <x:si>
    <x:t xml:space="preserve">Pre-launch tests</x:t>
  </x:si>
  <x:si>
    <x:t xml:space="preserve">Test</x:t>
  </x:si>
  <x:si>
    <x:t xml:space="preserve">Expected result</x:t>
  </x:si>
  <x:si>
    <x:t xml:space="preserve">Priority</x:t>
  </x:si>
  <x:si>
    <x:t xml:space="preserve">Evidence</x:t>
  </x:si>
  <x:si>
    <x:t xml:space="preserve">Retest date</x:t>
  </x:si>
  <x:si>
    <x:t xml:space="preserve">VAL-01</x:t>
  </x:si>
  <x:si>
    <x:t xml:space="preserve">Pricing</x:t>
  </x:si>
  <x:si>
    <x:t xml:space="preserve">5 participants, one team, no Enterprise needs</x:t>
  </x:si>
  <x:si>
    <x:t xml:space="preserve">Business; no add-on seats</x:t>
  </x:si>
  <x:si>
    <x:t xml:space="preserve">Critical</x:t>
  </x:si>
  <x:si>
    <x:t xml:space="preserve">Engineering</x:t>
  </x:si>
  <x:si>
    <x:t xml:space="preserve">Not run</x:t>
  </x:si>
  <x:si>
    <x:t xml:space="preserve">VAL-02</x:t>
  </x:si>
  <x:si>
    <x:t xml:space="preserve">6 participants, one team, no Enterprise needs</x:t>
  </x:si>
  <x:si>
    <x:t xml:space="preserve">Business; one $30/month add-on seat</x:t>
  </x:si>
  <x:si>
    <x:t xml:space="preserve">VAL-03</x:t>
  </x:si>
  <x:si>
    <x:t xml:space="preserve">10 participants, one team, no Enterprise needs</x:t>
  </x:si>
  <x:si>
    <x:t xml:space="preserve">Business; five add-on seats; checkout cap enforced</x:t>
  </x:si>
  <x:si>
    <x:t xml:space="preserve">VAL-04</x:t>
  </x:si>
  <x:si>
    <x:t xml:space="preserve">11 participants, one team, no Enterprise needs</x:t>
  </x:si>
  <x:si>
    <x:t xml:space="preserve">Enterprise Core and Contact Sales</x:t>
  </x:si>
  <x:si>
    <x:t xml:space="preserve">VAL-05</x:t>
  </x:si>
  <x:si>
    <x:t xml:space="preserve">8 participants at a large employer; one team; standard needs</x:t>
  </x:si>
  <x:si>
    <x:t xml:space="preserve">Business remains eligible</x:t>
  </x:si>
  <x:si>
    <x:t xml:space="preserve">Product</x:t>
  </x:si>
  <x:si>
    <x:t xml:space="preserve">Company headcount is not an input.</x:t>
  </x:si>
  <x:si>
    <x:t xml:space="preserve">VAL-06</x:t>
  </x:si>
  <x:si>
    <x:t xml:space="preserve">Enterprise trigger</x:t>
  </x:si>
  <x:si>
    <x:t xml:space="preserve">8 participants with SSO</x:t>
  </x:si>
  <x:si>
    <x:t xml:space="preserve">VAL-07</x:t>
  </x:si>
  <x:si>
    <x:t xml:space="preserve">21 participants</x:t>
  </x:si>
  <x:si>
    <x:t xml:space="preserve">At least Enterprise Scale</x:t>
  </x:si>
  <x:si>
    <x:t xml:space="preserve">High</x:t>
  </x:si>
  <x:si>
    <x:t xml:space="preserve">VAL-08</x:t>
  </x:si>
  <x:si>
    <x:t xml:space="preserve">51 participants</x:t>
  </x:si>
  <x:si>
    <x:t xml:space="preserve">VAL-09</x:t>
  </x:si>
  <x:si>
    <x:t xml:space="preserve">Math</x:t>
  </x:si>
  <x:si>
    <x:t xml:space="preserve">$24,000 / $112.50 / 20 / 12 × 60</x:t>
  </x:si>
  <x:si>
    <x:t xml:space="preserve">53.3 minutes/person/month</x:t>
  </x:si>
  <x:si>
    <x:t xml:space="preserve">Finance</x:t>
  </x:si>
  <x:si>
    <x:t xml:space="preserve">VAL-10</x:t>
  </x:si>
  <x:si>
    <x:t xml:space="preserve">Investment-equivalent result appears</x:t>
  </x:si>
  <x:si>
    <x:t xml:space="preserve">Disclosure appears adjacent; no time-saved or ROI claim</x:t>
  </x:si>
  <x:si>
    <x:t xml:space="preserve">Legal/Marketing</x:t>
  </x:si>
  <x:si>
    <x:t xml:space="preserve">VAL-11</x:t>
  </x:si>
  <x:si>
    <x:t xml:space="preserve">Business monthly and annual CTA</x:t>
  </x:si>
  <x:si>
    <x:t xml:space="preserve">Prices and seat cap match Stripe; exact annual amount is authoritative</x:t>
  </x:si>
  <x:si>
    <x:t xml:space="preserve">Founder</x:t>
  </x:si>
  <x:si>
    <x:t xml:space="preserve">VAL-12</x:t>
  </x:si>
  <x:si>
    <x:t xml:space="preserve">Sales</x:t>
  </x:si>
  <x:si>
    <x:t xml:space="preserve">Submit Enterprise inquiry</x:t>
  </x:si>
  <x:si>
    <x:t xml:space="preserve">sales@jaspen.ai receives a reply-capable message with calculator context</x:t>
  </x:si>
  <x:si>
    <x:t xml:space="preserve">Sales Ops</x:t>
  </x:si>
  <x:si>
    <x:t xml:space="preserve">VAL-13</x:t>
  </x:si>
  <x:si>
    <x:t xml:space="preserve">Privacy</x:t>
  </x:si>
  <x:si>
    <x:t xml:space="preserve">Open calculator and calculate without submitting</x:t>
  </x:si>
  <x:si>
    <x:t xml:space="preserve">No contact record is created</x:t>
  </x:si>
  <x:si>
    <x:t xml:space="preserve">VAL-14</x:t>
  </x:si>
  <x:si>
    <x:t xml:space="preserve">Marketing consent</x:t>
  </x:si>
  <x:si>
    <x:t xml:space="preserve">Submit sales form without marketing opt-in</x:t>
  </x:si>
  <x:si>
    <x:t xml:space="preserve">Sales inquiry succeeds; no marketing subscription</x:t>
  </x:si>
  <x:si>
    <x:t xml:space="preserve">VAL-15</x:t>
  </x:si>
  <x:si>
    <x:t xml:space="preserve">Keyboard and screen-reader test</x:t>
  </x:si>
  <x:si>
    <x:t xml:space="preserve">All controls labeled, tab order logical, updates announced</x:t>
  </x:si>
  <x:si>
    <x:t xml:space="preserve">VAL-16</x:t>
  </x:si>
  <x:si>
    <x:t xml:space="preserve">Responsive</x:t>
  </x:si>
  <x:si>
    <x:t xml:space="preserve">Test 320px, tablet, desktop</x:t>
  </x:si>
  <x:si>
    <x:t xml:space="preserve">No clipping, horizontal overflow, or hidden disclosure</x:t>
  </x:si>
  <x:si>
    <x:t xml:space="preserve">VAL-17</x:t>
  </x:si>
  <x:si>
    <x:t xml:space="preserve">Exercise funnel</x:t>
  </x:si>
  <x:si>
    <x:t xml:space="preserve">Events fire once with approved properties only</x:t>
  </x:si>
  <x:si>
    <x:t xml:space="preserve">Medium</x:t>
  </x:si>
  <x:si>
    <x:t xml:space="preserve">VAL-18</x:t>
  </x:si>
  <x:si>
    <x:t xml:space="preserve">Copy</x:t>
  </x:si>
  <x:si>
    <x:t xml:space="preserve">Review all result combinations</x:t>
  </x:si>
  <x:si>
    <x:t xml:space="preserve">No result is described as a quote, guarantee, savings, or turnover prevention</x:t>
  </x:si>
  <x:si>
    <x:t xml:space="preserve">Marketing/Legal</x:t>
  </x:si>
  <x:si>
    <x:t xml:space="preserve">Launch rule: all Critical checks must pass. Any change to P001–P016 requires re-running pricing, boundary, math, copy, Stripe, and sales handoff tests.</x:t>
  </x:si>
  <x:si>
    <x:t xml:space="preserve">Sources and Decision Register</x:t>
  </x:si>
  <x:si>
    <x:t xml:space="preserve">Each source is scoped to the claim it can support. Public sources do not validate Jaspen's proposed Enterprise dollar amounts.</x:t>
  </x:si>
  <x:si>
    <x:t xml:space="preserve">External sources and internal decisions</x:t>
  </x:si>
  <x:si>
    <x:t xml:space="preserve">Type</x:t>
  </x:si>
  <x:si>
    <x:t xml:space="preserve">Publisher / owner</x:t>
  </x:si>
  <x:si>
    <x:t xml:space="preserve">Title / decision</x:t>
  </x:si>
  <x:si>
    <x:t xml:space="preserve">URL</x:t>
  </x:si>
  <x:si>
    <x:t xml:space="preserve">Supports</x:t>
  </x:si>
  <x:si>
    <x:t xml:space="preserve">Does not support</x:t>
  </x:si>
  <x:si>
    <x:t xml:space="preserve">Applied in</x:t>
  </x:si>
  <x:si>
    <x:t xml:space="preserve">S001</x:t>
  </x:si>
  <x:si>
    <x:t xml:space="preserve">Public source</x:t>
  </x:si>
  <x:si>
    <x:t xml:space="preserve">Business pricing and Enterprise packaging</x:t>
  </x:si>
  <x:si>
    <x:t xml:space="preserve">Self-service Business vs custom Enterprise pattern; enterprise controls and support concepts.</x:t>
  </x:si>
  <x:si>
    <x:t xml:space="preserve">Jaspen price bands or customer ROI.</x:t>
  </x:si>
  <x:si>
    <x:t xml:space="preserve">01, 04, 07</x:t>
  </x:si>
  <x:si>
    <x:t xml:space="preserve">Use only as packaging context.</x:t>
  </x:si>
  <x:si>
    <x:t xml:space="preserve">S002</x:t>
  </x:si>
  <x:si>
    <x:t xml:space="preserve">Contact sales</x:t>
  </x:si>
  <x:si>
    <x:t xml:space="preserve">Contact-sales intake pattern.</x:t>
  </x:si>
  <x:si>
    <x:t xml:space="preserve">Jaspen form fields as a legal requirement.</x:t>
  </x:si>
  <x:si>
    <x:t xml:space="preserve">01, 07</x:t>
  </x:si>
  <x:si>
    <x:t xml:space="preserve">S003</x:t>
  </x:si>
  <x:si>
    <x:t xml:space="preserve">What is the Claude Enterprise plan?</x:t>
  </x:si>
  <x:si>
    <x:t xml:space="preserve">Enterprise security/compliance and custom-plan pattern.</x:t>
  </x:si>
  <x:si>
    <x:t xml:space="preserve">Jaspen price bands or token conversion.</x:t>
  </x:si>
  <x:si>
    <x:t xml:space="preserve">01, 04</x:t>
  </x:si>
  <x:si>
    <x:t xml:space="preserve">S004</x:t>
  </x:si>
  <x:si>
    <x:t xml:space="preserve">Claude platform pricing</x:t>
  </x:si>
  <x:si>
    <x:t xml:space="preserve">Published provider pricing context and custom enterprise arrangements.</x:t>
  </x:si>
  <x:si>
    <x:t xml:space="preserve">Any undocumented conversion between Jaspen credits/tokens and Claude tokens.</x:t>
  </x:si>
  <x:si>
    <x:t xml:space="preserve">01, 09</x:t>
  </x:si>
  <x:si>
    <x:t xml:space="preserve">Never claim a conversion without model-specific metering data.</x:t>
  </x:si>
  <x:si>
    <x:t xml:space="preserve">S005</x:t>
  </x:si>
  <x:si>
    <x:t xml:space="preserve">Quotes</x:t>
  </x:si>
  <x:si>
    <x:t xml:space="preserve">Client-specific quotes can become subscriptions or invoices.</x:t>
  </x:si>
  <x:si>
    <x:t xml:space="preserve">Supports creating Enterprise pricing after scoping.</x:t>
  </x:si>
  <x:si>
    <x:t xml:space="preserve">S006</x:t>
  </x:si>
  <x:si>
    <x:t xml:space="preserve">Products and prices</x:t>
  </x:si>
  <x:si>
    <x:t xml:space="preserve">https://docs.stripe.com/products-prices/how-products-and-prices-work</x:t>
  </x:si>
  <x:si>
    <x:t xml:space="preserve">Products and prices are separate; multiple prices can represent billing choices.</x:t>
  </x:si>
  <x:si>
    <x:t xml:space="preserve">Jaspen packaging strategy by itself.</x:t>
  </x:si>
  <x:si>
    <x:t xml:space="preserve">01, 07, 08</x:t>
  </x:si>
  <x:si>
    <x:t xml:space="preserve">Confirm actual annual Business price in Stripe.</x:t>
  </x:si>
  <x:si>
    <x:t xml:space="preserve">D001</x:t>
  </x:si>
  <x:si>
    <x:t xml:space="preserve">Internal decision</x:t>
  </x:si>
  <x:si>
    <x:t xml:space="preserve">Jaspen owner</x:t>
  </x:si>
  <x:si>
    <x:t xml:space="preserve">Business plan renamed from Enterprise</x:t>
  </x:si>
  <x:si>
    <x:t xml:space="preserve">$299/month; five seats included; current product position.</x:t>
  </x:si>
  <x:si>
    <x:t xml:space="preserve">Market validation or willingness to pay.</x:t>
  </x:si>
  <x:si>
    <x:t xml:space="preserve">05, 06, 07</x:t>
  </x:si>
  <x:si>
    <x:t xml:space="preserve">Document Stripe IDs outside public workbook if sensitive.</x:t>
  </x:si>
  <x:si>
    <x:t xml:space="preserve">D002</x:t>
  </x:si>
  <x:si>
    <x:t xml:space="preserve">Business additional seat</x:t>
  </x:si>
  <x:si>
    <x:t xml:space="preserve">$30/month per add-on seat; Business Seat product name.</x:t>
  </x:si>
  <x:si>
    <x:t xml:space="preserve">Customer acceptance.</x:t>
  </x:si>
  <x:si>
    <x:t xml:space="preserve">05, 06, 08</x:t>
  </x:si>
  <x:si>
    <x:t xml:space="preserve">D003</x:t>
  </x:si>
  <x:si>
    <x:t xml:space="preserve">Business cap</x:t>
  </x:si>
  <x:si>
    <x:t xml:space="preserve">Maximum 10 total Business seats and one team/workspace with standard needs.</x:t>
  </x:si>
  <x:si>
    <x:t xml:space="preserve">A universal enterprise definition.</x:t>
  </x:si>
  <x:si>
    <x:t xml:space="preserve">04–08</x:t>
  </x:si>
  <x:si>
    <x:t xml:space="preserve">Enterprise needs can trigger sales below 10 seats.</x:t>
  </x:si>
  <x:si>
    <x:t xml:space="preserve">D004</x:t>
  </x:si>
  <x:si>
    <x:t xml:space="preserve">Internal proposal</x:t>
  </x:si>
  <x:si>
    <x:t xml:space="preserve">Enterprise bands</x:t>
  </x:si>
  <x:si>
    <x:t xml:space="preserve">Core $24k–$36k; Scale $48k–$72k; Strategic starting $72k and custom.</x:t>
  </x:si>
  <x:si>
    <x:t xml:space="preserve">Benchmark-backed fair market value.</x:t>
  </x:si>
  <x:si>
    <x:t xml:space="preserve">02, 04–08</x:t>
  </x:si>
  <x:si>
    <x:t xml:space="preserve">Validate through sales discovery and delivery economics.</x:t>
  </x:si>
  <x:si>
    <x:t xml:space="preserve">D005</x:t>
  </x:si>
  <x:si>
    <x:t xml:space="preserve">Leadership cost assumption</x:t>
  </x:si>
  <x:si>
    <x:t xml:space="preserve">$112.50/hour default for optional investment-equivalent math.</x:t>
  </x:si>
  <x:si>
    <x:t xml:space="preserve">Actual customer cost or time savings.</x:t>
  </x:si>
  <x:si>
    <x:t xml:space="preserve">03–06</x:t>
  </x:si>
  <x:si>
    <x:t xml:space="preserve">Editable; disclose as planning assumption.</x:t>
  </x:si>
  <x:si>
    <x:t xml:space="preserve">Refinement Notes</x:t>
  </x:si>
  <x:si>
    <x:t xml:space="preserve">Open questions, evidence plan, and change log for moving from a founder hypothesis to validated pricing policy.</x:t>
  </x:si>
  <x:si>
    <x:t xml:space="preserve">Open decisions and recommended next work</x:t>
  </x:si>
  <x:si>
    <x:t xml:space="preserve">Decision / question</x:t>
  </x:si>
  <x:si>
    <x:t xml:space="preserve">Current position</x:t>
  </x:si>
  <x:si>
    <x:t xml:space="preserve">Evidence needed</x:t>
  </x:si>
  <x:si>
    <x:t xml:space="preserve">Method</x:t>
  </x:si>
  <x:si>
    <x:t xml:space="preserve">Target timing</x:t>
  </x:si>
  <x:si>
    <x:t xml:space="preserve">Decision recorded</x:t>
  </x:si>
  <x:si>
    <x:t xml:space="preserve">Before launch</x:t>
  </x:si>
  <x:si>
    <x:t xml:space="preserve">Open</x:t>
  </x:si>
  <x:si>
    <x:t xml:space="preserve">Do not let workbook-derived amount override Stripe.</x:t>
  </x:si>
  <x:si>
    <x:t xml:space="preserve">Approve public Enterprise bands</x:t>
  </x:si>
  <x:si>
    <x:t xml:space="preserve">Core $24k–$36k; Scale $48k–$72k; Strategic starting $72k</x:t>
  </x:si>
  <x:si>
    <x:t xml:space="preserve">Sales discovery, delivery cost, willingness-to-pay signals</x:t>
  </x:si>
  <x:si>
    <x:t xml:space="preserve">Interview 5–10 qualified buyers; log objections and scope</x:t>
  </x:si>
  <x:si>
    <x:t xml:space="preserve">Before public launch</x:t>
  </x:si>
  <x:si>
    <x:t xml:space="preserve">May launch as 'starting at' only if ranges feel premature.</x:t>
  </x:si>
  <x:si>
    <x:t xml:space="preserve">Validate 20 / 50 participant thresholds</x:t>
  </x:si>
  <x:si>
    <x:t xml:space="preserve">Proposed internal routing thresholds</x:t>
  </x:si>
  <x:si>
    <x:t xml:space="preserve">Implementation and account-service effort by size</x:t>
  </x:si>
  <x:si>
    <x:t xml:space="preserve">Model delivery hours and support load for sample scopes</x:t>
  </x:si>
  <x:si>
    <x:t xml:space="preserve">Founder / Product</x:t>
  </x:si>
  <x:si>
    <x:t xml:space="preserve">Before first 3 proposals</x:t>
  </x:si>
  <x:si>
    <x:t xml:space="preserve">Validate complexity weights</x:t>
  </x:si>
  <x:si>
    <x:t xml:space="preserve">Transparent internal points</x:t>
  </x:si>
  <x:si>
    <x:t xml:space="preserve">Actual scope drivers from sales and implementations</x:t>
  </x:si>
  <x:si>
    <x:t xml:space="preserve">After each opportunity, compare estimated vs scoped effort</x:t>
  </x:si>
  <x:si>
    <x:t xml:space="preserve">Product / Sales</x:t>
  </x:si>
  <x:si>
    <x:t xml:space="preserve">Quarterly</x:t>
  </x:si>
  <x:si>
    <x:t xml:space="preserve">Avoid false precision.</x:t>
  </x:si>
  <x:si>
    <x:t xml:space="preserve">Decide default hourly-cost treatment</x:t>
  </x:si>
  <x:si>
    <x:t xml:space="preserve">$112.50/hour, editable</x:t>
  </x:si>
  <x:si>
    <x:t xml:space="preserve">Buyer comprehension and legal/copy review</x:t>
  </x:si>
  <x:si>
    <x:t xml:space="preserve">Usability test both hidden default and user-entered approaches</x:t>
  </x:si>
  <x:si>
    <x:t xml:space="preserve">Marketing / Legal</x:t>
  </x:si>
  <x:si>
    <x:t xml:space="preserve">Disclosure is mandatory.</x:t>
  </x:si>
  <x:si>
    <x:t xml:space="preserve">Define Enterprise included scope</x:t>
  </x:si>
  <x:si>
    <x:t xml:space="preserve">Level descriptions only</x:t>
  </x:si>
  <x:si>
    <x:t xml:space="preserve">Product readiness, delivery capacity, security roadmap</x:t>
  </x:si>
  <x:si>
    <x:t xml:space="preserve">Create scope matrix for Core, Scale, Strategic</x:t>
  </x:si>
  <x:si>
    <x:t xml:space="preserve">Before first quote</x:t>
  </x:si>
  <x:si>
    <x:t xml:space="preserve">Do not promise unavailable features.</x:t>
  </x:si>
  <x:si>
    <x:t xml:space="preserve">Define quote approval process</x:t>
  </x:si>
  <x:si>
    <x:t xml:space="preserve">Client-specific Stripe quote after scope</x:t>
  </x:si>
  <x:si>
    <x:t xml:space="preserve">Internal authority and legal workflow</x:t>
  </x:si>
  <x:si>
    <x:t xml:space="preserve">Document stages: discovery, solution, pricing approval, MSA/DPA, quote</x:t>
  </x:si>
  <x:si>
    <x:t xml:space="preserve">Founder / Sales Ops</x:t>
  </x:si>
  <x:si>
    <x:t xml:space="preserve">Before first Enterprise lead</x:t>
  </x:si>
  <x:si>
    <x:t xml:space="preserve">Measure calculator performance</x:t>
  </x:si>
  <x:si>
    <x:t xml:space="preserve">Proposed events in 07 Web App Spec</x:t>
  </x:si>
  <x:si>
    <x:t xml:space="preserve">Funnel data</x:t>
  </x:si>
  <x:si>
    <x:t xml:space="preserve">Review start, completion, result, CTA, lead, and close rates monthly</x:t>
  </x:si>
  <x:si>
    <x:t xml:space="preserve">Marketing / Analytics</x:t>
  </x:si>
  <x:si>
    <x:t xml:space="preserve">30 days post-launch</x:t>
  </x:si>
  <x:si>
    <x:t xml:space="preserve">Do not optimize for lead volume alone; assess lead quality.</x:t>
  </x:si>
  <x:si>
    <x:t xml:space="preserve">Research outcome evidence</x:t>
  </x:si>
  <x:si>
    <x:t xml:space="preserve">No ROI or time-saved claims</x:t>
  </x:si>
  <x:si>
    <x:t xml:space="preserve">Customer workflow and outcome data</x:t>
  </x:si>
  <x:si>
    <x:t xml:space="preserve">Consent-based pilot studies with baseline and follow-up</x:t>
  </x:si>
  <x:si>
    <x:t xml:space="preserve">Product / Research</x:t>
  </x:si>
  <x:si>
    <x:t xml:space="preserve">After customer adoption</x:t>
  </x:si>
  <x:si>
    <x:t xml:space="preserve">Keep calculator conservative until evidence exists.</x:t>
  </x:si>
  <x:si>
    <x:t xml:space="preserve">Review token/credit language</x:t>
  </x:si>
  <x:si>
    <x:t xml:space="preserve">No provider-token equivalence claimed</x:t>
  </x:si>
  <x:si>
    <x:t xml:space="preserve">Model-specific metering and cost data</x:t>
  </x:si>
  <x:si>
    <x:t xml:space="preserve">Document exact internal unit conversion, if any, by model and operation</x:t>
  </x:si>
  <x:si>
    <x:t xml:space="preserve">Engineering / Finance</x:t>
  </x:si>
  <x:si>
    <x:t xml:space="preserve">Before revising pricing copy</x:t>
  </x:si>
  <x:si>
    <x:t xml:space="preserve">Avoid phrases such as 1,000 Jaspen tokens = 1 million Claude tokens unless proven.</x:t>
  </x:si>
  <x:si>
    <x:t xml:space="preserve">Change log</x:t>
  </x:si>
  <x:si>
    <x:t xml:space="preserve">Version</x:t>
  </x:si>
  <x:si>
    <x:t xml:space="preserve">Date</x:t>
  </x:si>
  <x:si>
    <x:t xml:space="preserve">Policy IDs</x:t>
  </x:si>
  <x:si>
    <x:t xml:space="preserve">Previous</x:t>
  </x:si>
  <x:si>
    <x:t xml:space="preserve">New</x:t>
  </x:si>
  <x:si>
    <x:t xml:space="preserve">Approved by</x:t>
  </x:si>
  <x:si>
    <x:t xml:space="preserve">Implemented in</x:t>
  </x:si>
  <x:si>
    <x:t xml:space="preserve">1.0</x:t>
  </x:si>
  <x:si>
    <x:t xml:space="preserve">P001–P016</x:t>
  </x:si>
  <x:si>
    <x:t xml:space="preserve">Initial methodology workbook</x:t>
  </x:si>
  <x:si>
    <x:t xml:space="preserve">Consolidate Business/Enterprise decisions into an auditable calculator spec</x:t>
  </x:si>
  <x:si>
    <x:t xml:space="preserve">Founder conversation and public packaging sources</x:t>
  </x:si>
  <x:si>
    <x:t xml:space="preserve">Pending final owner approval</x:t>
  </x:si>
  <x:si>
    <x:t xml:space="preserve">Workbook</x:t>
  </x:si>
</x:sst>
</file>

<file path=xl/styles.xml><?xml version="1.0" encoding="utf-8"?>
<x:styleSheet xmlns:x="http://schemas.openxmlformats.org/spreadsheetml/2006/main">
  <x:numFmts count="6">
    <x:numFmt numFmtId="164" formatCode="yyyy\-mm\-dd"/>
    <x:numFmt numFmtId="165" formatCode="&quot;$&quot;#,##0.00"/>
    <x:numFmt numFmtId="166" formatCode="&quot;$&quot;#,##0"/>
    <x:numFmt numFmtId="167" formatCode="0.0\ &quot;minutes&quot;"/>
    <x:numFmt numFmtId="200" formatCode="yyyy-mm-dd"/>
    <x:numFmt numFmtId="201" formatCode="$#,##0"/>
  </x:numFmts>
  <x:fonts count="7">
    <x:font>
      <x:sz val="11"/>
      <x:name val="Carlito"/>
    </x:font>
    <x:font>
      <x:b/>
      <x:sz val="18"/>
      <x:color rgb="FFFFFFFF"/>
      <x:name val="Carlito"/>
    </x:font>
    <x:font>
      <x:i/>
      <x:sz val="10"/>
      <x:color rgb="FF1D2A44"/>
      <x:name val="Carlito"/>
    </x:font>
    <x:font>
      <x:b/>
      <x:sz val="11"/>
      <x:color rgb="FFFFFFFF"/>
      <x:name val="Carlito"/>
    </x:font>
    <x:font>
      <x:b/>
      <x:sz val="11"/>
      <x:color rgb="FF1D2A44"/>
      <x:name val="Carlito"/>
    </x:font>
    <x:font>
      <x:i/>
      <x:sz val="11"/>
      <x:color rgb="FF1D2A44"/>
      <x:name val="Carlito"/>
    </x:font>
    <x:font>
      <x:b/>
      <x:sz val="11"/>
      <x:color rgb="FFA0036C"/>
      <x:name val="Carlito"/>
    </x:font>
  </x:fonts>
  <x:fills count="10">
    <x:fill>
      <x:patternFill patternType="none"/>
    </x:fill>
    <x:fill>
      <x:patternFill patternType="gray125"/>
    </x:fill>
    <x:fill>
      <x:patternFill patternType="solid">
        <x:fgColor rgb="FF161F3B"/>
      </x:patternFill>
    </x:fill>
    <x:fill>
      <x:patternFill patternType="solid">
        <x:fgColor rgb="FFEFF9FC"/>
      </x:patternFill>
    </x:fill>
    <x:fill>
      <x:patternFill patternType="solid">
        <x:fgColor rgb="FFA0036C"/>
      </x:patternFill>
    </x:fill>
    <x:fill>
      <x:patternFill patternType="solid">
        <x:fgColor rgb="FFE9B57B"/>
      </x:patternFill>
    </x:fill>
    <x:fill>
      <x:patternFill patternType="solid">
        <x:fgColor rgb="FFFFF3CD"/>
      </x:patternFill>
    </x:fill>
    <x:fill>
      <x:patternFill patternType="solid">
        <x:fgColor rgb="FFE7F4ED"/>
      </x:patternFill>
    </x:fill>
    <x:fill>
      <x:patternFill patternType="solid">
        <x:fgColor rgb="FFFFFFFF"/>
      </x:patternFill>
    </x:fill>
    <x:fill>
      <x:patternFill patternType="solid">
        <x:fgColor rgb="FFFBEAF4"/>
      </x:patternFill>
    </x:fill>
  </x:fills>
  <x:borders count="10">
    <x:border/>
    <x:border>
      <x:left style="thin">
        <x:color rgb="FFD6DCE8"/>
      </x:left>
      <x:top style="thin">
        <x:color rgb="FFD6DCE8"/>
      </x:top>
    </x:border>
    <x:border>
      <x:top style="thin">
        <x:color rgb="FFD6DCE8"/>
      </x:top>
    </x:border>
    <x:border>
      <x:right style="thin">
        <x:color rgb="FFD6DCE8"/>
      </x:right>
      <x:top style="thin">
        <x:color rgb="FFD6DCE8"/>
      </x:top>
    </x:border>
    <x:border>
      <x:left style="thin">
        <x:color rgb="FFD6DCE8"/>
      </x:left>
    </x:border>
    <x:border>
      <x:right style="thin">
        <x:color rgb="FFD6DCE8"/>
      </x:right>
    </x:border>
    <x:border>
      <x:left style="thin">
        <x:color rgb="FFD6DCE8"/>
      </x:left>
      <x:bottom style="thin">
        <x:color rgb="FFD6DCE8"/>
      </x:bottom>
    </x:border>
    <x:border>
      <x:bottom style="thin">
        <x:color rgb="FFD6DCE8"/>
      </x:bottom>
    </x:border>
    <x:border>
      <x:right style="thin">
        <x:color rgb="FFD6DCE8"/>
      </x:right>
      <x:bottom style="thin">
        <x:color rgb="FFD6DCE8"/>
      </x:bottom>
    </x:border>
    <x:border>
      <x:left style="thin">
        <x:color rgb="FFD6DCE8"/>
      </x:left>
      <x:right style="thin">
        <x:color rgb="FFD6DCE8"/>
      </x:right>
      <x:top style="thin">
        <x:color rgb="FFD6DCE8"/>
      </x:top>
      <x:bottom style="thin">
        <x:color rgb="FFD6DCE8"/>
      </x:bottom>
    </x:border>
  </x:borders>
  <x:cellStyleXfs count="1">
    <x:xf numFmtId="0" fontId="0" fillId="0" borderId="0"/>
  </x:cellStyleXfs>
  <x:cellXfs count="72">
    <x:xf numFmtId="0" fontId="0" fillId="0" borderId="0" xfId="0"/>
    <x:xf numFmtId="0" fontId="0" fillId="0" borderId="9" xfId="0" applyBorder="1" applyAlignment="1">
      <x:alignment vertical="top" wrapText="1"/>
    </x:xf>
    <x:xf numFmtId="164" fontId="0" fillId="0" borderId="9" xfId="0" applyNumberFormat="1" applyBorder="1" applyAlignment="1">
      <x:alignment vertical="top" wrapText="1"/>
    </x:xf>
    <x:xf numFmtId="3" fontId="0" fillId="0" borderId="9" xfId="0" applyNumberFormat="1" applyBorder="1" applyAlignment="1">
      <x:alignment vertical="top" wrapText="1"/>
    </x:xf>
    <x:xf numFmtId="165" fontId="0" fillId="0" borderId="9" xfId="0" applyNumberFormat="1" applyBorder="1" applyAlignment="1">
      <x:alignment vertical="top" wrapText="1"/>
    </x:xf>
    <x:xf numFmtId="0" fontId="0" fillId="6" borderId="9" xfId="0" applyFill="1" applyBorder="1" applyAlignment="1">
      <x:alignment vertical="top" wrapText="1"/>
    </x:xf>
    <x:xf numFmtId="0" fontId="6" fillId="6" borderId="9" xfId="0" applyFont="1" applyFill="1" applyBorder="1" applyAlignment="1">
      <x:alignment vertical="top" wrapText="1"/>
    </x:xf>
    <x:xf numFmtId="166" fontId="6" fillId="6" borderId="9" xfId="0" applyNumberFormat="1" applyFont="1" applyFill="1" applyBorder="1" applyAlignment="1">
      <x:alignment vertical="top" wrapText="1"/>
    </x:xf>
    <x:xf numFmtId="3" fontId="6" fillId="6" borderId="9" xfId="0" applyNumberFormat="1" applyFont="1" applyFill="1" applyBorder="1" applyAlignment="1">
      <x:alignment vertical="top" wrapText="1"/>
    </x:xf>
    <x:xf numFmtId="9" fontId="6" fillId="6" borderId="9" xfId="0" applyNumberFormat="1" applyFont="1" applyFill="1" applyBorder="1" applyAlignment="1">
      <x:alignment vertical="top" wrapText="1"/>
    </x:xf>
    <x:xf numFmtId="165" fontId="6" fillId="6" borderId="9" xfId="0" applyNumberFormat="1" applyFont="1" applyFill="1" applyBorder="1" applyAlignment="1">
      <x:alignment vertical="top" wrapText="1"/>
    </x:xf>
    <x:xf numFmtId="0" fontId="0" fillId="3" borderId="9" xfId="0" applyFill="1" applyBorder="1" applyAlignment="1">
      <x:alignment vertical="top" wrapText="1"/>
    </x:xf>
    <x:xf numFmtId="0" fontId="6" fillId="3" borderId="9" xfId="0" applyFont="1" applyFill="1" applyBorder="1" applyAlignment="1">
      <x:alignment vertical="top" wrapText="1"/>
    </x:xf>
    <x:xf numFmtId="3" fontId="0" fillId="3" borderId="9" xfId="0" applyNumberFormat="1" applyFill="1" applyBorder="1" applyAlignment="1">
      <x:alignment vertical="top" wrapText="1"/>
    </x:xf>
    <x:xf numFmtId="166" fontId="6" fillId="3" borderId="9" xfId="0" applyNumberFormat="1" applyFont="1" applyFill="1" applyBorder="1" applyAlignment="1">
      <x:alignment vertical="top" wrapText="1"/>
    </x:xf>
    <x:xf numFmtId="167" fontId="6" fillId="3" borderId="9" xfId="0" applyNumberFormat="1" applyFont="1" applyFill="1" applyBorder="1" applyAlignment="1">
      <x:alignment vertical="top" wrapText="1"/>
    </x:xf>
    <x:xf numFmtId="164" fontId="0" fillId="6" borderId="9" xfId="0" applyNumberFormat="1" applyFill="1" applyBorder="1" applyAlignment="1">
      <x:alignment vertical="top" wrapText="1"/>
    </x:xf>
    <x:xf numFmtId="0" fontId="0" fillId="0" borderId="0" xfId="0" applyAlignment="1">
      <x:alignment vertical="top"/>
    </x:xf>
    <x:xf numFmtId="0" fontId="4" fillId="5" borderId="0" xfId="0" applyFont="1" applyFill="1" applyAlignment="1">
      <x:alignment vertical="top"/>
    </x:xf>
    <x:xf numFmtId="0" fontId="3" fillId="4" borderId="9" xfId="0" applyFont="1" applyFill="1" applyBorder="1" applyAlignment="1">
      <x:alignment vertical="top" wrapText="1"/>
    </x:xf>
    <x:xf numFmtId="0" fontId="1" fillId="2" borderId="0" xfId="0" applyFont="1" applyFill="1" applyAlignment="1">
      <x:alignment vertical="center"/>
    </x:xf>
    <x:xf numFmtId="0" fontId="2" fillId="3" borderId="0" xfId="0" applyFont="1" applyFill="1" applyAlignment="1">
      <x:alignment vertical="center" wrapText="1"/>
    </x:xf>
    <x:xf numFmtId="0" fontId="3" fillId="4" borderId="0" xfId="0" applyFont="1" applyFill="1" applyAlignment="1">
      <x:alignment vertical="top"/>
    </x:xf>
    <x:xf numFmtId="0" fontId="0" fillId="3" borderId="1" xfId="0" applyFill="1" applyBorder="1" applyAlignment="1">
      <x:alignment vertical="top" wrapText="1"/>
    </x:xf>
    <x:xf numFmtId="0" fontId="0" fillId="3" borderId="2" xfId="0" applyFill="1" applyBorder="1" applyAlignment="1">
      <x:alignment vertical="top" wrapText="1"/>
    </x:xf>
    <x:xf numFmtId="0" fontId="0" fillId="3" borderId="3" xfId="0" applyFill="1" applyBorder="1" applyAlignment="1">
      <x:alignment vertical="top" wrapText="1"/>
    </x:xf>
    <x:xf numFmtId="0" fontId="0" fillId="3" borderId="4" xfId="0" applyFill="1" applyBorder="1" applyAlignment="1">
      <x:alignment vertical="top" wrapText="1"/>
    </x:xf>
    <x:xf numFmtId="0" fontId="0" fillId="3" borderId="0" xfId="0" applyFill="1" applyAlignment="1">
      <x:alignment vertical="top" wrapText="1"/>
    </x:xf>
    <x:xf numFmtId="0" fontId="0" fillId="3" borderId="5" xfId="0" applyFill="1" applyBorder="1" applyAlignment="1">
      <x:alignment vertical="top" wrapText="1"/>
    </x:xf>
    <x:xf numFmtId="0" fontId="0" fillId="3" borderId="6" xfId="0" applyFill="1" applyBorder="1" applyAlignment="1">
      <x:alignment vertical="top" wrapText="1"/>
    </x:xf>
    <x:xf numFmtId="0" fontId="0" fillId="3" borderId="7" xfId="0" applyFill="1" applyBorder="1" applyAlignment="1">
      <x:alignment vertical="top" wrapText="1"/>
    </x:xf>
    <x:xf numFmtId="0" fontId="0" fillId="3" borderId="8" xfId="0" applyFill="1" applyBorder="1" applyAlignment="1">
      <x:alignment vertical="top" wrapText="1"/>
    </x:xf>
    <x:xf numFmtId="0" fontId="4" fillId="5" borderId="0" xfId="0" applyFont="1" applyFill="1" applyAlignment="1">
      <x:alignment vertical="top"/>
    </x:xf>
    <x:xf numFmtId="0" fontId="5" fillId="6" borderId="1" xfId="0" applyFont="1" applyFill="1" applyBorder="1" applyAlignment="1">
      <x:alignment vertical="top" wrapText="1"/>
    </x:xf>
    <x:xf numFmtId="0" fontId="5" fillId="6" borderId="2" xfId="0" applyFont="1" applyFill="1" applyBorder="1" applyAlignment="1">
      <x:alignment vertical="top" wrapText="1"/>
    </x:xf>
    <x:xf numFmtId="0" fontId="5" fillId="6" borderId="3" xfId="0" applyFont="1" applyFill="1" applyBorder="1" applyAlignment="1">
      <x:alignment vertical="top" wrapText="1"/>
    </x:xf>
    <x:xf numFmtId="0" fontId="5" fillId="6" borderId="4" xfId="0" applyFont="1" applyFill="1" applyBorder="1" applyAlignment="1">
      <x:alignment vertical="top" wrapText="1"/>
    </x:xf>
    <x:xf numFmtId="0" fontId="5" fillId="6" borderId="0" xfId="0" applyFont="1" applyFill="1" applyAlignment="1">
      <x:alignment vertical="top" wrapText="1"/>
    </x:xf>
    <x:xf numFmtId="0" fontId="5" fillId="6" borderId="5" xfId="0" applyFont="1" applyFill="1" applyBorder="1" applyAlignment="1">
      <x:alignment vertical="top" wrapText="1"/>
    </x:xf>
    <x:xf numFmtId="0" fontId="5" fillId="6" borderId="6" xfId="0" applyFont="1" applyFill="1" applyBorder="1" applyAlignment="1">
      <x:alignment vertical="top" wrapText="1"/>
    </x:xf>
    <x:xf numFmtId="0" fontId="5" fillId="6" borderId="7" xfId="0" applyFont="1" applyFill="1" applyBorder="1" applyAlignment="1">
      <x:alignment vertical="top" wrapText="1"/>
    </x:xf>
    <x:xf numFmtId="0" fontId="5" fillId="6" borderId="8" xfId="0" applyFont="1" applyFill="1" applyBorder="1" applyAlignment="1">
      <x:alignment vertical="top" wrapText="1"/>
    </x:xf>
    <x:xf numFmtId="0" fontId="5" fillId="7" borderId="1" xfId="0" applyFont="1" applyFill="1" applyBorder="1" applyAlignment="1">
      <x:alignment vertical="top" wrapText="1"/>
    </x:xf>
    <x:xf numFmtId="0" fontId="5" fillId="7" borderId="2" xfId="0" applyFont="1" applyFill="1" applyBorder="1" applyAlignment="1">
      <x:alignment vertical="top" wrapText="1"/>
    </x:xf>
    <x:xf numFmtId="0" fontId="5" fillId="7" borderId="3" xfId="0" applyFont="1" applyFill="1" applyBorder="1" applyAlignment="1">
      <x:alignment vertical="top" wrapText="1"/>
    </x:xf>
    <x:xf numFmtId="0" fontId="5" fillId="7" borderId="4" xfId="0" applyFont="1" applyFill="1" applyBorder="1" applyAlignment="1">
      <x:alignment vertical="top" wrapText="1"/>
    </x:xf>
    <x:xf numFmtId="0" fontId="5" fillId="7" borderId="0" xfId="0" applyFont="1" applyFill="1" applyAlignment="1">
      <x:alignment vertical="top" wrapText="1"/>
    </x:xf>
    <x:xf numFmtId="0" fontId="5" fillId="7" borderId="5" xfId="0" applyFont="1" applyFill="1" applyBorder="1" applyAlignment="1">
      <x:alignment vertical="top" wrapText="1"/>
    </x:xf>
    <x:xf numFmtId="0" fontId="5" fillId="7" borderId="6" xfId="0" applyFont="1" applyFill="1" applyBorder="1" applyAlignment="1">
      <x:alignment vertical="top" wrapText="1"/>
    </x:xf>
    <x:xf numFmtId="0" fontId="5" fillId="7" borderId="7" xfId="0" applyFont="1" applyFill="1" applyBorder="1" applyAlignment="1">
      <x:alignment vertical="top" wrapText="1"/>
    </x:xf>
    <x:xf numFmtId="0" fontId="5" fillId="7" borderId="8" xfId="0" applyFont="1" applyFill="1" applyBorder="1" applyAlignment="1">
      <x:alignment vertical="top" wrapText="1"/>
    </x:xf>
    <x:xf numFmtId="0" fontId="0" fillId="8" borderId="1" xfId="0" applyFill="1" applyBorder="1" applyAlignment="1">
      <x:alignment vertical="top" wrapText="1"/>
    </x:xf>
    <x:xf numFmtId="0" fontId="0" fillId="8" borderId="2" xfId="0" applyFill="1" applyBorder="1" applyAlignment="1">
      <x:alignment vertical="top" wrapText="1"/>
    </x:xf>
    <x:xf numFmtId="0" fontId="0" fillId="8" borderId="3" xfId="0" applyFill="1" applyBorder="1" applyAlignment="1">
      <x:alignment vertical="top" wrapText="1"/>
    </x:xf>
    <x:xf numFmtId="0" fontId="0" fillId="8" borderId="6" xfId="0" applyFill="1" applyBorder="1" applyAlignment="1">
      <x:alignment vertical="top" wrapText="1"/>
    </x:xf>
    <x:xf numFmtId="0" fontId="0" fillId="8" borderId="7" xfId="0" applyFill="1" applyBorder="1" applyAlignment="1">
      <x:alignment vertical="top" wrapText="1"/>
    </x:xf>
    <x:xf numFmtId="0" fontId="0" fillId="8" borderId="8" xfId="0" applyFill="1" applyBorder="1" applyAlignment="1">
      <x:alignment vertical="top" wrapText="1"/>
    </x:xf>
    <x:xf numFmtId="0" fontId="5" fillId="9" borderId="1" xfId="0" applyFont="1" applyFill="1" applyBorder="1" applyAlignment="1">
      <x:alignment vertical="top" wrapText="1"/>
    </x:xf>
    <x:xf numFmtId="0" fontId="5" fillId="9" borderId="2" xfId="0" applyFont="1" applyFill="1" applyBorder="1" applyAlignment="1">
      <x:alignment vertical="top" wrapText="1"/>
    </x:xf>
    <x:xf numFmtId="0" fontId="5" fillId="9" borderId="3" xfId="0" applyFont="1" applyFill="1" applyBorder="1" applyAlignment="1">
      <x:alignment vertical="top" wrapText="1"/>
    </x:xf>
    <x:xf numFmtId="0" fontId="5" fillId="9" borderId="4" xfId="0" applyFont="1" applyFill="1" applyBorder="1" applyAlignment="1">
      <x:alignment vertical="top" wrapText="1"/>
    </x:xf>
    <x:xf numFmtId="0" fontId="5" fillId="9" borderId="0" xfId="0" applyFont="1" applyFill="1" applyAlignment="1">
      <x:alignment vertical="top" wrapText="1"/>
    </x:xf>
    <x:xf numFmtId="0" fontId="5" fillId="9" borderId="5" xfId="0" applyFont="1" applyFill="1" applyBorder="1" applyAlignment="1">
      <x:alignment vertical="top" wrapText="1"/>
    </x:xf>
    <x:xf numFmtId="0" fontId="5" fillId="9" borderId="6" xfId="0" applyFont="1" applyFill="1" applyBorder="1" applyAlignment="1">
      <x:alignment vertical="top" wrapText="1"/>
    </x:xf>
    <x:xf numFmtId="0" fontId="5" fillId="9" borderId="7" xfId="0" applyFont="1" applyFill="1" applyBorder="1" applyAlignment="1">
      <x:alignment vertical="top" wrapText="1"/>
    </x:xf>
    <x:xf numFmtId="0" fontId="5" fillId="9" borderId="8" xfId="0" applyFont="1" applyFill="1" applyBorder="1" applyAlignment="1">
      <x:alignment vertical="top" wrapText="1"/>
    </x:xf>
    <x:xf numFmtId="200" fontId="0" fillId="6" borderId="9" xfId="0" applyNumberFormat="1" applyFont="1" applyFill="1" applyBorder="1" applyAlignment="1">
      <x:alignment vertical="top" wrapText="1"/>
    </x:xf>
    <x:xf numFmtId="200" fontId="0" fillId="0" borderId="0" xfId="0" applyNumberFormat="1" applyFont="1" applyFill="1" applyBorder="1"/>
    <x:xf numFmtId="0" fontId="0" fillId="6" borderId="9" xfId="0" applyNumberFormat="1" applyFont="1" applyFill="1" applyBorder="1" applyAlignment="1">
      <x:alignment vertical="top"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ba35bc126644106" /><Relationship Type="http://schemas.openxmlformats.org/officeDocument/2006/relationships/theme" Target="/xl/theme/theme1.xml" Id="R732bb8a49afb4757" /><Relationship Type="http://schemas.openxmlformats.org/officeDocument/2006/relationships/sharedStrings" Target="/xl/sharedStrings.xml" Id="R9e9d8269554149b3" /><Relationship Type="http://schemas.openxmlformats.org/officeDocument/2006/relationships/worksheet" Target="/xl/worksheets/sheet1.xml" Id="Ra0979cf6649c4e26" /><Relationship Type="http://schemas.openxmlformats.org/officeDocument/2006/relationships/worksheet" Target="/xl/worksheets/sheet2.xml" Id="Rc7afe2c4f0334fb3" /><Relationship Type="http://schemas.openxmlformats.org/officeDocument/2006/relationships/worksheet" Target="/xl/worksheets/sheet3.xml" Id="R22f1791117b14a3a" /><Relationship Type="http://schemas.openxmlformats.org/officeDocument/2006/relationships/worksheet" Target="/xl/worksheets/sheet4.xml" Id="Racf528c39fef4396" /><Relationship Type="http://schemas.openxmlformats.org/officeDocument/2006/relationships/worksheet" Target="/xl/worksheets/sheet5.xml" Id="Rd77f0a160300441c" /><Relationship Type="http://schemas.openxmlformats.org/officeDocument/2006/relationships/worksheet" Target="/xl/worksheets/sheet6.xml" Id="Radfcc8ff3ea54f99" /><Relationship Type="http://schemas.openxmlformats.org/officeDocument/2006/relationships/worksheet" Target="/xl/worksheets/sheet7.xml" Id="Rccd07878109d49d3" /><Relationship Type="http://schemas.openxmlformats.org/officeDocument/2006/relationships/worksheet" Target="/xl/worksheets/sheet8.xml" Id="R381e539bfb9044f3" /><Relationship Type="http://schemas.openxmlformats.org/officeDocument/2006/relationships/worksheet" Target="/xl/worksheets/sheet9.xml" Id="R2dc25e8312974e3c" /><Relationship Type="http://schemas.openxmlformats.org/officeDocument/2006/relationships/worksheet" Target="/xl/worksheets/sheet10.xml" Id="R6e6d8c4edcdd4c2e" /><Relationship Type="http://schemas.openxmlformats.org/officeDocument/2006/relationships/worksheet" Target="/xl/worksheets/sheet11.xml" Id="Rb9c6aee8dac44f13" /><Relationship Type="http://schemas.openxmlformats.org/officeDocument/2006/relationships/worksheet" Target="/xl/worksheets/sheet12.xml" Id="Rf317de3e57714b17" /><Relationship Type="http://schemas.microsoft.com/office/2017/10/relationships/person" Target="/xl/persons/person.xml" Id="Rf67c642b27e34f87" /></Relationships>
</file>

<file path=xl/drawings/drawing1.xml><?xml version="1.0" encoding="utf-8"?>
<xdr:wsDr xmlns:xdr="http://schemas.openxmlformats.org/drawingml/2006/spreadsheetDrawing">
  <xdr:twoCellAnchor editAs="oneCell">
    <xdr:from>
      <xdr:col>0</xdr:col>
      <xdr:colOff>0</xdr:colOff>
      <xdr:row>0</xdr:row>
      <xdr:rowOff>0</xdr:rowOff>
    </xdr:from>
    <xdr:to>
      <xdr:col>7</xdr:col>
      <xdr:colOff>736600</xdr:colOff>
      <xdr:row>20</xdr:row>
      <xdr:rowOff>25400</xdr:rowOff>
    </xdr:to>
    <xdr:sp>
      <xdr:nvSpPr>
        <xdr:cNvPr id="1" name="Text Box 4"/>
        <xdr:cNvSpPr>
          <a:spLocks xmlns:a="http://schemas.openxmlformats.org/drawingml/2006/main" noGrp="1"/>
        </xdr:cNvSpPr>
      </xdr:nvSpPr>
      <xdr:spPr>
        <a:xfrm xmlns:a="http://schemas.openxmlformats.org/drawingml/2006/main">
          <a:off x="0" y="0"/>
          <a:ext cx="12700000" cy="12700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persons/person.xml><?xml version="1.0" encoding="utf-8"?>
<xltc:personList xmlns:xltc="http://schemas.microsoft.com/office/spreadsheetml/2018/threadedcomments">
  <xltc:person displayName="Lydia Bailey" id="{0C92B7A7-25A8-45E9-808A-7F727B50DF84}"/>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D10" dT="2026-07-18T00:27:33.26" personId="{0C92B7A7-25A8-45E9-808A-7F727B50DF84}" id="{2AB3AD12-E0BE-83A5-A3C2-54B08B7F8772}">
    <xltc:text>Confirm the exact annual Business price and discount in Stripe before publishing. The checkout amount should be authoritative.</xltc:text>
  </xltc:threadedComment>
  <xltc:threadedComment ref="D11" dT="2026-07-17T23:32:41.13" personId="{0C92B7A7-25A8-45E9-808A-7F727B50DF84}" id="{64A3B894-8C04-41D4-E95B-0B0E54B907EA}">
    <xltc:text>Owner-approved pricing policy assumption. Public competitor sources do not validate this amount.</xltc:text>
  </xltc:threadedComment>
  <xltc:threadedComment ref="D17" dT="2026-07-17T23:32:41.13" personId="{0C92B7A7-25A8-45E9-808A-7F727B50DF84}" id="{56F1ECFC-A3A6-44E5-C3CC-9FD00D355D46}">
    <xltc:text>Planning default for the investment-equivalent calculation. This is not a claim about customer labor cost or savings.</xltc:text>
  </xltc:threadedComment>
</xltc:ThreadedComments>
</file>

<file path=xl/worksheets/_rels/sheet6.xml.rels>&#65279;<?xml version="1.0" encoding="utf-8"?><Relationships xmlns="http://schemas.openxmlformats.org/package/2006/relationships"><Relationship Type="http://schemas.openxmlformats.org/officeDocument/2006/relationships/comments" Target="/xl/comments1.xml" Id="Rbd1ad6416e104979" /><Relationship Type="http://schemas.openxmlformats.org/officeDocument/2006/relationships/vmlDrawing" Target="/xl/drawings/vmldrawing.vml" Id="Re3789ccdf73a46f6" /><Relationship Type="http://schemas.microsoft.com/office/2017/10/relationships/threadedComment" Target="/xl/threadedcomments/threadedcomment.xml" Id="R2a71d205ab41419a" /><Relationship Type="http://schemas.openxmlformats.org/officeDocument/2006/relationships/drawing" Target="/xl/drawings/drawing1.xml" Id="Rb6652bc1a9664422" /></Relationships>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1" width="27" customWidth="1"/>
    <x:col min="2" max="2" width="70" customWidth="1"/>
    <x:col min="3" max="3" width="25" customWidth="1"/>
    <x:col min="4" max="10" width="12" customWidth="1"/>
  </x:cols>
  <x:sheetData>
    <x:row r="1" ht="31" customHeight="1">
      <x:c r="A1" s="20" t="s">
        <x:v>0</x:v>
      </x:c>
      <x:c r="B1" s="20"/>
      <x:c r="C1" s="20"/>
      <x:c r="D1" s="20"/>
      <x:c r="E1" s="20"/>
      <x:c r="F1" s="20"/>
      <x:c r="G1" s="20"/>
      <x:c r="H1" s="20"/>
      <x:c r="I1" s="20"/>
      <x:c r="J1" s="20"/>
    </x:row>
    <x:row r="2" ht="30" customHeight="1">
      <x:c r="A2" s="21" t="str">
        <x:v>Version 1.1 | July 17, 2026 | Prepared for Jaspen</x:v>
      </x:c>
      <x:c r="B2" s="21"/>
      <x:c r="C2" s="21"/>
      <x:c r="D2" s="21"/>
      <x:c r="E2" s="21"/>
      <x:c r="F2" s="21"/>
      <x:c r="G2" s="21"/>
      <x:c r="H2" s="21"/>
      <x:c r="I2" s="21"/>
      <x:c r="J2" s="21"/>
    </x:row>
    <x:row r="3">
      <x:c r="A3" s="17"/>
      <x:c r="B3" s="17"/>
      <x:c r="C3" s="17"/>
      <x:c r="D3" s="17"/>
      <x:c r="E3" s="17"/>
      <x:c r="F3" s="17"/>
      <x:c r="G3" s="17"/>
      <x:c r="H3" s="17"/>
      <x:c r="I3" s="17"/>
      <x:c r="J3" s="17"/>
    </x:row>
    <x:row r="4" ht="23" customHeight="1">
      <x:c r="A4" s="22" t="s">
        <x:v>1</x:v>
      </x:c>
      <x:c r="B4" s="22" t="s">
        <x:v>1</x:v>
      </x:c>
      <x:c r="C4" s="22" t="s">
        <x:v>1</x:v>
      </x:c>
      <x:c r="D4" s="22" t="s">
        <x:v>1</x:v>
      </x:c>
      <x:c r="E4" s="22" t="s">
        <x:v>1</x:v>
      </x:c>
      <x:c r="F4" s="22" t="s">
        <x:v>1</x:v>
      </x:c>
      <x:c r="G4" s="22" t="s">
        <x:v>1</x:v>
      </x:c>
      <x:c r="H4" s="22" t="s">
        <x:v>1</x:v>
      </x:c>
      <x:c r="I4" s="22" t="s">
        <x:v>1</x:v>
      </x:c>
      <x:c r="J4" s="22" t="s">
        <x:v>1</x:v>
      </x:c>
    </x:row>
    <x:row r="5">
      <x:c r="A5" s="23" t="s">
        <x:v>2</x:v>
      </x:c>
      <x:c r="B5" s="24"/>
      <x:c r="C5" s="24"/>
      <x:c r="D5" s="24"/>
      <x:c r="E5" s="24"/>
      <x:c r="F5" s="24"/>
      <x:c r="G5" s="24"/>
      <x:c r="H5" s="24"/>
      <x:c r="I5" s="24"/>
      <x:c r="J5" s="25"/>
    </x:row>
    <x:row r="6">
      <x:c r="A6" s="26"/>
      <x:c r="B6" s="27"/>
      <x:c r="C6" s="27"/>
      <x:c r="D6" s="27"/>
      <x:c r="E6" s="27"/>
      <x:c r="F6" s="27"/>
      <x:c r="G6" s="27"/>
      <x:c r="H6" s="27"/>
      <x:c r="I6" s="27"/>
      <x:c r="J6" s="28"/>
    </x:row>
    <x:row r="7">
      <x:c r="A7" s="26"/>
      <x:c r="B7" s="27"/>
      <x:c r="C7" s="27"/>
      <x:c r="D7" s="27"/>
      <x:c r="E7" s="27"/>
      <x:c r="F7" s="27"/>
      <x:c r="G7" s="27"/>
      <x:c r="H7" s="27"/>
      <x:c r="I7" s="27"/>
      <x:c r="J7" s="28"/>
    </x:row>
    <x:row r="8">
      <x:c r="A8" s="29"/>
      <x:c r="B8" s="30"/>
      <x:c r="C8" s="30"/>
      <x:c r="D8" s="30"/>
      <x:c r="E8" s="30"/>
      <x:c r="F8" s="30"/>
      <x:c r="G8" s="30"/>
      <x:c r="H8" s="30"/>
      <x:c r="I8" s="30"/>
      <x:c r="J8" s="31"/>
    </x:row>
    <x:row r="9">
      <x:c r="A9" s="17"/>
      <x:c r="B9" s="17"/>
      <x:c r="C9" s="17"/>
      <x:c r="D9" s="17"/>
      <x:c r="E9" s="17"/>
      <x:c r="F9" s="17"/>
      <x:c r="G9" s="17"/>
      <x:c r="H9" s="17"/>
      <x:c r="I9" s="17"/>
      <x:c r="J9" s="17"/>
    </x:row>
    <x:row r="10" ht="23" customHeight="1">
      <x:c r="A10" s="32" t="s">
        <x:v>3</x:v>
      </x:c>
      <x:c r="B10" s="32" t="s">
        <x:v>3</x:v>
      </x:c>
      <x:c r="C10" s="32" t="s">
        <x:v>3</x:v>
      </x:c>
      <x:c r="D10" s="32" t="s">
        <x:v>3</x:v>
      </x:c>
      <x:c r="E10" s="32" t="s">
        <x:v>3</x:v>
      </x:c>
      <x:c r="F10" s="32" t="s">
        <x:v>3</x:v>
      </x:c>
      <x:c r="G10" s="32" t="s">
        <x:v>3</x:v>
      </x:c>
      <x:c r="H10" s="32" t="s">
        <x:v>3</x:v>
      </x:c>
      <x:c r="I10" s="32" t="s">
        <x:v>3</x:v>
      </x:c>
      <x:c r="J10" s="32" t="s">
        <x:v>3</x:v>
      </x:c>
    </x:row>
    <x:row r="11" ht="30" customHeight="1">
      <x:c r="A11" s="19" t="s">
        <x:v>4</x:v>
      </x:c>
      <x:c r="B11" s="19" t="s">
        <x:v>5</x:v>
      </x:c>
      <x:c r="C11" s="19" t="s">
        <x:v>6</x:v>
      </x:c>
      <x:c r="D11" s="17"/>
      <x:c r="E11" s="17"/>
      <x:c r="F11" s="17"/>
      <x:c r="G11" s="17"/>
      <x:c r="H11" s="17"/>
      <x:c r="I11" s="17"/>
      <x:c r="J11" s="17"/>
    </x:row>
    <x:row r="12" ht="30">
      <x:c r="A12" s="1" t="s">
        <x:v>7</x:v>
      </x:c>
      <x:c r="B12" s="1" t="s">
        <x:v>8</x:v>
      </x:c>
      <x:c r="C12" s="1" t="s">
        <x:v>9</x:v>
      </x:c>
      <x:c r="D12" s="17"/>
      <x:c r="E12" s="17"/>
      <x:c r="F12" s="17"/>
      <x:c r="G12" s="17"/>
      <x:c r="H12" s="17"/>
      <x:c r="I12" s="17"/>
      <x:c r="J12" s="17"/>
    </x:row>
    <x:row r="13" ht="15">
      <x:c r="A13" s="1" t="s">
        <x:v>10</x:v>
      </x:c>
      <x:c r="B13" s="1" t="s">
        <x:v>11</x:v>
      </x:c>
      <x:c r="C13" s="1" t="s">
        <x:v>12</x:v>
      </x:c>
      <x:c r="D13" s="17"/>
      <x:c r="E13" s="17"/>
      <x:c r="F13" s="17"/>
      <x:c r="G13" s="17"/>
      <x:c r="H13" s="17"/>
      <x:c r="I13" s="17"/>
      <x:c r="J13" s="17"/>
    </x:row>
    <x:row r="14" ht="15">
      <x:c r="A14" s="1" t="s">
        <x:v>13</x:v>
      </x:c>
      <x:c r="B14" s="1" t="s">
        <x:v>14</x:v>
      </x:c>
      <x:c r="C14" s="1" t="s">
        <x:v>15</x:v>
      </x:c>
      <x:c r="D14" s="17"/>
      <x:c r="E14" s="17"/>
      <x:c r="F14" s="17"/>
      <x:c r="G14" s="17"/>
      <x:c r="H14" s="17"/>
      <x:c r="I14" s="17"/>
      <x:c r="J14" s="17"/>
    </x:row>
    <x:row r="15" ht="15">
      <x:c r="A15" s="1" t="s">
        <x:v>16</x:v>
      </x:c>
      <x:c r="B15" s="1" t="s">
        <x:v>17</x:v>
      </x:c>
      <x:c r="C15" s="1" t="s">
        <x:v>18</x:v>
      </x:c>
      <x:c r="D15" s="17"/>
      <x:c r="E15" s="17"/>
      <x:c r="F15" s="17"/>
      <x:c r="G15" s="17"/>
      <x:c r="H15" s="17"/>
      <x:c r="I15" s="17"/>
      <x:c r="J15" s="17"/>
    </x:row>
    <x:row r="16" ht="15">
      <x:c r="A16" s="1" t="s">
        <x:v>19</x:v>
      </x:c>
      <x:c r="B16" s="1" t="s">
        <x:v>20</x:v>
      </x:c>
      <x:c r="C16" s="1" t="s">
        <x:v>21</x:v>
      </x:c>
      <x:c r="D16" s="17"/>
      <x:c r="E16" s="17"/>
      <x:c r="F16" s="17"/>
      <x:c r="G16" s="17"/>
      <x:c r="H16" s="17"/>
      <x:c r="I16" s="17"/>
      <x:c r="J16" s="17"/>
    </x:row>
    <x:row r="17" ht="15">
      <x:c r="A17" s="1" t="s">
        <x:v>22</x:v>
      </x:c>
      <x:c r="B17" s="1" t="s">
        <x:v>23</x:v>
      </x:c>
      <x:c r="C17" s="1" t="s">
        <x:v>24</x:v>
      </x:c>
      <x:c r="D17" s="17"/>
      <x:c r="E17" s="17"/>
      <x:c r="F17" s="17"/>
      <x:c r="G17" s="17"/>
      <x:c r="H17" s="17"/>
      <x:c r="I17" s="17"/>
      <x:c r="J17" s="17"/>
    </x:row>
    <x:row r="18" ht="15">
      <x:c r="A18" s="1" t="s">
        <x:v>25</x:v>
      </x:c>
      <x:c r="B18" s="1" t="s">
        <x:v>26</x:v>
      </x:c>
      <x:c r="C18" s="1" t="s">
        <x:v>27</x:v>
      </x:c>
      <x:c r="D18" s="17"/>
      <x:c r="E18" s="17"/>
      <x:c r="F18" s="17"/>
      <x:c r="G18" s="17"/>
      <x:c r="H18" s="17"/>
      <x:c r="I18" s="17"/>
      <x:c r="J18" s="17"/>
    </x:row>
    <x:row r="19" ht="15">
      <x:c r="A19" s="1" t="s">
        <x:v>28</x:v>
      </x:c>
      <x:c r="B19" s="1" t="s">
        <x:v>29</x:v>
      </x:c>
      <x:c r="C19" s="1" t="s">
        <x:v>30</x:v>
      </x:c>
      <x:c r="D19" s="17"/>
      <x:c r="E19" s="17"/>
      <x:c r="F19" s="17"/>
      <x:c r="G19" s="17"/>
      <x:c r="H19" s="17"/>
      <x:c r="I19" s="17"/>
      <x:c r="J19" s="17"/>
    </x:row>
    <x:row r="20" ht="15">
      <x:c r="A20" s="1" t="s">
        <x:v>31</x:v>
      </x:c>
      <x:c r="B20" s="1" t="s">
        <x:v>32</x:v>
      </x:c>
      <x:c r="C20" s="1" t="s">
        <x:v>33</x:v>
      </x:c>
      <x:c r="D20" s="17"/>
      <x:c r="E20" s="17"/>
      <x:c r="F20" s="17"/>
      <x:c r="G20" s="17"/>
      <x:c r="H20" s="17"/>
      <x:c r="I20" s="17"/>
      <x:c r="J20" s="17"/>
    </x:row>
    <x:row r="21" ht="15">
      <x:c r="A21" s="1" t="s">
        <x:v>34</x:v>
      </x:c>
      <x:c r="B21" s="1" t="s">
        <x:v>35</x:v>
      </x:c>
      <x:c r="C21" s="1" t="s">
        <x:v>36</x:v>
      </x:c>
      <x:c r="D21" s="17"/>
      <x:c r="E21" s="17"/>
      <x:c r="F21" s="17"/>
      <x:c r="G21" s="17"/>
      <x:c r="H21" s="17"/>
      <x:c r="I21" s="17"/>
      <x:c r="J21" s="17"/>
    </x:row>
    <x:row r="22" ht="15">
      <x:c r="A22" s="1" t="s">
        <x:v>37</x:v>
      </x:c>
      <x:c r="B22" s="1" t="s">
        <x:v>38</x:v>
      </x:c>
      <x:c r="C22" s="1" t="s">
        <x:v>39</x:v>
      </x:c>
      <x:c r="D22" s="17"/>
      <x:c r="E22" s="17"/>
      <x:c r="F22" s="17"/>
      <x:c r="G22" s="17"/>
      <x:c r="H22" s="17"/>
      <x:c r="I22" s="17"/>
      <x:c r="J22" s="17"/>
    </x:row>
    <x:row r="23">
      <x:c r="A23" s="17"/>
      <x:c r="B23" s="17"/>
      <x:c r="C23" s="17"/>
      <x:c r="D23" s="17"/>
      <x:c r="E23" s="17"/>
      <x:c r="F23" s="17"/>
      <x:c r="G23" s="17"/>
      <x:c r="H23" s="17"/>
      <x:c r="I23" s="17"/>
      <x:c r="J23" s="17"/>
    </x:row>
    <x:row r="24">
      <x:c r="A24" s="17"/>
      <x:c r="B24" s="17"/>
      <x:c r="C24" s="17"/>
      <x:c r="D24" s="17"/>
      <x:c r="E24" s="17"/>
      <x:c r="F24" s="17"/>
      <x:c r="G24" s="17"/>
      <x:c r="H24" s="17"/>
      <x:c r="I24" s="17"/>
      <x:c r="J24" s="17"/>
    </x:row>
    <x:row r="25" ht="40" customHeight="1">
      <x:c r="A25" s="33" t="str">
        <x:v>Before launch: approve Enterprise bands, decide hourly-cost visibility, and have counsel review the disclaimer. Business annual pricing is verified.</x:v>
      </x:c>
      <x:c r="B25" s="34" t="s">
        <x:v>40</x:v>
      </x:c>
      <x:c r="C25" s="34" t="s">
        <x:v>40</x:v>
      </x:c>
      <x:c r="D25" s="34" t="s">
        <x:v>40</x:v>
      </x:c>
      <x:c r="E25" s="34" t="s">
        <x:v>40</x:v>
      </x:c>
      <x:c r="F25" s="34" t="s">
        <x:v>40</x:v>
      </x:c>
      <x:c r="G25" s="34" t="s">
        <x:v>40</x:v>
      </x:c>
      <x:c r="H25" s="34" t="s">
        <x:v>40</x:v>
      </x:c>
      <x:c r="I25" s="34" t="s">
        <x:v>40</x:v>
      </x:c>
      <x:c r="J25" s="35" t="s">
        <x:v>40</x:v>
      </x:c>
    </x:row>
    <x:row r="26" ht="40" customHeight="1">
      <x:c r="A26" s="36" t="s">
        <x:v>40</x:v>
      </x:c>
      <x:c r="B26" s="37" t="s">
        <x:v>40</x:v>
      </x:c>
      <x:c r="C26" s="37" t="s">
        <x:v>40</x:v>
      </x:c>
      <x:c r="D26" s="37" t="s">
        <x:v>40</x:v>
      </x:c>
      <x:c r="E26" s="37" t="s">
        <x:v>40</x:v>
      </x:c>
      <x:c r="F26" s="37" t="s">
        <x:v>40</x:v>
      </x:c>
      <x:c r="G26" s="37" t="s">
        <x:v>40</x:v>
      </x:c>
      <x:c r="H26" s="37" t="s">
        <x:v>40</x:v>
      </x:c>
      <x:c r="I26" s="37" t="s">
        <x:v>40</x:v>
      </x:c>
      <x:c r="J26" s="38" t="s">
        <x:v>40</x:v>
      </x:c>
    </x:row>
    <x:row r="27" ht="40" customHeight="1">
      <x:c r="A27" s="39" t="s">
        <x:v>40</x:v>
      </x:c>
      <x:c r="B27" s="40" t="s">
        <x:v>40</x:v>
      </x:c>
      <x:c r="C27" s="40" t="s">
        <x:v>40</x:v>
      </x:c>
      <x:c r="D27" s="40" t="s">
        <x:v>40</x:v>
      </x:c>
      <x:c r="E27" s="40" t="s">
        <x:v>40</x:v>
      </x:c>
      <x:c r="F27" s="40" t="s">
        <x:v>40</x:v>
      </x:c>
      <x:c r="G27" s="40" t="s">
        <x:v>40</x:v>
      </x:c>
      <x:c r="H27" s="40" t="s">
        <x:v>40</x:v>
      </x:c>
      <x:c r="I27" s="40" t="s">
        <x:v>40</x:v>
      </x:c>
      <x:c r="J27" s="41" t="s">
        <x:v>40</x:v>
      </x:c>
    </x:row>
  </x:sheetData>
  <x:mergeCells>
    <x:mergeCell ref="A25:J27"/>
    <x:mergeCell ref="A1:J1"/>
    <x:mergeCell ref="A2:J2"/>
    <x:mergeCell ref="A4:J4"/>
    <x:mergeCell ref="A5:J8"/>
    <x:mergeCell ref="A10:J1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8.83203125" defaultRowHeight="14"/>
  <x:cols>
    <x:col min="1" max="1" width="15" customWidth="1"/>
    <x:col min="2" max="2" width="28" customWidth="1"/>
    <x:col min="3" max="3" width="27" customWidth="1"/>
    <x:col min="4" max="4" width="34" customWidth="1"/>
    <x:col min="5" max="5" width="31" customWidth="1"/>
    <x:col min="6" max="6" width="26" customWidth="1"/>
    <x:col min="7" max="7" width="42" customWidth="1"/>
    <x:col min="8" max="8" width="33" customWidth="1"/>
    <x:col min="9" max="9" width="48" customWidth="1"/>
    <x:col min="10" max="10" width="14" customWidth="1"/>
  </x:cols>
  <x:sheetData>
    <x:row r="1" ht="31" customHeight="1">
      <x:c r="A1" s="20" t="s">
        <x:v>41</x:v>
      </x:c>
      <x:c r="B1" s="20"/>
      <x:c r="C1" s="20"/>
      <x:c r="D1" s="20"/>
      <x:c r="E1" s="20"/>
      <x:c r="F1" s="20"/>
      <x:c r="G1" s="20"/>
      <x:c r="H1" s="20"/>
      <x:c r="I1" s="20"/>
      <x:c r="J1" s="20"/>
    </x:row>
    <x:row r="2" ht="30" customHeight="1">
      <x:c r="A2" s="21" t="s">
        <x:v>42</x:v>
      </x:c>
      <x:c r="B2" s="21"/>
      <x:c r="C2" s="21"/>
      <x:c r="D2" s="21"/>
      <x:c r="E2" s="21"/>
      <x:c r="F2" s="21"/>
      <x:c r="G2" s="21"/>
      <x:c r="H2" s="21"/>
      <x:c r="I2" s="21"/>
      <x:c r="J2" s="21"/>
    </x:row>
    <x:row r="3">
      <x:c r="A3" s="17"/>
      <x:c r="B3" s="17"/>
      <x:c r="C3" s="17"/>
      <x:c r="D3" s="17"/>
      <x:c r="E3" s="17"/>
      <x:c r="F3" s="17"/>
      <x:c r="G3" s="17"/>
      <x:c r="H3" s="17"/>
      <x:c r="I3" s="17"/>
      <x:c r="J3" s="17"/>
    </x:row>
    <x:row r="4" ht="23" customHeight="1">
      <x:c r="A4" s="22" t="s">
        <x:v>43</x:v>
      </x:c>
      <x:c r="B4" s="22" t="s">
        <x:v>43</x:v>
      </x:c>
      <x:c r="C4" s="22" t="s">
        <x:v>43</x:v>
      </x:c>
      <x:c r="D4" s="22" t="s">
        <x:v>43</x:v>
      </x:c>
      <x:c r="E4" s="22" t="s">
        <x:v>43</x:v>
      </x:c>
      <x:c r="F4" s="22" t="s">
        <x:v>43</x:v>
      </x:c>
      <x:c r="G4" s="22" t="s">
        <x:v>43</x:v>
      </x:c>
      <x:c r="H4" s="22" t="s">
        <x:v>43</x:v>
      </x:c>
      <x:c r="I4" s="22" t="s">
        <x:v>43</x:v>
      </x:c>
      <x:c r="J4" s="22" t="s">
        <x:v>43</x:v>
      </x:c>
    </x:row>
    <x:row r="5" ht="30" customHeight="1">
      <x:c r="A5" s="19" t="s">
        <x:v>44</x:v>
      </x:c>
      <x:c r="B5" s="19" t="s">
        <x:v>45</x:v>
      </x:c>
      <x:c r="C5" s="19" t="s">
        <x:v>46</x:v>
      </x:c>
      <x:c r="D5" s="19" t="s">
        <x:v>47</x:v>
      </x:c>
      <x:c r="E5" s="19" t="s">
        <x:v>48</x:v>
      </x:c>
      <x:c r="F5" s="19" t="s">
        <x:v>49</x:v>
      </x:c>
      <x:c r="G5" s="19" t="s">
        <x:v>50</x:v>
      </x:c>
      <x:c r="H5" s="19" t="s">
        <x:v>51</x:v>
      </x:c>
      <x:c r="I5" s="19" t="s">
        <x:v>52</x:v>
      </x:c>
      <x:c r="J5" s="19" t="s">
        <x:v>53</x:v>
      </x:c>
    </x:row>
    <x:row r="6" ht="92" customHeight="1">
      <x:c r="A6" s="1" t="s">
        <x:v>54</x:v>
      </x:c>
      <x:c r="B6" s="1" t="s">
        <x:v>55</x:v>
      </x:c>
      <x:c r="C6" s="1" t="s">
        <x:v>56</x:v>
      </x:c>
      <x:c r="D6" s="1" t="s">
        <x:v>57</x:v>
      </x:c>
      <x:c r="E6" s="1" t="s">
        <x:v>58</x:v>
      </x:c>
      <x:c r="F6" s="1" t="s">
        <x:v>59</x:v>
      </x:c>
      <x:c r="G6" s="1" t="s">
        <x:v>60</x:v>
      </x:c>
      <x:c r="H6" s="1" t="s">
        <x:v>61</x:v>
      </x:c>
      <x:c r="I6" s="1" t="s">
        <x:v>62</x:v>
      </x:c>
      <x:c r="J6" s="2">
        <x:v>46220</x:v>
      </x:c>
    </x:row>
    <x:row r="7" ht="92" customHeight="1">
      <x:c r="A7" s="1" t="s">
        <x:v>54</x:v>
      </x:c>
      <x:c r="B7" s="1" t="s">
        <x:v>63</x:v>
      </x:c>
      <x:c r="C7" s="1" t="s">
        <x:v>64</x:v>
      </x:c>
      <x:c r="D7" s="1" t="s">
        <x:v>63</x:v>
      </x:c>
      <x:c r="E7" s="1" t="s">
        <x:v>65</x:v>
      </x:c>
      <x:c r="F7" s="1" t="s">
        <x:v>66</x:v>
      </x:c>
      <x:c r="G7" s="1" t="s">
        <x:v>67</x:v>
      </x:c>
      <x:c r="H7" s="1" t="s">
        <x:v>68</x:v>
      </x:c>
      <x:c r="I7" s="1" t="s">
        <x:v>69</x:v>
      </x:c>
      <x:c r="J7" s="2">
        <x:v>46220</x:v>
      </x:c>
    </x:row>
    <x:row r="8" ht="92" customHeight="1">
      <x:c r="A8" s="1" t="s">
        <x:v>70</x:v>
      </x:c>
      <x:c r="B8" s="1" t="s">
        <x:v>71</x:v>
      </x:c>
      <x:c r="C8" s="1" t="s">
        <x:v>72</x:v>
      </x:c>
      <x:c r="D8" s="1" t="s">
        <x:v>73</x:v>
      </x:c>
      <x:c r="E8" s="1" t="s">
        <x:v>74</x:v>
      </x:c>
      <x:c r="F8" s="1" t="s">
        <x:v>75</x:v>
      </x:c>
      <x:c r="G8" s="1" t="s">
        <x:v>76</x:v>
      </x:c>
      <x:c r="H8" s="1" t="s">
        <x:v>77</x:v>
      </x:c>
      <x:c r="I8" s="1" t="s">
        <x:v>78</x:v>
      </x:c>
      <x:c r="J8" s="2">
        <x:v>46220</x:v>
      </x:c>
    </x:row>
    <x:row r="9" ht="92" customHeight="1">
      <x:c r="A9" s="1" t="s">
        <x:v>70</x:v>
      </x:c>
      <x:c r="B9" s="1" t="s">
        <x:v>79</x:v>
      </x:c>
      <x:c r="C9" s="1" t="s">
        <x:v>80</x:v>
      </x:c>
      <x:c r="D9" s="1" t="s">
        <x:v>81</x:v>
      </x:c>
      <x:c r="E9" s="1" t="s">
        <x:v>82</x:v>
      </x:c>
      <x:c r="F9" s="1" t="s">
        <x:v>83</x:v>
      </x:c>
      <x:c r="G9" s="1" t="s">
        <x:v>84</x:v>
      </x:c>
      <x:c r="H9" s="1" t="s">
        <x:v>85</x:v>
      </x:c>
      <x:c r="I9" s="1" t="s">
        <x:v>86</x:v>
      </x:c>
      <x:c r="J9" s="2">
        <x:v>46220</x:v>
      </x:c>
    </x:row>
    <x:row r="10" ht="92" customHeight="1">
      <x:c r="A10" s="1" t="s">
        <x:v>87</x:v>
      </x:c>
      <x:c r="B10" s="1" t="s">
        <x:v>88</x:v>
      </x:c>
      <x:c r="C10" s="1" t="s">
        <x:v>89</x:v>
      </x:c>
      <x:c r="D10" s="1" t="s">
        <x:v>63</x:v>
      </x:c>
      <x:c r="E10" s="1" t="s">
        <x:v>90</x:v>
      </x:c>
      <x:c r="F10" s="1" t="s">
        <x:v>91</x:v>
      </x:c>
      <x:c r="G10" s="1" t="s">
        <x:v>92</x:v>
      </x:c>
      <x:c r="H10" s="1" t="s">
        <x:v>93</x:v>
      </x:c>
      <x:c r="I10" s="1" t="s">
        <x:v>94</x:v>
      </x:c>
      <x:c r="J10" s="2">
        <x:v>46220</x:v>
      </x:c>
    </x:row>
    <x:row r="11">
      <x:c r="A11" s="17"/>
      <x:c r="B11" s="17"/>
      <x:c r="C11" s="17"/>
      <x:c r="D11" s="17"/>
      <x:c r="E11" s="17"/>
      <x:c r="F11" s="17"/>
      <x:c r="G11" s="17"/>
      <x:c r="H11" s="17"/>
      <x:c r="I11" s="17"/>
      <x:c r="J11" s="17"/>
    </x:row>
    <x:row r="12" ht="40" customHeight="1">
      <x:c r="A12" s="33" t="s">
        <x:v>95</x:v>
      </x:c>
      <x:c r="B12" s="34" t="s">
        <x:v>95</x:v>
      </x:c>
      <x:c r="C12" s="34" t="s">
        <x:v>95</x:v>
      </x:c>
      <x:c r="D12" s="34" t="s">
        <x:v>95</x:v>
      </x:c>
      <x:c r="E12" s="34" t="s">
        <x:v>95</x:v>
      </x:c>
      <x:c r="F12" s="34" t="s">
        <x:v>95</x:v>
      </x:c>
      <x:c r="G12" s="34" t="s">
        <x:v>95</x:v>
      </x:c>
      <x:c r="H12" s="34" t="s">
        <x:v>95</x:v>
      </x:c>
      <x:c r="I12" s="34" t="s">
        <x:v>95</x:v>
      </x:c>
      <x:c r="J12" s="35" t="s">
        <x:v>95</x:v>
      </x:c>
    </x:row>
    <x:row r="13" ht="40" customHeight="1">
      <x:c r="A13" s="36" t="s">
        <x:v>95</x:v>
      </x:c>
      <x:c r="B13" s="37" t="s">
        <x:v>95</x:v>
      </x:c>
      <x:c r="C13" s="37" t="s">
        <x:v>95</x:v>
      </x:c>
      <x:c r="D13" s="37" t="s">
        <x:v>95</x:v>
      </x:c>
      <x:c r="E13" s="37" t="s">
        <x:v>95</x:v>
      </x:c>
      <x:c r="F13" s="37" t="s">
        <x:v>95</x:v>
      </x:c>
      <x:c r="G13" s="37" t="s">
        <x:v>95</x:v>
      </x:c>
      <x:c r="H13" s="37" t="s">
        <x:v>95</x:v>
      </x:c>
      <x:c r="I13" s="37" t="s">
        <x:v>95</x:v>
      </x:c>
      <x:c r="J13" s="38" t="s">
        <x:v>95</x:v>
      </x:c>
    </x:row>
    <x:row r="14" ht="40" customHeight="1">
      <x:c r="A14" s="39" t="s">
        <x:v>95</x:v>
      </x:c>
      <x:c r="B14" s="40" t="s">
        <x:v>95</x:v>
      </x:c>
      <x:c r="C14" s="40" t="s">
        <x:v>95</x:v>
      </x:c>
      <x:c r="D14" s="40" t="s">
        <x:v>95</x:v>
      </x:c>
      <x:c r="E14" s="40" t="s">
        <x:v>95</x:v>
      </x:c>
      <x:c r="F14" s="40" t="s">
        <x:v>95</x:v>
      </x:c>
      <x:c r="G14" s="40" t="s">
        <x:v>95</x:v>
      </x:c>
      <x:c r="H14" s="40" t="s">
        <x:v>95</x:v>
      </x:c>
      <x:c r="I14" s="40" t="s">
        <x:v>95</x:v>
      </x:c>
      <x:c r="J14" s="41" t="s">
        <x:v>95</x:v>
      </x:c>
    </x:row>
  </x:sheetData>
  <x:mergeCells>
    <x:mergeCell ref="A1:J1"/>
    <x:mergeCell ref="A2:J2"/>
    <x:mergeCell ref="A4:J4"/>
    <x:mergeCell ref="A12:J1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8.83203125" defaultRowHeight="14"/>
  <x:cols>
    <x:col min="1" max="1" width="9" customWidth="1"/>
    <x:col min="2" max="2" width="25" customWidth="1"/>
    <x:col min="3" max="5" width="32" customWidth="1"/>
    <x:col min="6" max="6" width="35" customWidth="1"/>
    <x:col min="7" max="7" width="34" customWidth="1"/>
    <x:col min="8" max="8" width="15" customWidth="1"/>
    <x:col min="9" max="9" width="18" customWidth="1"/>
    <x:col min="10" max="10" width="36" customWidth="1"/>
  </x:cols>
  <x:sheetData>
    <x:row r="1" ht="31" customHeight="1">
      <x:c r="A1" s="20" t="s">
        <x:v>96</x:v>
      </x:c>
      <x:c r="B1" s="20"/>
      <x:c r="C1" s="20"/>
      <x:c r="D1" s="20"/>
      <x:c r="E1" s="20"/>
      <x:c r="F1" s="20"/>
      <x:c r="G1" s="20"/>
      <x:c r="H1" s="20"/>
      <x:c r="I1" s="20"/>
      <x:c r="J1" s="20"/>
    </x:row>
    <x:row r="2" ht="30" customHeight="1">
      <x:c r="A2" s="21" t="s">
        <x:v>97</x:v>
      </x:c>
      <x:c r="B2" s="21"/>
      <x:c r="C2" s="21"/>
      <x:c r="D2" s="21"/>
      <x:c r="E2" s="21"/>
      <x:c r="F2" s="21"/>
      <x:c r="G2" s="21"/>
      <x:c r="H2" s="21"/>
      <x:c r="I2" s="21"/>
      <x:c r="J2" s="21"/>
    </x:row>
    <x:row r="3">
      <x:c r="A3" s="17"/>
      <x:c r="B3" s="17"/>
      <x:c r="C3" s="17"/>
      <x:c r="D3" s="17"/>
      <x:c r="E3" s="17"/>
      <x:c r="F3" s="17"/>
      <x:c r="G3" s="17"/>
      <x:c r="H3" s="17"/>
      <x:c r="I3" s="17"/>
      <x:c r="J3" s="17"/>
    </x:row>
    <x:row r="4" ht="23" customHeight="1">
      <x:c r="A4" s="22" t="s">
        <x:v>98</x:v>
      </x:c>
      <x:c r="B4" s="22" t="s">
        <x:v>98</x:v>
      </x:c>
      <x:c r="C4" s="22" t="s">
        <x:v>98</x:v>
      </x:c>
      <x:c r="D4" s="22" t="s">
        <x:v>98</x:v>
      </x:c>
      <x:c r="E4" s="22" t="s">
        <x:v>98</x:v>
      </x:c>
      <x:c r="F4" s="22" t="s">
        <x:v>98</x:v>
      </x:c>
      <x:c r="G4" s="22" t="s">
        <x:v>98</x:v>
      </x:c>
      <x:c r="H4" s="22" t="s">
        <x:v>98</x:v>
      </x:c>
      <x:c r="I4" s="22" t="s">
        <x:v>98</x:v>
      </x:c>
      <x:c r="J4" s="22" t="s">
        <x:v>98</x:v>
      </x:c>
    </x:row>
    <x:row r="5" ht="30" customHeight="1">
      <x:c r="A5" s="19" t="s">
        <x:v>99</x:v>
      </x:c>
      <x:c r="B5" s="19" t="s">
        <x:v>100</x:v>
      </x:c>
      <x:c r="C5" s="19" t="s">
        <x:v>101</x:v>
      </x:c>
      <x:c r="D5" s="19" t="s">
        <x:v>102</x:v>
      </x:c>
      <x:c r="E5" s="19" t="s">
        <x:v>103</x:v>
      </x:c>
      <x:c r="F5" s="19" t="s">
        <x:v>104</x:v>
      </x:c>
      <x:c r="G5" s="19" t="s">
        <x:v>105</x:v>
      </x:c>
      <x:c r="H5" s="19" t="s">
        <x:v>106</x:v>
      </x:c>
      <x:c r="I5" s="19" t="s">
        <x:v>107</x:v>
      </x:c>
      <x:c r="J5" s="19" t="s">
        <x:v>108</x:v>
      </x:c>
    </x:row>
    <x:row r="6" ht="78" customHeight="1">
      <x:c r="A6" s="1">
        <x:v>1</x:v>
      </x:c>
      <x:c r="B6" s="1" t="s">
        <x:v>109</x:v>
      </x:c>
      <x:c r="C6" s="1" t="s">
        <x:v>110</x:v>
      </x:c>
      <x:c r="D6" s="1" t="s">
        <x:v>102</x:v>
      </x:c>
      <x:c r="E6" s="1" t="s">
        <x:v>103</x:v>
      </x:c>
      <x:c r="F6" s="1" t="s">
        <x:v>104</x:v>
      </x:c>
      <x:c r="G6" s="1" t="s">
        <x:v>111</x:v>
      </x:c>
      <x:c r="H6" s="1" t="s">
        <x:v>112</x:v>
      </x:c>
      <x:c r="I6" s="1" t="s">
        <x:v>113</x:v>
      </x:c>
      <x:c r="J6" s="1" t="s">
        <x:v>114</x:v>
      </x:c>
    </x:row>
    <x:row r="7" ht="78" customHeight="1">
      <x:c r="A7" s="1">
        <x:v>2</x:v>
      </x:c>
      <x:c r="B7" s="1" t="s">
        <x:v>115</x:v>
      </x:c>
      <x:c r="C7" s="1" t="s">
        <x:v>116</x:v>
      </x:c>
      <x:c r="D7" s="1" t="s">
        <x:v>117</x:v>
      </x:c>
      <x:c r="E7" s="1" t="s">
        <x:v>118</x:v>
      </x:c>
      <x:c r="F7" s="1" t="s">
        <x:v>119</x:v>
      </x:c>
      <x:c r="G7" s="1" t="s">
        <x:v>120</x:v>
      </x:c>
      <x:c r="H7" s="1" t="s">
        <x:v>112</x:v>
      </x:c>
      <x:c r="I7" s="1" t="s">
        <x:v>121</x:v>
      </x:c>
      <x:c r="J7" s="1" t="s">
        <x:v>122</x:v>
      </x:c>
    </x:row>
    <x:row r="8" ht="78" customHeight="1">
      <x:c r="A8" s="1">
        <x:v>3</x:v>
      </x:c>
      <x:c r="B8" s="1" t="s">
        <x:v>123</x:v>
      </x:c>
      <x:c r="C8" s="1" t="s">
        <x:v>124</x:v>
      </x:c>
      <x:c r="D8" s="1" t="s">
        <x:v>125</x:v>
      </x:c>
      <x:c r="E8" s="1" t="s">
        <x:v>126</x:v>
      </x:c>
      <x:c r="F8" s="1" t="s">
        <x:v>127</x:v>
      </x:c>
      <x:c r="G8" s="1" t="s">
        <x:v>128</x:v>
      </x:c>
      <x:c r="H8" s="1" t="s">
        <x:v>129</x:v>
      </x:c>
      <x:c r="I8" s="1" t="s">
        <x:v>121</x:v>
      </x:c>
      <x:c r="J8" s="1" t="s">
        <x:v>130</x:v>
      </x:c>
    </x:row>
    <x:row r="9" ht="78" customHeight="1">
      <x:c r="A9" s="1">
        <x:v>4</x:v>
      </x:c>
      <x:c r="B9" s="1" t="s">
        <x:v>131</x:v>
      </x:c>
      <x:c r="C9" s="1" t="s">
        <x:v>132</x:v>
      </x:c>
      <x:c r="D9" s="1" t="s">
        <x:v>133</x:v>
      </x:c>
      <x:c r="E9" s="1" t="s">
        <x:v>134</x:v>
      </x:c>
      <x:c r="F9" s="1" t="s">
        <x:v>135</x:v>
      </x:c>
      <x:c r="G9" s="1" t="s">
        <x:v>136</x:v>
      </x:c>
      <x:c r="H9" s="1" t="s">
        <x:v>112</x:v>
      </x:c>
      <x:c r="I9" s="1" t="s">
        <x:v>121</x:v>
      </x:c>
      <x:c r="J9" s="1" t="s">
        <x:v>137</x:v>
      </x:c>
    </x:row>
    <x:row r="10" ht="78" customHeight="1">
      <x:c r="A10" s="1">
        <x:v>5</x:v>
      </x:c>
      <x:c r="B10" s="1" t="s">
        <x:v>138</x:v>
      </x:c>
      <x:c r="C10" s="1" t="s">
        <x:v>139</x:v>
      </x:c>
      <x:c r="D10" s="1" t="s">
        <x:v>140</x:v>
      </x:c>
      <x:c r="E10" s="1" t="s">
        <x:v>140</x:v>
      </x:c>
      <x:c r="F10" s="1" t="s">
        <x:v>141</x:v>
      </x:c>
      <x:c r="G10" s="1" t="s">
        <x:v>142</x:v>
      </x:c>
      <x:c r="H10" s="1" t="s">
        <x:v>143</x:v>
      </x:c>
      <x:c r="I10" s="1" t="s">
        <x:v>121</x:v>
      </x:c>
      <x:c r="J10" s="1" t="s">
        <x:v>144</x:v>
      </x:c>
    </x:row>
    <x:row r="11" ht="78" customHeight="1">
      <x:c r="A11" s="1">
        <x:v>6</x:v>
      </x:c>
      <x:c r="B11" s="1" t="s">
        <x:v>145</x:v>
      </x:c>
      <x:c r="C11" s="1" t="s">
        <x:v>146</x:v>
      </x:c>
      <x:c r="D11" s="1" t="s">
        <x:v>147</x:v>
      </x:c>
      <x:c r="E11" s="1" t="s">
        <x:v>148</x:v>
      </x:c>
      <x:c r="F11" s="1" t="s">
        <x:v>149</x:v>
      </x:c>
      <x:c r="G11" s="1" t="s">
        <x:v>150</x:v>
      </x:c>
      <x:c r="H11" s="1" t="s">
        <x:v>112</x:v>
      </x:c>
      <x:c r="I11" s="1" t="s">
        <x:v>121</x:v>
      </x:c>
      <x:c r="J11" s="1" t="s">
        <x:v>151</x:v>
      </x:c>
    </x:row>
    <x:row r="12" ht="78" customHeight="1">
      <x:c r="A12" s="1">
        <x:v>7</x:v>
      </x:c>
      <x:c r="B12" s="1" t="s">
        <x:v>152</x:v>
      </x:c>
      <x:c r="C12" s="1" t="s">
        <x:v>153</x:v>
      </x:c>
      <x:c r="D12" s="1" t="s">
        <x:v>154</x:v>
      </x:c>
      <x:c r="E12" s="1" t="s">
        <x:v>154</x:v>
      </x:c>
      <x:c r="F12" s="1" t="s">
        <x:v>155</x:v>
      </x:c>
      <x:c r="G12" s="1" t="s">
        <x:v>156</x:v>
      </x:c>
      <x:c r="H12" s="1" t="s">
        <x:v>112</x:v>
      </x:c>
      <x:c r="I12" s="1" t="s">
        <x:v>121</x:v>
      </x:c>
      <x:c r="J12" s="1" t="s">
        <x:v>157</x:v>
      </x:c>
    </x:row>
    <x:row r="13" ht="78" customHeight="1">
      <x:c r="A13" s="1">
        <x:v>8</x:v>
      </x:c>
      <x:c r="B13" s="1" t="s">
        <x:v>158</x:v>
      </x:c>
      <x:c r="C13" s="1" t="s">
        <x:v>159</x:v>
      </x:c>
      <x:c r="D13" s="1" t="s">
        <x:v>160</x:v>
      </x:c>
      <x:c r="E13" s="1" t="s">
        <x:v>160</x:v>
      </x:c>
      <x:c r="F13" s="1" t="s">
        <x:v>160</x:v>
      </x:c>
      <x:c r="G13" s="1" t="s">
        <x:v>161</x:v>
      </x:c>
      <x:c r="H13" s="1" t="s">
        <x:v>112</x:v>
      </x:c>
      <x:c r="I13" s="1" t="s">
        <x:v>162</x:v>
      </x:c>
      <x:c r="J13" s="1" t="s">
        <x:v>163</x:v>
      </x:c>
    </x:row>
    <x:row r="14">
      <x:c r="A14" s="17"/>
      <x:c r="B14" s="17"/>
      <x:c r="C14" s="17"/>
      <x:c r="D14" s="17"/>
      <x:c r="E14" s="17"/>
      <x:c r="F14" s="17"/>
      <x:c r="G14" s="17"/>
      <x:c r="H14" s="17"/>
      <x:c r="I14" s="17"/>
      <x:c r="J14" s="17"/>
    </x:row>
    <x:row r="15" ht="23" customHeight="1">
      <x:c r="A15" s="32" t="s">
        <x:v>164</x:v>
      </x:c>
      <x:c r="B15" s="32" t="s">
        <x:v>164</x:v>
      </x:c>
      <x:c r="C15" s="32" t="s">
        <x:v>164</x:v>
      </x:c>
      <x:c r="D15" s="32" t="s">
        <x:v>164</x:v>
      </x:c>
      <x:c r="E15" s="32" t="s">
        <x:v>164</x:v>
      </x:c>
      <x:c r="F15" s="32" t="s">
        <x:v>164</x:v>
      </x:c>
      <x:c r="G15" s="32" t="s">
        <x:v>164</x:v>
      </x:c>
      <x:c r="H15" s="32" t="s">
        <x:v>164</x:v>
      </x:c>
      <x:c r="I15" s="32" t="s">
        <x:v>164</x:v>
      </x:c>
      <x:c r="J15" s="32" t="s">
        <x:v>164</x:v>
      </x:c>
    </x:row>
    <x:row r="16" ht="40" customHeight="1">
      <x:c r="A16" s="42" t="s">
        <x:v>165</x:v>
      </x:c>
      <x:c r="B16" s="43" t="s">
        <x:v>165</x:v>
      </x:c>
      <x:c r="C16" s="43" t="s">
        <x:v>165</x:v>
      </x:c>
      <x:c r="D16" s="43" t="s">
        <x:v>165</x:v>
      </x:c>
      <x:c r="E16" s="43" t="s">
        <x:v>165</x:v>
      </x:c>
      <x:c r="F16" s="43" t="s">
        <x:v>165</x:v>
      </x:c>
      <x:c r="G16" s="43" t="s">
        <x:v>165</x:v>
      </x:c>
      <x:c r="H16" s="43" t="s">
        <x:v>165</x:v>
      </x:c>
      <x:c r="I16" s="43" t="s">
        <x:v>165</x:v>
      </x:c>
      <x:c r="J16" s="44" t="s">
        <x:v>165</x:v>
      </x:c>
    </x:row>
    <x:row r="17" ht="40" customHeight="1">
      <x:c r="A17" s="45" t="s">
        <x:v>165</x:v>
      </x:c>
      <x:c r="B17" s="46" t="s">
        <x:v>165</x:v>
      </x:c>
      <x:c r="C17" s="46" t="s">
        <x:v>165</x:v>
      </x:c>
      <x:c r="D17" s="46" t="s">
        <x:v>165</x:v>
      </x:c>
      <x:c r="E17" s="46" t="s">
        <x:v>165</x:v>
      </x:c>
      <x:c r="F17" s="46" t="s">
        <x:v>165</x:v>
      </x:c>
      <x:c r="G17" s="46" t="s">
        <x:v>165</x:v>
      </x:c>
      <x:c r="H17" s="46" t="s">
        <x:v>165</x:v>
      </x:c>
      <x:c r="I17" s="46" t="s">
        <x:v>165</x:v>
      </x:c>
      <x:c r="J17" s="47" t="s">
        <x:v>165</x:v>
      </x:c>
    </x:row>
    <x:row r="18" ht="40" customHeight="1">
      <x:c r="A18" s="48" t="s">
        <x:v>165</x:v>
      </x:c>
      <x:c r="B18" s="49" t="s">
        <x:v>165</x:v>
      </x:c>
      <x:c r="C18" s="49" t="s">
        <x:v>165</x:v>
      </x:c>
      <x:c r="D18" s="49" t="s">
        <x:v>165</x:v>
      </x:c>
      <x:c r="E18" s="49" t="s">
        <x:v>165</x:v>
      </x:c>
      <x:c r="F18" s="49" t="s">
        <x:v>165</x:v>
      </x:c>
      <x:c r="G18" s="49" t="s">
        <x:v>165</x:v>
      </x:c>
      <x:c r="H18" s="49" t="s">
        <x:v>165</x:v>
      </x:c>
      <x:c r="I18" s="49" t="s">
        <x:v>165</x:v>
      </x:c>
      <x:c r="J18" s="50" t="s">
        <x:v>165</x:v>
      </x:c>
    </x:row>
    <x:row r="19">
      <x:c r="A19" s="17"/>
      <x:c r="B19" s="17"/>
      <x:c r="C19" s="17"/>
      <x:c r="D19" s="17"/>
      <x:c r="E19" s="17"/>
      <x:c r="F19" s="17"/>
      <x:c r="G19" s="17"/>
      <x:c r="H19" s="17"/>
      <x:c r="I19" s="17"/>
      <x:c r="J19" s="17"/>
    </x:row>
    <x:row r="20" ht="23" customHeight="1">
      <x:c r="A20" s="32" t="s">
        <x:v>166</x:v>
      </x:c>
      <x:c r="B20" s="32" t="s">
        <x:v>166</x:v>
      </x:c>
      <x:c r="C20" s="32" t="s">
        <x:v>166</x:v>
      </x:c>
      <x:c r="D20" s="32" t="s">
        <x:v>166</x:v>
      </x:c>
      <x:c r="E20" s="32" t="s">
        <x:v>166</x:v>
      </x:c>
      <x:c r="F20" s="32" t="s">
        <x:v>166</x:v>
      </x:c>
      <x:c r="G20" s="32" t="s">
        <x:v>166</x:v>
      </x:c>
      <x:c r="H20" s="32" t="s">
        <x:v>166</x:v>
      </x:c>
      <x:c r="I20" s="32" t="s">
        <x:v>166</x:v>
      </x:c>
      <x:c r="J20" s="32" t="s">
        <x:v>166</x:v>
      </x:c>
    </x:row>
    <x:row r="21" ht="30" customHeight="1">
      <x:c r="A21" s="19" t="s">
        <x:v>167</x:v>
      </x:c>
      <x:c r="B21" s="19" t="s">
        <x:v>168</x:v>
      </x:c>
      <x:c r="C21" s="17"/>
      <x:c r="D21" s="17"/>
      <x:c r="E21" s="17"/>
      <x:c r="F21" s="17"/>
      <x:c r="G21" s="17"/>
      <x:c r="H21" s="17"/>
      <x:c r="I21" s="17"/>
      <x:c r="J21" s="17"/>
    </x:row>
    <x:row r="22" ht="60">
      <x:c r="A22" s="1" t="s">
        <x:v>169</x:v>
      </x:c>
      <x:c r="B22" s="1" t="s">
        <x:v>170</x:v>
      </x:c>
      <x:c r="C22" s="17"/>
      <x:c r="D22" s="17"/>
      <x:c r="E22" s="17"/>
      <x:c r="F22" s="17"/>
      <x:c r="G22" s="17"/>
      <x:c r="H22" s="17"/>
      <x:c r="I22" s="17"/>
      <x:c r="J22" s="17"/>
    </x:row>
    <x:row r="23" ht="45">
      <x:c r="A23" s="1" t="s">
        <x:v>171</x:v>
      </x:c>
      <x:c r="B23" s="1" t="s">
        <x:v>172</x:v>
      </x:c>
      <x:c r="C23" s="17"/>
      <x:c r="D23" s="17"/>
      <x:c r="E23" s="17"/>
      <x:c r="F23" s="17"/>
      <x:c r="G23" s="17"/>
      <x:c r="H23" s="17"/>
      <x:c r="I23" s="17"/>
      <x:c r="J23" s="17"/>
    </x:row>
    <x:row r="24" ht="45">
      <x:c r="A24" s="1" t="s">
        <x:v>173</x:v>
      </x:c>
      <x:c r="B24" s="1" t="s">
        <x:v>174</x:v>
      </x:c>
      <x:c r="C24" s="17"/>
      <x:c r="D24" s="17"/>
      <x:c r="E24" s="17"/>
      <x:c r="F24" s="17"/>
      <x:c r="G24" s="17"/>
      <x:c r="H24" s="17"/>
      <x:c r="I24" s="17"/>
      <x:c r="J24" s="17"/>
    </x:row>
    <x:row r="25" ht="75">
      <x:c r="A25" s="1" t="s">
        <x:v>175</x:v>
      </x:c>
      <x:c r="B25" s="1" t="s">
        <x:v>176</x:v>
      </x:c>
      <x:c r="C25" s="17"/>
      <x:c r="D25" s="17"/>
      <x:c r="E25" s="17"/>
      <x:c r="F25" s="17"/>
      <x:c r="G25" s="17"/>
      <x:c r="H25" s="17"/>
      <x:c r="I25" s="17"/>
      <x:c r="J25" s="17"/>
    </x:row>
  </x:sheetData>
  <x:mergeCells>
    <x:mergeCell ref="A20:J20"/>
    <x:mergeCell ref="A1:J1"/>
    <x:mergeCell ref="A2:J2"/>
    <x:mergeCell ref="A4:J4"/>
    <x:mergeCell ref="A15:J15"/>
    <x:mergeCell ref="A16:J18"/>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10" defaultColWidth="8.83203125" defaultRowHeight="14"/>
  <x:cols>
    <x:col min="1" max="1" width="9" customWidth="1"/>
    <x:col min="2" max="2" width="34" customWidth="1"/>
    <x:col min="3" max="3" width="16" customWidth="1"/>
    <x:col min="4" max="4" width="26" customWidth="1"/>
    <x:col min="5" max="5" width="18" customWidth="1"/>
    <x:col min="6" max="6" width="13" customWidth="1"/>
    <x:col min="7" max="7" width="30" customWidth="1"/>
    <x:col min="8" max="8" width="48" customWidth="1"/>
    <x:col min="9" max="9" width="25" customWidth="1"/>
    <x:col min="10" max="10" width="35" customWidth="1"/>
  </x:cols>
  <x:sheetData>
    <x:row r="1" ht="31" customHeight="1">
      <x:c r="A1" s="20" t="s">
        <x:v>177</x:v>
      </x:c>
      <x:c r="B1" s="20"/>
      <x:c r="C1" s="20"/>
      <x:c r="D1" s="20"/>
      <x:c r="E1" s="20"/>
      <x:c r="F1" s="20"/>
      <x:c r="G1" s="20"/>
      <x:c r="H1" s="20"/>
      <x:c r="I1" s="20"/>
      <x:c r="J1" s="20"/>
    </x:row>
    <x:row r="2" ht="30" customHeight="1">
      <x:c r="A2" s="21" t="s">
        <x:v>178</x:v>
      </x:c>
      <x:c r="B2" s="21"/>
      <x:c r="C2" s="21"/>
      <x:c r="D2" s="21"/>
      <x:c r="E2" s="21"/>
      <x:c r="F2" s="21"/>
      <x:c r="G2" s="21"/>
      <x:c r="H2" s="21"/>
      <x:c r="I2" s="21"/>
      <x:c r="J2" s="21"/>
    </x:row>
    <x:row r="3">
      <x:c r="A3" s="17"/>
      <x:c r="B3" s="17"/>
      <x:c r="C3" s="17"/>
      <x:c r="D3" s="17"/>
      <x:c r="E3" s="17"/>
      <x:c r="F3" s="17"/>
      <x:c r="G3" s="17"/>
      <x:c r="H3" s="17"/>
      <x:c r="I3" s="17"/>
      <x:c r="J3" s="17"/>
    </x:row>
    <x:row r="4" ht="23" customHeight="1">
      <x:c r="A4" s="22" t="s">
        <x:v>179</x:v>
      </x:c>
      <x:c r="B4" s="22" t="s">
        <x:v>179</x:v>
      </x:c>
      <x:c r="C4" s="22" t="s">
        <x:v>179</x:v>
      </x:c>
      <x:c r="D4" s="22" t="s">
        <x:v>179</x:v>
      </x:c>
      <x:c r="E4" s="22" t="s">
        <x:v>179</x:v>
      </x:c>
      <x:c r="F4" s="22" t="s">
        <x:v>179</x:v>
      </x:c>
      <x:c r="G4" s="22" t="s">
        <x:v>179</x:v>
      </x:c>
      <x:c r="H4" s="22" t="s">
        <x:v>179</x:v>
      </x:c>
      <x:c r="I4" s="22" t="s">
        <x:v>179</x:v>
      </x:c>
      <x:c r="J4" s="22" t="s">
        <x:v>179</x:v>
      </x:c>
    </x:row>
    <x:row r="5" ht="30" customHeight="1">
      <x:c r="A5" s="19" t="s">
        <x:v>180</x:v>
      </x:c>
      <x:c r="B5" s="19" t="s">
        <x:v>181</x:v>
      </x:c>
      <x:c r="C5" s="19" t="s">
        <x:v>182</x:v>
      </x:c>
      <x:c r="D5" s="19" t="s">
        <x:v>183</x:v>
      </x:c>
      <x:c r="E5" s="19" t="s">
        <x:v>184</x:v>
      </x:c>
      <x:c r="F5" s="19" t="s">
        <x:v>185</x:v>
      </x:c>
      <x:c r="G5" s="19" t="s">
        <x:v>186</x:v>
      </x:c>
      <x:c r="H5" s="19" t="s">
        <x:v>187</x:v>
      </x:c>
      <x:c r="I5" s="19" t="s">
        <x:v>188</x:v>
      </x:c>
      <x:c r="J5" s="19" t="s">
        <x:v>189</x:v>
      </x:c>
    </x:row>
    <x:row r="6" ht="65" customHeight="1">
      <x:c r="A6" s="1" t="s">
        <x:v>190</x:v>
      </x:c>
      <x:c r="B6" s="1" t="s">
        <x:v>191</x:v>
      </x:c>
      <x:c r="C6" s="1" t="s">
        <x:v>192</x:v>
      </x:c>
      <x:c r="D6" s="1" t="s">
        <x:v>193</x:v>
      </x:c>
      <x:c r="E6" s="3">
        <x:v>20</x:v>
      </x:c>
      <x:c r="F6" s="1" t="s">
        <x:v>112</x:v>
      </x:c>
      <x:c r="G6" s="1" t="s">
        <x:v>194</x:v>
      </x:c>
      <x:c r="H6" s="1" t="s">
        <x:v>195</x:v>
      </x:c>
      <x:c r="I6" s="1" t="s">
        <x:v>196</x:v>
      </x:c>
      <x:c r="J6" s="1" t="s">
        <x:v>197</x:v>
      </x:c>
    </x:row>
    <x:row r="7" ht="65" customHeight="1">
      <x:c r="A7" s="1" t="s">
        <x:v>198</x:v>
      </x:c>
      <x:c r="B7" s="1" t="s">
        <x:v>199</x:v>
      </x:c>
      <x:c r="C7" s="1" t="s">
        <x:v>192</x:v>
      </x:c>
      <x:c r="D7" s="1" t="s">
        <x:v>200</x:v>
      </x:c>
      <x:c r="E7" s="3">
        <x:v>1</x:v>
      </x:c>
      <x:c r="F7" s="1" t="s">
        <x:v>112</x:v>
      </x:c>
      <x:c r="G7" s="1" t="s">
        <x:v>201</x:v>
      </x:c>
      <x:c r="H7" s="1" t="s">
        <x:v>202</x:v>
      </x:c>
      <x:c r="I7" s="1" t="s">
        <x:v>203</x:v>
      </x:c>
      <x:c r="J7" s="1" t="s">
        <x:v>197</x:v>
      </x:c>
    </x:row>
    <x:row r="8" ht="65" customHeight="1">
      <x:c r="A8" s="1" t="s">
        <x:v>204</x:v>
      </x:c>
      <x:c r="B8" s="1" t="s">
        <x:v>205</x:v>
      </x:c>
      <x:c r="C8" s="1" t="s">
        <x:v>206</x:v>
      </x:c>
      <x:c r="D8" s="1" t="s">
        <x:v>207</x:v>
      </x:c>
      <x:c r="E8" s="1" t="s">
        <x:v>208</x:v>
      </x:c>
      <x:c r="F8" s="1" t="s">
        <x:v>112</x:v>
      </x:c>
      <x:c r="G8" s="1" t="s">
        <x:v>209</x:v>
      </x:c>
      <x:c r="H8" s="1" t="s">
        <x:v>210</x:v>
      </x:c>
      <x:c r="I8" s="1" t="s">
        <x:v>211</x:v>
      </x:c>
      <x:c r="J8" s="1" t="s">
        <x:v>197</x:v>
      </x:c>
    </x:row>
    <x:row r="9" ht="65" customHeight="1">
      <x:c r="A9" s="1" t="s">
        <x:v>212</x:v>
      </x:c>
      <x:c r="B9" s="1" t="s">
        <x:v>213</x:v>
      </x:c>
      <x:c r="C9" s="1" t="s">
        <x:v>214</x:v>
      </x:c>
      <x:c r="D9" s="1" t="s">
        <x:v>215</x:v>
      </x:c>
      <x:c r="E9" s="1" t="s">
        <x:v>121</x:v>
      </x:c>
      <x:c r="F9" s="1" t="s">
        <x:v>112</x:v>
      </x:c>
      <x:c r="G9" s="1" t="s">
        <x:v>201</x:v>
      </x:c>
      <x:c r="H9" s="1" t="s">
        <x:v>216</x:v>
      </x:c>
      <x:c r="I9" s="1" t="s">
        <x:v>211</x:v>
      </x:c>
      <x:c r="J9" s="1" t="s">
        <x:v>217</x:v>
      </x:c>
    </x:row>
    <x:row r="10" ht="65" customHeight="1">
      <x:c r="A10" s="1" t="s">
        <x:v>218</x:v>
      </x:c>
      <x:c r="B10" s="1" t="s">
        <x:v>219</x:v>
      </x:c>
      <x:c r="C10" s="1" t="s">
        <x:v>214</x:v>
      </x:c>
      <x:c r="D10" s="1" t="s">
        <x:v>215</x:v>
      </x:c>
      <x:c r="E10" s="1" t="s">
        <x:v>121</x:v>
      </x:c>
      <x:c r="F10" s="1" t="s">
        <x:v>112</x:v>
      </x:c>
      <x:c r="G10" s="1" t="s">
        <x:v>201</x:v>
      </x:c>
      <x:c r="H10" s="1" t="s">
        <x:v>220</x:v>
      </x:c>
      <x:c r="I10" s="1" t="s">
        <x:v>211</x:v>
      </x:c>
      <x:c r="J10" s="1" t="s">
        <x:v>217</x:v>
      </x:c>
    </x:row>
    <x:row r="11" ht="65" customHeight="1">
      <x:c r="A11" s="1" t="s">
        <x:v>221</x:v>
      </x:c>
      <x:c r="B11" s="1" t="s">
        <x:v>222</x:v>
      </x:c>
      <x:c r="C11" s="1" t="s">
        <x:v>214</x:v>
      </x:c>
      <x:c r="D11" s="1" t="s">
        <x:v>215</x:v>
      </x:c>
      <x:c r="E11" s="1" t="s">
        <x:v>121</x:v>
      </x:c>
      <x:c r="F11" s="1" t="s">
        <x:v>112</x:v>
      </x:c>
      <x:c r="G11" s="1" t="s">
        <x:v>201</x:v>
      </x:c>
      <x:c r="H11" s="1" t="s">
        <x:v>223</x:v>
      </x:c>
      <x:c r="I11" s="1" t="s">
        <x:v>211</x:v>
      </x:c>
      <x:c r="J11" s="1" t="s">
        <x:v>217</x:v>
      </x:c>
    </x:row>
    <x:row r="12" ht="65" customHeight="1">
      <x:c r="A12" s="1" t="s">
        <x:v>224</x:v>
      </x:c>
      <x:c r="B12" s="1" t="s">
        <x:v>225</x:v>
      </x:c>
      <x:c r="C12" s="1" t="s">
        <x:v>214</x:v>
      </x:c>
      <x:c r="D12" s="1" t="s">
        <x:v>215</x:v>
      </x:c>
      <x:c r="E12" s="1" t="s">
        <x:v>121</x:v>
      </x:c>
      <x:c r="F12" s="1" t="s">
        <x:v>112</x:v>
      </x:c>
      <x:c r="G12" s="1" t="s">
        <x:v>201</x:v>
      </x:c>
      <x:c r="H12" s="1" t="s">
        <x:v>226</x:v>
      </x:c>
      <x:c r="I12" s="1" t="s">
        <x:v>211</x:v>
      </x:c>
      <x:c r="J12" s="1" t="s">
        <x:v>217</x:v>
      </x:c>
    </x:row>
    <x:row r="13" ht="65" customHeight="1">
      <x:c r="A13" s="1" t="s">
        <x:v>227</x:v>
      </x:c>
      <x:c r="B13" s="1" t="s">
        <x:v>228</x:v>
      </x:c>
      <x:c r="C13" s="1" t="s">
        <x:v>214</x:v>
      </x:c>
      <x:c r="D13" s="1" t="s">
        <x:v>215</x:v>
      </x:c>
      <x:c r="E13" s="1" t="s">
        <x:v>121</x:v>
      </x:c>
      <x:c r="F13" s="1" t="s">
        <x:v>112</x:v>
      </x:c>
      <x:c r="G13" s="1" t="s">
        <x:v>201</x:v>
      </x:c>
      <x:c r="H13" s="1" t="s">
        <x:v>229</x:v>
      </x:c>
      <x:c r="I13" s="1" t="s">
        <x:v>211</x:v>
      </x:c>
      <x:c r="J13" s="1" t="s">
        <x:v>217</x:v>
      </x:c>
    </x:row>
    <x:row r="14" ht="65" customHeight="1">
      <x:c r="A14" s="1" t="s">
        <x:v>230</x:v>
      </x:c>
      <x:c r="B14" s="1" t="s">
        <x:v>231</x:v>
      </x:c>
      <x:c r="C14" s="1" t="s">
        <x:v>214</x:v>
      </x:c>
      <x:c r="D14" s="1" t="s">
        <x:v>215</x:v>
      </x:c>
      <x:c r="E14" s="1" t="s">
        <x:v>121</x:v>
      </x:c>
      <x:c r="F14" s="1" t="s">
        <x:v>112</x:v>
      </x:c>
      <x:c r="G14" s="1" t="s">
        <x:v>201</x:v>
      </x:c>
      <x:c r="H14" s="1" t="s">
        <x:v>232</x:v>
      </x:c>
      <x:c r="I14" s="1" t="s">
        <x:v>211</x:v>
      </x:c>
      <x:c r="J14" s="1" t="s">
        <x:v>217</x:v>
      </x:c>
    </x:row>
    <x:row r="15" ht="65" customHeight="1">
      <x:c r="A15" s="1" t="s">
        <x:v>233</x:v>
      </x:c>
      <x:c r="B15" s="1" t="s">
        <x:v>234</x:v>
      </x:c>
      <x:c r="C15" s="1" t="s">
        <x:v>214</x:v>
      </x:c>
      <x:c r="D15" s="1" t="s">
        <x:v>215</x:v>
      </x:c>
      <x:c r="E15" s="1" t="s">
        <x:v>121</x:v>
      </x:c>
      <x:c r="F15" s="1" t="s">
        <x:v>112</x:v>
      </x:c>
      <x:c r="G15" s="1" t="s">
        <x:v>201</x:v>
      </x:c>
      <x:c r="H15" s="1" t="s">
        <x:v>235</x:v>
      </x:c>
      <x:c r="I15" s="1" t="s">
        <x:v>211</x:v>
      </x:c>
      <x:c r="J15" s="1" t="s">
        <x:v>217</x:v>
      </x:c>
    </x:row>
    <x:row r="16" ht="65" customHeight="1">
      <x:c r="A16" s="1" t="s">
        <x:v>236</x:v>
      </x:c>
      <x:c r="B16" s="1" t="s">
        <x:v>237</x:v>
      </x:c>
      <x:c r="C16" s="1" t="s">
        <x:v>214</x:v>
      </x:c>
      <x:c r="D16" s="1" t="s">
        <x:v>215</x:v>
      </x:c>
      <x:c r="E16" s="1" t="s">
        <x:v>121</x:v>
      </x:c>
      <x:c r="F16" s="1" t="s">
        <x:v>112</x:v>
      </x:c>
      <x:c r="G16" s="1" t="s">
        <x:v>201</x:v>
      </x:c>
      <x:c r="H16" s="1" t="s">
        <x:v>238</x:v>
      </x:c>
      <x:c r="I16" s="1" t="s">
        <x:v>211</x:v>
      </x:c>
      <x:c r="J16" s="1" t="s">
        <x:v>217</x:v>
      </x:c>
    </x:row>
    <x:row r="17" ht="65" customHeight="1">
      <x:c r="A17" s="1" t="s">
        <x:v>239</x:v>
      </x:c>
      <x:c r="B17" s="1" t="s">
        <x:v>240</x:v>
      </x:c>
      <x:c r="C17" s="1" t="s">
        <x:v>214</x:v>
      </x:c>
      <x:c r="D17" s="1" t="s">
        <x:v>215</x:v>
      </x:c>
      <x:c r="E17" s="1" t="s">
        <x:v>121</x:v>
      </x:c>
      <x:c r="F17" s="1" t="s">
        <x:v>112</x:v>
      </x:c>
      <x:c r="G17" s="1" t="s">
        <x:v>201</x:v>
      </x:c>
      <x:c r="H17" s="1" t="s">
        <x:v>241</x:v>
      </x:c>
      <x:c r="I17" s="1" t="s">
        <x:v>211</x:v>
      </x:c>
      <x:c r="J17" s="1" t="s">
        <x:v>217</x:v>
      </x:c>
    </x:row>
    <x:row r="18" ht="65" customHeight="1">
      <x:c r="A18" s="1" t="s">
        <x:v>242</x:v>
      </x:c>
      <x:c r="B18" s="1" t="s">
        <x:v>243</x:v>
      </x:c>
      <x:c r="C18" s="1" t="s">
        <x:v>214</x:v>
      </x:c>
      <x:c r="D18" s="1" t="s">
        <x:v>215</x:v>
      </x:c>
      <x:c r="E18" s="1" t="s">
        <x:v>121</x:v>
      </x:c>
      <x:c r="F18" s="1" t="s">
        <x:v>112</x:v>
      </x:c>
      <x:c r="G18" s="1" t="s">
        <x:v>201</x:v>
      </x:c>
      <x:c r="H18" s="1" t="s">
        <x:v>244</x:v>
      </x:c>
      <x:c r="I18" s="1" t="s">
        <x:v>211</x:v>
      </x:c>
      <x:c r="J18" s="1" t="s">
        <x:v>217</x:v>
      </x:c>
    </x:row>
    <x:row r="19" ht="65" customHeight="1">
      <x:c r="A19" s="1" t="s">
        <x:v>245</x:v>
      </x:c>
      <x:c r="B19" s="1" t="s">
        <x:v>246</x:v>
      </x:c>
      <x:c r="C19" s="1" t="s">
        <x:v>247</x:v>
      </x:c>
      <x:c r="D19" s="1" t="s">
        <x:v>248</x:v>
      </x:c>
      <x:c r="E19" s="4">
        <x:v>112.5</x:v>
      </x:c>
      <x:c r="F19" s="1" t="s">
        <x:v>249</x:v>
      </x:c>
      <x:c r="G19" s="1" t="s">
        <x:v>250</x:v>
      </x:c>
      <x:c r="H19" s="1" t="s">
        <x:v>251</x:v>
      </x:c>
      <x:c r="I19" s="1" t="s">
        <x:v>252</x:v>
      </x:c>
      <x:c r="J19" s="1" t="s">
        <x:v>253</x:v>
      </x:c>
    </x:row>
    <x:row r="20">
      <x:c r="A20" s="17"/>
      <x:c r="B20" s="17"/>
      <x:c r="C20" s="17"/>
      <x:c r="D20" s="17"/>
      <x:c r="E20" s="17"/>
      <x:c r="F20" s="17"/>
      <x:c r="G20" s="17"/>
      <x:c r="H20" s="17"/>
      <x:c r="I20" s="17"/>
      <x:c r="J20" s="17"/>
    </x:row>
    <x:row r="21" ht="40" customHeight="1">
      <x:c r="A21" s="33" t="s">
        <x:v>254</x:v>
      </x:c>
      <x:c r="B21" s="34" t="s">
        <x:v>254</x:v>
      </x:c>
      <x:c r="C21" s="34" t="s">
        <x:v>254</x:v>
      </x:c>
      <x:c r="D21" s="34" t="s">
        <x:v>254</x:v>
      </x:c>
      <x:c r="E21" s="34" t="s">
        <x:v>254</x:v>
      </x:c>
      <x:c r="F21" s="34" t="s">
        <x:v>254</x:v>
      </x:c>
      <x:c r="G21" s="34" t="s">
        <x:v>254</x:v>
      </x:c>
      <x:c r="H21" s="34" t="s">
        <x:v>254</x:v>
      </x:c>
      <x:c r="I21" s="34" t="s">
        <x:v>254</x:v>
      </x:c>
      <x:c r="J21" s="35" t="s">
        <x:v>254</x:v>
      </x:c>
    </x:row>
    <x:row r="22" ht="40" customHeight="1">
      <x:c r="A22" s="36" t="s">
        <x:v>254</x:v>
      </x:c>
      <x:c r="B22" s="37" t="s">
        <x:v>254</x:v>
      </x:c>
      <x:c r="C22" s="37" t="s">
        <x:v>254</x:v>
      </x:c>
      <x:c r="D22" s="37" t="s">
        <x:v>254</x:v>
      </x:c>
      <x:c r="E22" s="37" t="s">
        <x:v>254</x:v>
      </x:c>
      <x:c r="F22" s="37" t="s">
        <x:v>254</x:v>
      </x:c>
      <x:c r="G22" s="37" t="s">
        <x:v>254</x:v>
      </x:c>
      <x:c r="H22" s="37" t="s">
        <x:v>254</x:v>
      </x:c>
      <x:c r="I22" s="37" t="s">
        <x:v>254</x:v>
      </x:c>
      <x:c r="J22" s="38" t="s">
        <x:v>254</x:v>
      </x:c>
    </x:row>
    <x:row r="23" ht="40" customHeight="1">
      <x:c r="A23" s="39" t="s">
        <x:v>254</x:v>
      </x:c>
      <x:c r="B23" s="40" t="s">
        <x:v>254</x:v>
      </x:c>
      <x:c r="C23" s="40" t="s">
        <x:v>254</x:v>
      </x:c>
      <x:c r="D23" s="40" t="s">
        <x:v>254</x:v>
      </x:c>
      <x:c r="E23" s="40" t="s">
        <x:v>254</x:v>
      </x:c>
      <x:c r="F23" s="40" t="s">
        <x:v>254</x:v>
      </x:c>
      <x:c r="G23" s="40" t="s">
        <x:v>254</x:v>
      </x:c>
      <x:c r="H23" s="40" t="s">
        <x:v>254</x:v>
      </x:c>
      <x:c r="I23" s="40" t="s">
        <x:v>254</x:v>
      </x:c>
      <x:c r="J23" s="41" t="s">
        <x:v>254</x:v>
      </x:c>
    </x:row>
  </x:sheetData>
  <x:mergeCells>
    <x:mergeCell ref="A1:J1"/>
    <x:mergeCell ref="A2:J2"/>
    <x:mergeCell ref="A4:J4"/>
    <x:mergeCell ref="A21:J2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10" defaultColWidth="8.83203125" defaultRowHeight="14"/>
  <x:cols>
    <x:col min="1" max="1" width="20" customWidth="1"/>
    <x:col min="2" max="2" width="30" customWidth="1"/>
    <x:col min="3" max="3" width="36" customWidth="1"/>
    <x:col min="4" max="4" width="30" customWidth="1"/>
    <x:col min="5" max="5" width="26" customWidth="1"/>
    <x:col min="6" max="7" width="25" customWidth="1"/>
    <x:col min="8" max="8" width="38" customWidth="1"/>
    <x:col min="9" max="10" width="33" customWidth="1"/>
  </x:cols>
  <x:sheetData>
    <x:row r="1" ht="31" customHeight="1">
      <x:c r="A1" s="20" t="s">
        <x:v>255</x:v>
      </x:c>
      <x:c r="B1" s="20"/>
      <x:c r="C1" s="20"/>
      <x:c r="D1" s="20"/>
      <x:c r="E1" s="20"/>
      <x:c r="F1" s="20"/>
      <x:c r="G1" s="20"/>
      <x:c r="H1" s="20"/>
      <x:c r="I1" s="20"/>
      <x:c r="J1" s="20"/>
    </x:row>
    <x:row r="2" ht="30" customHeight="1">
      <x:c r="A2" s="21" t="s">
        <x:v>256</x:v>
      </x:c>
      <x:c r="B2" s="21"/>
      <x:c r="C2" s="21"/>
      <x:c r="D2" s="21"/>
      <x:c r="E2" s="21"/>
      <x:c r="F2" s="21"/>
      <x:c r="G2" s="21"/>
      <x:c r="H2" s="21"/>
      <x:c r="I2" s="21"/>
      <x:c r="J2" s="21"/>
    </x:row>
    <x:row r="3">
      <x:c r="A3" s="17"/>
      <x:c r="B3" s="17"/>
      <x:c r="C3" s="17"/>
      <x:c r="D3" s="17"/>
      <x:c r="E3" s="17"/>
      <x:c r="F3" s="17"/>
      <x:c r="G3" s="17"/>
      <x:c r="H3" s="17"/>
      <x:c r="I3" s="17"/>
      <x:c r="J3" s="17"/>
    </x:row>
    <x:row r="4" ht="23" customHeight="1">
      <x:c r="A4" s="22" t="s">
        <x:v>257</x:v>
      </x:c>
      <x:c r="B4" s="22" t="s">
        <x:v>257</x:v>
      </x:c>
      <x:c r="C4" s="22" t="s">
        <x:v>257</x:v>
      </x:c>
      <x:c r="D4" s="22" t="s">
        <x:v>257</x:v>
      </x:c>
      <x:c r="E4" s="22" t="s">
        <x:v>257</x:v>
      </x:c>
      <x:c r="F4" s="22" t="s">
        <x:v>257</x:v>
      </x:c>
      <x:c r="G4" s="22" t="s">
        <x:v>257</x:v>
      </x:c>
      <x:c r="H4" s="22" t="s">
        <x:v>257</x:v>
      </x:c>
      <x:c r="I4" s="22" t="s">
        <x:v>257</x:v>
      </x:c>
      <x:c r="J4" s="22" t="s">
        <x:v>257</x:v>
      </x:c>
    </x:row>
    <x:row r="5" ht="30" customHeight="1">
      <x:c r="A5" s="19" t="s">
        <x:v>258</x:v>
      </x:c>
      <x:c r="B5" s="19" t="s">
        <x:v>259</x:v>
      </x:c>
      <x:c r="C5" s="19" t="s">
        <x:v>260</x:v>
      </x:c>
      <x:c r="D5" s="19" t="s">
        <x:v>261</x:v>
      </x:c>
      <x:c r="E5" s="19" t="s">
        <x:v>262</x:v>
      </x:c>
      <x:c r="F5" s="19" t="s">
        <x:v>263</x:v>
      </x:c>
      <x:c r="G5" s="19" t="s">
        <x:v>264</x:v>
      </x:c>
      <x:c r="H5" s="19" t="s">
        <x:v>265</x:v>
      </x:c>
      <x:c r="I5" s="19" t="s">
        <x:v>266</x:v>
      </x:c>
      <x:c r="J5" s="19" t="s">
        <x:v>182</x:v>
      </x:c>
    </x:row>
    <x:row r="6" ht="82" customHeight="1">
      <x:c r="A6" s="1">
        <x:v>1</x:v>
      </x:c>
      <x:c r="B6" s="1" t="s">
        <x:v>267</x:v>
      </x:c>
      <x:c r="C6" s="1" t="s">
        <x:v>268</x:v>
      </x:c>
      <x:c r="D6" s="1" t="s">
        <x:v>269</x:v>
      </x:c>
      <x:c r="E6" s="1" t="s">
        <x:v>270</x:v>
      </x:c>
      <x:c r="F6" s="1" t="s">
        <x:v>271</x:v>
      </x:c>
      <x:c r="G6" s="1" t="s">
        <x:v>272</x:v>
      </x:c>
      <x:c r="H6" s="1" t="s">
        <x:v>273</x:v>
      </x:c>
      <x:c r="I6" s="1" t="s">
        <x:v>274</x:v>
      </x:c>
      <x:c r="J6" s="1" t="s">
        <x:v>275</x:v>
      </x:c>
    </x:row>
    <x:row r="7" ht="82" customHeight="1">
      <x:c r="A7" s="1">
        <x:v>2</x:v>
      </x:c>
      <x:c r="B7" s="1" t="s">
        <x:v>276</x:v>
      </x:c>
      <x:c r="C7" s="1" t="s">
        <x:v>277</x:v>
      </x:c>
      <x:c r="D7" s="1" t="s">
        <x:v>278</x:v>
      </x:c>
      <x:c r="E7" s="1" t="s">
        <x:v>63</x:v>
      </x:c>
      <x:c r="F7" s="1" t="s">
        <x:v>279</x:v>
      </x:c>
      <x:c r="G7" s="1" t="s">
        <x:v>280</x:v>
      </x:c>
      <x:c r="H7" s="1" t="s">
        <x:v>281</x:v>
      </x:c>
      <x:c r="I7" s="1" t="s">
        <x:v>282</x:v>
      </x:c>
      <x:c r="J7" s="1" t="s">
        <x:v>283</x:v>
      </x:c>
    </x:row>
    <x:row r="8" ht="82" customHeight="1">
      <x:c r="A8" s="1">
        <x:v>3</x:v>
      </x:c>
      <x:c r="B8" s="1" t="s">
        <x:v>284</x:v>
      </x:c>
      <x:c r="C8" s="1" t="s">
        <x:v>285</x:v>
      </x:c>
      <x:c r="D8" s="1" t="s">
        <x:v>286</x:v>
      </x:c>
      <x:c r="E8" s="1" t="s">
        <x:v>287</x:v>
      </x:c>
      <x:c r="F8" s="1" t="s">
        <x:v>288</x:v>
      </x:c>
      <x:c r="G8" s="1" t="s">
        <x:v>289</x:v>
      </x:c>
      <x:c r="H8" s="1" t="s">
        <x:v>290</x:v>
      </x:c>
      <x:c r="I8" s="1" t="s">
        <x:v>291</x:v>
      </x:c>
      <x:c r="J8" s="1" t="s">
        <x:v>292</x:v>
      </x:c>
    </x:row>
    <x:row r="9" ht="82" customHeight="1">
      <x:c r="A9" s="1">
        <x:v>4</x:v>
      </x:c>
      <x:c r="B9" s="1" t="s">
        <x:v>293</x:v>
      </x:c>
      <x:c r="C9" s="1" t="s">
        <x:v>294</x:v>
      </x:c>
      <x:c r="D9" s="1" t="s">
        <x:v>295</x:v>
      </x:c>
      <x:c r="E9" s="1" t="s">
        <x:v>63</x:v>
      </x:c>
      <x:c r="F9" s="1" t="s">
        <x:v>296</x:v>
      </x:c>
      <x:c r="G9" s="1" t="s">
        <x:v>297</x:v>
      </x:c>
      <x:c r="H9" s="1" t="s">
        <x:v>298</x:v>
      </x:c>
      <x:c r="I9" s="1" t="s">
        <x:v>299</x:v>
      </x:c>
      <x:c r="J9" s="1" t="s">
        <x:v>300</x:v>
      </x:c>
    </x:row>
    <x:row r="10" ht="82" customHeight="1">
      <x:c r="A10" s="1">
        <x:v>5</x:v>
      </x:c>
      <x:c r="B10" s="1" t="s">
        <x:v>301</x:v>
      </x:c>
      <x:c r="C10" s="1" t="s">
        <x:v>302</x:v>
      </x:c>
      <x:c r="D10" s="1" t="s">
        <x:v>303</x:v>
      </x:c>
      <x:c r="E10" s="1" t="s">
        <x:v>304</x:v>
      </x:c>
      <x:c r="F10" s="1" t="s">
        <x:v>305</x:v>
      </x:c>
      <x:c r="G10" s="1" t="s">
        <x:v>306</x:v>
      </x:c>
      <x:c r="H10" s="1" t="s">
        <x:v>307</x:v>
      </x:c>
      <x:c r="I10" s="1" t="s">
        <x:v>308</x:v>
      </x:c>
      <x:c r="J10" s="1" t="s">
        <x:v>309</x:v>
      </x:c>
    </x:row>
    <x:row r="11">
      <x:c r="A11" s="17"/>
      <x:c r="B11" s="17"/>
      <x:c r="C11" s="17"/>
      <x:c r="D11" s="17"/>
      <x:c r="E11" s="17"/>
      <x:c r="F11" s="17"/>
      <x:c r="G11" s="17"/>
      <x:c r="H11" s="17"/>
      <x:c r="I11" s="17"/>
      <x:c r="J11" s="17"/>
    </x:row>
    <x:row r="12" ht="23" customHeight="1">
      <x:c r="A12" s="32" t="s">
        <x:v>310</x:v>
      </x:c>
      <x:c r="B12" s="32" t="s">
        <x:v>310</x:v>
      </x:c>
      <x:c r="C12" s="32" t="s">
        <x:v>310</x:v>
      </x:c>
      <x:c r="D12" s="32" t="s">
        <x:v>310</x:v>
      </x:c>
      <x:c r="E12" s="32" t="s">
        <x:v>310</x:v>
      </x:c>
      <x:c r="F12" s="32" t="s">
        <x:v>310</x:v>
      </x:c>
      <x:c r="G12" s="32" t="s">
        <x:v>310</x:v>
      </x:c>
      <x:c r="H12" s="32" t="s">
        <x:v>310</x:v>
      </x:c>
      <x:c r="I12" s="32" t="s">
        <x:v>310</x:v>
      </x:c>
      <x:c r="J12" s="32" t="s">
        <x:v>310</x:v>
      </x:c>
    </x:row>
    <x:row r="13" ht="30" customHeight="1">
      <x:c r="A13" s="19" t="s">
        <x:v>311</x:v>
      </x:c>
      <x:c r="B13" s="19" t="s">
        <x:v>312</x:v>
      </x:c>
      <x:c r="C13" s="19" t="s">
        <x:v>313</x:v>
      </x:c>
      <x:c r="D13" s="19" t="s">
        <x:v>314</x:v>
      </x:c>
      <x:c r="E13" s="19" t="s">
        <x:v>315</x:v>
      </x:c>
      <x:c r="F13" s="19" t="s">
        <x:v>316</x:v>
      </x:c>
      <x:c r="G13" s="17"/>
      <x:c r="H13" s="17"/>
      <x:c r="I13" s="17"/>
      <x:c r="J13" s="17"/>
    </x:row>
    <x:row r="14" ht="30">
      <x:c r="A14" s="1" t="s">
        <x:v>205</x:v>
      </x:c>
      <x:c r="B14" s="1" t="s">
        <x:v>317</x:v>
      </x:c>
      <x:c r="C14" s="1" t="s">
        <x:v>318</x:v>
      </x:c>
      <x:c r="D14" s="1" t="s">
        <x:v>319</x:v>
      </x:c>
      <x:c r="E14" s="1" t="s">
        <x:v>320</x:v>
      </x:c>
      <x:c r="F14" s="1" t="s">
        <x:v>321</x:v>
      </x:c>
      <x:c r="G14" s="17"/>
      <x:c r="H14" s="17"/>
      <x:c r="I14" s="17"/>
      <x:c r="J14" s="17"/>
    </x:row>
    <x:row r="15" ht="30">
      <x:c r="A15" s="1" t="s">
        <x:v>322</x:v>
      </x:c>
      <x:c r="B15" s="1" t="s">
        <x:v>323</x:v>
      </x:c>
      <x:c r="C15" s="1" t="s">
        <x:v>324</x:v>
      </x:c>
      <x:c r="D15" s="1" t="s">
        <x:v>325</x:v>
      </x:c>
      <x:c r="E15" s="1" t="s">
        <x:v>326</x:v>
      </x:c>
      <x:c r="F15" s="1" t="s">
        <x:v>327</x:v>
      </x:c>
      <x:c r="G15" s="17"/>
      <x:c r="H15" s="17"/>
      <x:c r="I15" s="17"/>
      <x:c r="J15" s="17"/>
    </x:row>
    <x:row r="16" ht="45">
      <x:c r="A16" s="1" t="s">
        <x:v>213</x:v>
      </x:c>
      <x:c r="B16" s="1" t="s">
        <x:v>112</x:v>
      </x:c>
      <x:c r="C16" s="1">
        <x:v>2</x:v>
      </x:c>
      <x:c r="D16" s="1" t="s">
        <x:v>328</x:v>
      </x:c>
      <x:c r="E16" s="1" t="s">
        <x:v>112</x:v>
      </x:c>
      <x:c r="F16" s="1"/>
      <x:c r="G16" s="17"/>
      <x:c r="H16" s="17"/>
      <x:c r="I16" s="17"/>
      <x:c r="J16" s="17"/>
    </x:row>
    <x:row r="17" ht="15">
      <x:c r="A17" s="1" t="s">
        <x:v>219</x:v>
      </x:c>
      <x:c r="B17" s="1" t="s">
        <x:v>112</x:v>
      </x:c>
      <x:c r="C17" s="1">
        <x:v>1</x:v>
      </x:c>
      <x:c r="D17" s="1" t="s">
        <x:v>329</x:v>
      </x:c>
      <x:c r="E17" s="1" t="s">
        <x:v>112</x:v>
      </x:c>
      <x:c r="F17" s="1"/>
      <x:c r="G17" s="17"/>
      <x:c r="H17" s="17"/>
      <x:c r="I17" s="17"/>
      <x:c r="J17" s="17"/>
    </x:row>
    <x:row r="18" ht="30">
      <x:c r="A18" s="1" t="s">
        <x:v>330</x:v>
      </x:c>
      <x:c r="B18" s="1" t="s">
        <x:v>112</x:v>
      </x:c>
      <x:c r="C18" s="1">
        <x:v>1</x:v>
      </x:c>
      <x:c r="D18" s="1" t="s">
        <x:v>331</x:v>
      </x:c>
      <x:c r="E18" s="1" t="s">
        <x:v>112</x:v>
      </x:c>
      <x:c r="F18" s="1"/>
      <x:c r="G18" s="17"/>
      <x:c r="H18" s="17"/>
      <x:c r="I18" s="17"/>
      <x:c r="J18" s="17"/>
    </x:row>
    <x:row r="19" ht="30">
      <x:c r="A19" s="1" t="s">
        <x:v>225</x:v>
      </x:c>
      <x:c r="B19" s="1" t="s">
        <x:v>112</x:v>
      </x:c>
      <x:c r="C19" s="1">
        <x:v>1</x:v>
      </x:c>
      <x:c r="D19" s="1" t="s">
        <x:v>332</x:v>
      </x:c>
      <x:c r="E19" s="1" t="s">
        <x:v>112</x:v>
      </x:c>
      <x:c r="F19" s="1"/>
      <x:c r="G19" s="17"/>
      <x:c r="H19" s="17"/>
      <x:c r="I19" s="17"/>
      <x:c r="J19" s="17"/>
    </x:row>
    <x:row r="20" ht="30">
      <x:c r="A20" s="1" t="s">
        <x:v>228</x:v>
      </x:c>
      <x:c r="B20" s="1" t="s">
        <x:v>112</x:v>
      </x:c>
      <x:c r="C20" s="1">
        <x:v>1</x:v>
      </x:c>
      <x:c r="D20" s="1" t="s">
        <x:v>333</x:v>
      </x:c>
      <x:c r="E20" s="1" t="s">
        <x:v>112</x:v>
      </x:c>
      <x:c r="F20" s="1"/>
      <x:c r="G20" s="17"/>
      <x:c r="H20" s="17"/>
      <x:c r="I20" s="17"/>
      <x:c r="J20" s="17"/>
    </x:row>
    <x:row r="21" ht="30">
      <x:c r="A21" s="1" t="s">
        <x:v>231</x:v>
      </x:c>
      <x:c r="B21" s="1" t="s">
        <x:v>112</x:v>
      </x:c>
      <x:c r="C21" s="1">
        <x:v>2</x:v>
      </x:c>
      <x:c r="D21" s="1" t="s">
        <x:v>334</x:v>
      </x:c>
      <x:c r="E21" s="1" t="s">
        <x:v>112</x:v>
      </x:c>
      <x:c r="F21" s="1"/>
      <x:c r="G21" s="17"/>
      <x:c r="H21" s="17"/>
      <x:c r="I21" s="17"/>
      <x:c r="J21" s="17"/>
    </x:row>
    <x:row r="22" ht="15">
      <x:c r="A22" s="1" t="s">
        <x:v>234</x:v>
      </x:c>
      <x:c r="B22" s="1" t="s">
        <x:v>112</x:v>
      </x:c>
      <x:c r="C22" s="1">
        <x:v>1</x:v>
      </x:c>
      <x:c r="D22" s="1" t="s">
        <x:v>335</x:v>
      </x:c>
      <x:c r="E22" s="1" t="s">
        <x:v>112</x:v>
      </x:c>
      <x:c r="F22" s="1"/>
      <x:c r="G22" s="17"/>
      <x:c r="H22" s="17"/>
      <x:c r="I22" s="17"/>
      <x:c r="J22" s="17"/>
    </x:row>
    <x:row r="23" ht="30">
      <x:c r="A23" s="1" t="s">
        <x:v>336</x:v>
      </x:c>
      <x:c r="B23" s="1" t="s">
        <x:v>112</x:v>
      </x:c>
      <x:c r="C23" s="1">
        <x:v>2</x:v>
      </x:c>
      <x:c r="D23" s="1" t="s">
        <x:v>337</x:v>
      </x:c>
      <x:c r="E23" s="1" t="s">
        <x:v>112</x:v>
      </x:c>
      <x:c r="F23" s="1"/>
      <x:c r="G23" s="17"/>
      <x:c r="H23" s="17"/>
      <x:c r="I23" s="17"/>
      <x:c r="J23" s="17"/>
    </x:row>
    <x:row r="24" ht="30">
      <x:c r="A24" s="1" t="s">
        <x:v>338</x:v>
      </x:c>
      <x:c r="B24" s="1" t="s">
        <x:v>112</x:v>
      </x:c>
      <x:c r="C24" s="1">
        <x:v>1</x:v>
      </x:c>
      <x:c r="D24" s="1" t="s">
        <x:v>339</x:v>
      </x:c>
      <x:c r="E24" s="1" t="s">
        <x:v>112</x:v>
      </x:c>
      <x:c r="F24" s="1"/>
      <x:c r="G24" s="17"/>
      <x:c r="H24" s="17"/>
      <x:c r="I24" s="17"/>
      <x:c r="J24" s="17"/>
    </x:row>
    <x:row r="25" ht="15">
      <x:c r="A25" s="1" t="s">
        <x:v>340</x:v>
      </x:c>
      <x:c r="B25" s="1" t="s">
        <x:v>112</x:v>
      </x:c>
      <x:c r="C25" s="1">
        <x:v>2</x:v>
      </x:c>
      <x:c r="D25" s="1" t="s">
        <x:v>341</x:v>
      </x:c>
      <x:c r="E25" s="1" t="s">
        <x:v>112</x:v>
      </x:c>
      <x:c r="F25" s="1"/>
      <x:c r="G25" s="17"/>
      <x:c r="H25" s="17"/>
      <x:c r="I25" s="17"/>
      <x:c r="J25" s="17"/>
    </x:row>
    <x:row r="26">
      <x:c r="A26" s="17"/>
      <x:c r="B26" s="17"/>
      <x:c r="C26" s="17"/>
      <x:c r="D26" s="17"/>
      <x:c r="E26" s="17"/>
      <x:c r="F26" s="17"/>
      <x:c r="G26" s="17"/>
      <x:c r="H26" s="17"/>
      <x:c r="I26" s="17"/>
      <x:c r="J26" s="17"/>
    </x:row>
    <x:row r="27" ht="23" customHeight="1">
      <x:c r="A27" s="32" t="s">
        <x:v>342</x:v>
      </x:c>
      <x:c r="B27" s="32" t="s">
        <x:v>342</x:v>
      </x:c>
      <x:c r="C27" s="32" t="s">
        <x:v>342</x:v>
      </x:c>
      <x:c r="D27" s="32" t="s">
        <x:v>342</x:v>
      </x:c>
      <x:c r="E27" s="32" t="s">
        <x:v>342</x:v>
      </x:c>
      <x:c r="F27" s="32" t="s">
        <x:v>342</x:v>
      </x:c>
      <x:c r="G27" s="32" t="s">
        <x:v>342</x:v>
      </x:c>
      <x:c r="H27" s="32" t="s">
        <x:v>342</x:v>
      </x:c>
      <x:c r="I27" s="32" t="s">
        <x:v>342</x:v>
      </x:c>
      <x:c r="J27" s="32" t="s">
        <x:v>342</x:v>
      </x:c>
    </x:row>
    <x:row r="28" ht="30" customHeight="1">
      <x:c r="A28" s="19" t="s">
        <x:v>343</x:v>
      </x:c>
      <x:c r="B28" s="19" t="s">
        <x:v>344</x:v>
      </x:c>
      <x:c r="C28" s="19" t="s">
        <x:v>345</x:v>
      </x:c>
      <x:c r="D28" s="19" t="s">
        <x:v>346</x:v>
      </x:c>
      <x:c r="E28" s="17"/>
      <x:c r="F28" s="17"/>
      <x:c r="G28" s="17"/>
      <x:c r="H28" s="17"/>
      <x:c r="I28" s="17"/>
      <x:c r="J28" s="17"/>
    </x:row>
    <x:row r="29" ht="45">
      <x:c r="A29" s="1" t="s">
        <x:v>347</x:v>
      </x:c>
      <x:c r="B29" s="1" t="s">
        <x:v>348</x:v>
      </x:c>
      <x:c r="C29" s="1" t="s">
        <x:v>349</x:v>
      </x:c>
      <x:c r="D29" s="1" t="s">
        <x:v>350</x:v>
      </x:c>
      <x:c r="E29" s="17"/>
      <x:c r="F29" s="17"/>
      <x:c r="G29" s="17"/>
      <x:c r="H29" s="17"/>
      <x:c r="I29" s="17"/>
      <x:c r="J29" s="17"/>
    </x:row>
    <x:row r="30" ht="45">
      <x:c r="A30" s="1" t="s">
        <x:v>351</x:v>
      </x:c>
      <x:c r="B30" s="1" t="str">
        <x:v>Exact annual base price + add-on seats × annual seat price</x:v>
      </x:c>
      <x:c r="C30" s="1" t="str">
        <x:v>$/year</x:v>
      </x:c>
      <x:c r="D30" s="1" t="str">
        <x:v>Uses approved Stripe annual prices; no rounded discount formula.</x:v>
      </x:c>
      <x:c r="E30" s="17"/>
      <x:c r="F30" s="17"/>
      <x:c r="G30" s="17"/>
      <x:c r="H30" s="17"/>
      <x:c r="I30" s="17"/>
      <x:c r="J30" s="17"/>
    </x:row>
    <x:row r="31" ht="30">
      <x:c r="A31" s="1" t="s">
        <x:v>209</x:v>
      </x:c>
      <x:c r="B31" s="1" t="s">
        <x:v>352</x:v>
      </x:c>
      <x:c r="C31" s="1" t="s">
        <x:v>313</x:v>
      </x:c>
      <x:c r="D31" s="1" t="s">
        <x:v>353</x:v>
      </x:c>
      <x:c r="E31" s="17"/>
      <x:c r="F31" s="17"/>
      <x:c r="G31" s="17"/>
      <x:c r="H31" s="17"/>
      <x:c r="I31" s="17"/>
      <x:c r="J31" s="17"/>
    </x:row>
    <x:row r="32" ht="30">
      <x:c r="A32" s="1" t="s">
        <x:v>354</x:v>
      </x:c>
      <x:c r="B32" s="1" t="s">
        <x:v>355</x:v>
      </x:c>
      <x:c r="C32" s="1" t="s">
        <x:v>356</x:v>
      </x:c>
      <x:c r="D32" s="1" t="s">
        <x:v>357</x:v>
      </x:c>
      <x:c r="E32" s="17"/>
      <x:c r="F32" s="17"/>
      <x:c r="G32" s="17"/>
      <x:c r="H32" s="17"/>
      <x:c r="I32" s="17"/>
      <x:c r="J32" s="17"/>
    </x:row>
    <x:row r="33" ht="30">
      <x:c r="A33" s="1" t="s">
        <x:v>250</x:v>
      </x:c>
      <x:c r="B33" s="1" t="s">
        <x:v>302</x:v>
      </x:c>
      <x:c r="C33" s="1" t="s">
        <x:v>358</x:v>
      </x:c>
      <x:c r="D33" s="1" t="s">
        <x:v>359</x:v>
      </x:c>
      <x:c r="E33" s="17"/>
      <x:c r="F33" s="17"/>
      <x:c r="G33" s="17"/>
      <x:c r="H33" s="17"/>
      <x:c r="I33" s="17"/>
      <x:c r="J33" s="17"/>
    </x:row>
  </x:sheetData>
  <x:mergeCells>
    <x:mergeCell ref="A1:J1"/>
    <x:mergeCell ref="A2:J2"/>
    <x:mergeCell ref="A4:J4"/>
    <x:mergeCell ref="A12:J12"/>
    <x:mergeCell ref="A27:J27"/>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10" defaultColWidth="8.83203125" defaultRowHeight="14"/>
  <x:cols>
    <x:col min="1" max="1" width="12" customWidth="1"/>
    <x:col min="2" max="2" width="23" customWidth="1"/>
    <x:col min="3" max="3" width="39" customWidth="1"/>
    <x:col min="4" max="5" width="18" customWidth="1"/>
    <x:col min="6" max="6" width="22" customWidth="1"/>
    <x:col min="7" max="7" width="25" customWidth="1"/>
    <x:col min="8" max="8" width="46" customWidth="1"/>
    <x:col min="9" max="9" width="33" customWidth="1"/>
    <x:col min="10" max="10" width="14" customWidth="1"/>
  </x:cols>
  <x:sheetData>
    <x:row r="1" ht="31" customHeight="1">
      <x:c r="A1" s="20" t="s">
        <x:v>360</x:v>
      </x:c>
      <x:c r="B1" s="20"/>
      <x:c r="C1" s="20"/>
      <x:c r="D1" s="20"/>
      <x:c r="E1" s="20"/>
      <x:c r="F1" s="20"/>
      <x:c r="G1" s="20"/>
      <x:c r="H1" s="20"/>
      <x:c r="I1" s="20"/>
      <x:c r="J1" s="20"/>
    </x:row>
    <x:row r="2" ht="30" customHeight="1">
      <x:c r="A2" s="21" t="s">
        <x:v>361</x:v>
      </x:c>
      <x:c r="B2" s="21"/>
      <x:c r="C2" s="21"/>
      <x:c r="D2" s="21"/>
      <x:c r="E2" s="21"/>
      <x:c r="F2" s="21"/>
      <x:c r="G2" s="21"/>
      <x:c r="H2" s="21"/>
      <x:c r="I2" s="21"/>
      <x:c r="J2" s="21"/>
    </x:row>
    <x:row r="3">
      <x:c r="A3" s="17"/>
      <x:c r="B3" s="17"/>
      <x:c r="C3" s="17"/>
      <x:c r="D3" s="17"/>
      <x:c r="E3" s="17"/>
      <x:c r="F3" s="17"/>
      <x:c r="G3" s="17"/>
      <x:c r="H3" s="17"/>
      <x:c r="I3" s="17"/>
      <x:c r="J3" s="17"/>
    </x:row>
    <x:row r="4" ht="23" customHeight="1">
      <x:c r="A4" s="22" t="s">
        <x:v>362</x:v>
      </x:c>
      <x:c r="B4" s="22" t="s">
        <x:v>362</x:v>
      </x:c>
      <x:c r="C4" s="22" t="s">
        <x:v>362</x:v>
      </x:c>
      <x:c r="D4" s="22" t="s">
        <x:v>362</x:v>
      </x:c>
      <x:c r="E4" s="22" t="s">
        <x:v>362</x:v>
      </x:c>
      <x:c r="F4" s="22" t="s">
        <x:v>362</x:v>
      </x:c>
      <x:c r="G4" s="22" t="s">
        <x:v>362</x:v>
      </x:c>
      <x:c r="H4" s="22" t="s">
        <x:v>362</x:v>
      </x:c>
      <x:c r="I4" s="22" t="s">
        <x:v>362</x:v>
      </x:c>
      <x:c r="J4" s="22" t="s">
        <x:v>362</x:v>
      </x:c>
    </x:row>
    <x:row r="5" ht="30" customHeight="1">
      <x:c r="A5" s="19" t="s">
        <x:v>363</x:v>
      </x:c>
      <x:c r="B5" s="19" t="s">
        <x:v>364</x:v>
      </x:c>
      <x:c r="C5" s="19" t="s">
        <x:v>365</x:v>
      </x:c>
      <x:c r="D5" s="19" t="s">
        <x:v>366</x:v>
      </x:c>
      <x:c r="E5" s="19" t="s">
        <x:v>345</x:v>
      </x:c>
      <x:c r="F5" s="19" t="s">
        <x:v>367</x:v>
      </x:c>
      <x:c r="G5" s="19" t="s">
        <x:v>368</x:v>
      </x:c>
      <x:c r="H5" s="19" t="s">
        <x:v>369</x:v>
      </x:c>
      <x:c r="I5" s="19" t="s">
        <x:v>370</x:v>
      </x:c>
      <x:c r="J5" s="19" t="s">
        <x:v>371</x:v>
      </x:c>
    </x:row>
    <x:row r="6" ht="58" customHeight="1">
      <x:c r="A6" s="1" t="s">
        <x:v>372</x:v>
      </x:c>
      <x:c r="B6" s="1" t="s">
        <x:v>110</x:v>
      </x:c>
      <x:c r="C6" s="1" t="s">
        <x:v>373</x:v>
      </x:c>
      <x:c r="D6" s="7">
        <x:v>299</x:v>
      </x:c>
      <x:c r="E6" s="1" t="s">
        <x:v>374</x:v>
      </x:c>
      <x:c r="F6" s="1" t="s">
        <x:v>375</x:v>
      </x:c>
      <x:c r="G6" s="1" t="s">
        <x:v>376</x:v>
      </x:c>
      <x:c r="H6" s="1" t="s">
        <x:v>377</x:v>
      </x:c>
      <x:c r="I6" s="1" t="s">
        <x:v>378</x:v>
      </x:c>
      <x:c r="J6" s="2">
        <x:v>46220</x:v>
      </x:c>
    </x:row>
    <x:row r="7" ht="58" customHeight="1">
      <x:c r="A7" s="1" t="s">
        <x:v>379</x:v>
      </x:c>
      <x:c r="B7" s="1" t="s">
        <x:v>110</x:v>
      </x:c>
      <x:c r="C7" s="1" t="s">
        <x:v>380</x:v>
      </x:c>
      <x:c r="D7" s="8">
        <x:v>5</x:v>
      </x:c>
      <x:c r="E7" s="1" t="s">
        <x:v>349</x:v>
      </x:c>
      <x:c r="F7" s="1" t="s">
        <x:v>375</x:v>
      </x:c>
      <x:c r="G7" s="1" t="s">
        <x:v>381</x:v>
      </x:c>
      <x:c r="H7" s="1" t="s">
        <x:v>382</x:v>
      </x:c>
      <x:c r="I7" s="1" t="s">
        <x:v>378</x:v>
      </x:c>
      <x:c r="J7" s="2">
        <x:v>46220</x:v>
      </x:c>
    </x:row>
    <x:row r="8" ht="58" customHeight="1">
      <x:c r="A8" s="1" t="s">
        <x:v>383</x:v>
      </x:c>
      <x:c r="B8" s="1" t="s">
        <x:v>110</x:v>
      </x:c>
      <x:c r="C8" s="1" t="s">
        <x:v>384</x:v>
      </x:c>
      <x:c r="D8" s="8">
        <x:v>10</x:v>
      </x:c>
      <x:c r="E8" s="1" t="s">
        <x:v>349</x:v>
      </x:c>
      <x:c r="F8" s="1" t="s">
        <x:v>375</x:v>
      </x:c>
      <x:c r="G8" s="1" t="s">
        <x:v>385</x:v>
      </x:c>
      <x:c r="H8" s="1" t="s">
        <x:v>386</x:v>
      </x:c>
      <x:c r="I8" s="1" t="s">
        <x:v>378</x:v>
      </x:c>
      <x:c r="J8" s="2">
        <x:v>46220</x:v>
      </x:c>
    </x:row>
    <x:row r="9" ht="58" customHeight="1">
      <x:c r="A9" s="1" t="s">
        <x:v>387</x:v>
      </x:c>
      <x:c r="B9" s="1" t="s">
        <x:v>110</x:v>
      </x:c>
      <x:c r="C9" s="1" t="s">
        <x:v>388</x:v>
      </x:c>
      <x:c r="D9" s="7">
        <x:v>30</x:v>
      </x:c>
      <x:c r="E9" s="1" t="s">
        <x:v>389</x:v>
      </x:c>
      <x:c r="F9" s="1" t="s">
        <x:v>375</x:v>
      </x:c>
      <x:c r="G9" s="1" t="s">
        <x:v>390</x:v>
      </x:c>
      <x:c r="H9" s="1" t="s">
        <x:v>391</x:v>
      </x:c>
      <x:c r="I9" s="1" t="s">
        <x:v>378</x:v>
      </x:c>
      <x:c r="J9" s="2">
        <x:v>46220</x:v>
      </x:c>
    </x:row>
    <x:row r="10" ht="58" customHeight="1">
      <x:c r="A10" s="1" t="s">
        <x:v>392</x:v>
      </x:c>
      <x:c r="B10" s="1" t="s">
        <x:v>110</x:v>
      </x:c>
      <x:c r="C10" s="1" t="str">
        <x:v>Base annual price</x:v>
      </x:c>
      <x:c r="D10" s="9" t="n">
        <x:v>2988</x:v>
      </x:c>
      <x:c r="E10" s="1" t="str">
        <x:v>$/year</x:v>
      </x:c>
      <x:c r="F10" s="1" t="str">
        <x:v>Approved/current</x:v>
      </x:c>
      <x:c r="G10" s="1" t="str">
        <x:v>$2,988 billed annually</x:v>
      </x:c>
      <x:c r="H10" s="1" t="str">
        <x:v>Exact Business Annual price configured in Stripe; annual seat price is $360.</x:v>
      </x:c>
      <x:c r="I10" s="1" t="s">
        <x:v>393</x:v>
      </x:c>
      <x:c r="J10" s="2">
        <x:v>46220</x:v>
      </x:c>
    </x:row>
    <x:row r="11" ht="58" customHeight="1">
      <x:c r="A11" s="1" t="s">
        <x:v>394</x:v>
      </x:c>
      <x:c r="B11" s="1" t="s">
        <x:v>102</x:v>
      </x:c>
      <x:c r="C11" s="1" t="s">
        <x:v>395</x:v>
      </x:c>
      <x:c r="D11" s="7">
        <x:v>24000</x:v>
      </x:c>
      <x:c r="E11" s="1" t="s">
        <x:v>396</x:v>
      </x:c>
      <x:c r="F11" s="1" t="s">
        <x:v>397</x:v>
      </x:c>
      <x:c r="G11" s="1" t="s">
        <x:v>398</x:v>
      </x:c>
      <x:c r="H11" s="1" t="s">
        <x:v>399</x:v>
      </x:c>
      <x:c r="I11" s="1" t="s">
        <x:v>400</x:v>
      </x:c>
      <x:c r="J11" s="2">
        <x:v>46220</x:v>
      </x:c>
    </x:row>
    <x:row r="12" ht="58" customHeight="1">
      <x:c r="A12" s="1" t="s">
        <x:v>401</x:v>
      </x:c>
      <x:c r="B12" s="1" t="s">
        <x:v>102</x:v>
      </x:c>
      <x:c r="C12" s="1" t="s">
        <x:v>402</x:v>
      </x:c>
      <x:c r="D12" s="7">
        <x:v>36000</x:v>
      </x:c>
      <x:c r="E12" s="1" t="s">
        <x:v>396</x:v>
      </x:c>
      <x:c r="F12" s="1" t="s">
        <x:v>397</x:v>
      </x:c>
      <x:c r="G12" s="1" t="s">
        <x:v>403</x:v>
      </x:c>
      <x:c r="H12" s="1" t="s">
        <x:v>404</x:v>
      </x:c>
      <x:c r="I12" s="1" t="s">
        <x:v>400</x:v>
      </x:c>
      <x:c r="J12" s="2">
        <x:v>46220</x:v>
      </x:c>
    </x:row>
    <x:row r="13" ht="58" customHeight="1">
      <x:c r="A13" s="1" t="s">
        <x:v>405</x:v>
      </x:c>
      <x:c r="B13" s="1" t="s">
        <x:v>103</x:v>
      </x:c>
      <x:c r="C13" s="1" t="s">
        <x:v>395</x:v>
      </x:c>
      <x:c r="D13" s="7">
        <x:v>48000</x:v>
      </x:c>
      <x:c r="E13" s="1" t="s">
        <x:v>396</x:v>
      </x:c>
      <x:c r="F13" s="1" t="s">
        <x:v>397</x:v>
      </x:c>
      <x:c r="G13" s="1" t="s">
        <x:v>406</x:v>
      </x:c>
      <x:c r="H13" s="1" t="s">
        <x:v>407</x:v>
      </x:c>
      <x:c r="I13" s="1" t="s">
        <x:v>400</x:v>
      </x:c>
      <x:c r="J13" s="2">
        <x:v>46220</x:v>
      </x:c>
    </x:row>
    <x:row r="14" ht="58" customHeight="1">
      <x:c r="A14" s="1" t="s">
        <x:v>408</x:v>
      </x:c>
      <x:c r="B14" s="1" t="s">
        <x:v>103</x:v>
      </x:c>
      <x:c r="C14" s="1" t="s">
        <x:v>402</x:v>
      </x:c>
      <x:c r="D14" s="7">
        <x:v>72000</x:v>
      </x:c>
      <x:c r="E14" s="1" t="s">
        <x:v>396</x:v>
      </x:c>
      <x:c r="F14" s="1" t="s">
        <x:v>397</x:v>
      </x:c>
      <x:c r="G14" s="1" t="s">
        <x:v>409</x:v>
      </x:c>
      <x:c r="H14" s="1" t="s">
        <x:v>410</x:v>
      </x:c>
      <x:c r="I14" s="1" t="s">
        <x:v>400</x:v>
      </x:c>
      <x:c r="J14" s="2">
        <x:v>46220</x:v>
      </x:c>
    </x:row>
    <x:row r="15" ht="58" customHeight="1">
      <x:c r="A15" s="1" t="s">
        <x:v>411</x:v>
      </x:c>
      <x:c r="B15" s="1" t="s">
        <x:v>104</x:v>
      </x:c>
      <x:c r="C15" s="1" t="s">
        <x:v>412</x:v>
      </x:c>
      <x:c r="D15" s="7">
        <x:v>72000</x:v>
      </x:c>
      <x:c r="E15" s="1" t="s">
        <x:v>396</x:v>
      </x:c>
      <x:c r="F15" s="1" t="s">
        <x:v>397</x:v>
      </x:c>
      <x:c r="G15" s="1" t="s">
        <x:v>413</x:v>
      </x:c>
      <x:c r="H15" s="1" t="s">
        <x:v>414</x:v>
      </x:c>
      <x:c r="I15" s="1" t="s">
        <x:v>400</x:v>
      </x:c>
      <x:c r="J15" s="2">
        <x:v>46220</x:v>
      </x:c>
    </x:row>
    <x:row r="16" ht="58" customHeight="1">
      <x:c r="A16" s="1" t="s">
        <x:v>415</x:v>
      </x:c>
      <x:c r="B16" s="1" t="s">
        <x:v>104</x:v>
      </x:c>
      <x:c r="C16" s="1" t="s">
        <x:v>416</x:v>
      </x:c>
      <x:c r="D16" s="7">
        <x:v>120000</x:v>
      </x:c>
      <x:c r="E16" s="1" t="s">
        <x:v>396</x:v>
      </x:c>
      <x:c r="F16" s="1" t="s">
        <x:v>417</x:v>
      </x:c>
      <x:c r="G16" s="1" t="s">
        <x:v>418</x:v>
      </x:c>
      <x:c r="H16" s="1" t="s">
        <x:v>419</x:v>
      </x:c>
      <x:c r="I16" s="1" t="s">
        <x:v>420</x:v>
      </x:c>
      <x:c r="J16" s="2">
        <x:v>46220</x:v>
      </x:c>
    </x:row>
    <x:row r="17" ht="58" customHeight="1">
      <x:c r="A17" s="1" t="s">
        <x:v>421</x:v>
      </x:c>
      <x:c r="B17" s="1" t="s">
        <x:v>138</x:v>
      </x:c>
      <x:c r="C17" s="1" t="s">
        <x:v>422</x:v>
      </x:c>
      <x:c r="D17" s="10">
        <x:v>112.5</x:v>
      </x:c>
      <x:c r="E17" s="1" t="s">
        <x:v>423</x:v>
      </x:c>
      <x:c r="F17" s="1" t="s">
        <x:v>424</x:v>
      </x:c>
      <x:c r="G17" s="1" t="s">
        <x:v>425</x:v>
      </x:c>
      <x:c r="H17" s="1" t="s">
        <x:v>426</x:v>
      </x:c>
      <x:c r="I17" s="1" t="s">
        <x:v>420</x:v>
      </x:c>
      <x:c r="J17" s="2">
        <x:v>46220</x:v>
      </x:c>
    </x:row>
    <x:row r="18" ht="58" customHeight="1">
      <x:c r="A18" s="1" t="s">
        <x:v>427</x:v>
      </x:c>
      <x:c r="B18" s="1" t="s">
        <x:v>428</x:v>
      </x:c>
      <x:c r="C18" s="1" t="s">
        <x:v>429</x:v>
      </x:c>
      <x:c r="D18" s="8">
        <x:v>20</x:v>
      </x:c>
      <x:c r="E18" s="1" t="s">
        <x:v>430</x:v>
      </x:c>
      <x:c r="F18" s="1" t="s">
        <x:v>397</x:v>
      </x:c>
      <x:c r="G18" s="1" t="s">
        <x:v>431</x:v>
      </x:c>
      <x:c r="H18" s="1" t="s">
        <x:v>432</x:v>
      </x:c>
      <x:c r="I18" s="1" t="s">
        <x:v>400</x:v>
      </x:c>
      <x:c r="J18" s="2">
        <x:v>46220</x:v>
      </x:c>
    </x:row>
    <x:row r="19" ht="58" customHeight="1">
      <x:c r="A19" s="1" t="s">
        <x:v>433</x:v>
      </x:c>
      <x:c r="B19" s="1" t="s">
        <x:v>428</x:v>
      </x:c>
      <x:c r="C19" s="1" t="s">
        <x:v>434</x:v>
      </x:c>
      <x:c r="D19" s="8">
        <x:v>50</x:v>
      </x:c>
      <x:c r="E19" s="1" t="s">
        <x:v>430</x:v>
      </x:c>
      <x:c r="F19" s="1" t="s">
        <x:v>397</x:v>
      </x:c>
      <x:c r="G19" s="1" t="s">
        <x:v>435</x:v>
      </x:c>
      <x:c r="H19" s="1" t="s">
        <x:v>436</x:v>
      </x:c>
      <x:c r="I19" s="1" t="s">
        <x:v>400</x:v>
      </x:c>
      <x:c r="J19" s="2">
        <x:v>46220</x:v>
      </x:c>
    </x:row>
    <x:row r="20" ht="58" customHeight="1">
      <x:c r="A20" s="1" t="s">
        <x:v>437</x:v>
      </x:c>
      <x:c r="B20" s="1" t="s">
        <x:v>428</x:v>
      </x:c>
      <x:c r="C20" s="1" t="s">
        <x:v>438</x:v>
      </x:c>
      <x:c r="D20" s="8">
        <x:v>4</x:v>
      </x:c>
      <x:c r="E20" s="1" t="s">
        <x:v>313</x:v>
      </x:c>
      <x:c r="F20" s="1" t="s">
        <x:v>439</x:v>
      </x:c>
      <x:c r="G20" s="1" t="s">
        <x:v>440</x:v>
      </x:c>
      <x:c r="H20" s="1" t="s">
        <x:v>441</x:v>
      </x:c>
      <x:c r="I20" s="1" t="s">
        <x:v>400</x:v>
      </x:c>
      <x:c r="J20" s="2">
        <x:v>46220</x:v>
      </x:c>
    </x:row>
    <x:row r="21" ht="58" customHeight="1">
      <x:c r="A21" s="1" t="s">
        <x:v>442</x:v>
      </x:c>
      <x:c r="B21" s="1" t="s">
        <x:v>428</x:v>
      </x:c>
      <x:c r="C21" s="1" t="s">
        <x:v>443</x:v>
      </x:c>
      <x:c r="D21" s="8">
        <x:v>9</x:v>
      </x:c>
      <x:c r="E21" s="1" t="s">
        <x:v>313</x:v>
      </x:c>
      <x:c r="F21" s="1" t="s">
        <x:v>439</x:v>
      </x:c>
      <x:c r="G21" s="1" t="s">
        <x:v>440</x:v>
      </x:c>
      <x:c r="H21" s="1" t="s">
        <x:v>441</x:v>
      </x:c>
      <x:c r="I21" s="1" t="s">
        <x:v>400</x:v>
      </x:c>
      <x:c r="J21" s="2">
        <x:v>46220</x:v>
      </x:c>
    </x:row>
    <x:row r="22">
      <x:c r="A22" s="17"/>
      <x:c r="B22" s="17"/>
      <x:c r="C22" s="17"/>
      <x:c r="D22" s="17"/>
      <x:c r="E22" s="17"/>
      <x:c r="F22" s="17"/>
      <x:c r="G22" s="17"/>
      <x:c r="H22" s="17"/>
      <x:c r="I22" s="17"/>
      <x:c r="J22" s="17"/>
    </x:row>
    <x:row r="23" ht="40" customHeight="1">
      <x:c r="A23" s="33" t="s">
        <x:v>444</x:v>
      </x:c>
      <x:c r="B23" s="34" t="s">
        <x:v>444</x:v>
      </x:c>
      <x:c r="C23" s="34" t="s">
        <x:v>444</x:v>
      </x:c>
      <x:c r="D23" s="34" t="s">
        <x:v>444</x:v>
      </x:c>
      <x:c r="E23" s="34" t="s">
        <x:v>444</x:v>
      </x:c>
      <x:c r="F23" s="34" t="s">
        <x:v>444</x:v>
      </x:c>
      <x:c r="G23" s="34" t="s">
        <x:v>444</x:v>
      </x:c>
      <x:c r="H23" s="34" t="s">
        <x:v>444</x:v>
      </x:c>
      <x:c r="I23" s="34" t="s">
        <x:v>444</x:v>
      </x:c>
      <x:c r="J23" s="35" t="s">
        <x:v>444</x:v>
      </x:c>
    </x:row>
    <x:row r="24" ht="40" customHeight="1">
      <x:c r="A24" s="36" t="s">
        <x:v>444</x:v>
      </x:c>
      <x:c r="B24" s="37" t="s">
        <x:v>444</x:v>
      </x:c>
      <x:c r="C24" s="37" t="s">
        <x:v>444</x:v>
      </x:c>
      <x:c r="D24" s="37" t="s">
        <x:v>444</x:v>
      </x:c>
      <x:c r="E24" s="37" t="s">
        <x:v>444</x:v>
      </x:c>
      <x:c r="F24" s="37" t="s">
        <x:v>444</x:v>
      </x:c>
      <x:c r="G24" s="37" t="s">
        <x:v>444</x:v>
      </x:c>
      <x:c r="H24" s="37" t="s">
        <x:v>444</x:v>
      </x:c>
      <x:c r="I24" s="37" t="s">
        <x:v>444</x:v>
      </x:c>
      <x:c r="J24" s="38" t="s">
        <x:v>444</x:v>
      </x:c>
    </x:row>
    <x:row r="25" ht="40" customHeight="1">
      <x:c r="A25" s="39" t="s">
        <x:v>444</x:v>
      </x:c>
      <x:c r="B25" s="40" t="s">
        <x:v>444</x:v>
      </x:c>
      <x:c r="C25" s="40" t="s">
        <x:v>444</x:v>
      </x:c>
      <x:c r="D25" s="40" t="s">
        <x:v>444</x:v>
      </x:c>
      <x:c r="E25" s="40" t="s">
        <x:v>444</x:v>
      </x:c>
      <x:c r="F25" s="40" t="s">
        <x:v>444</x:v>
      </x:c>
      <x:c r="G25" s="40" t="s">
        <x:v>444</x:v>
      </x:c>
      <x:c r="H25" s="40" t="s">
        <x:v>444</x:v>
      </x:c>
      <x:c r="I25" s="40" t="s">
        <x:v>444</x:v>
      </x:c>
      <x:c r="J25" s="41" t="s">
        <x:v>444</x:v>
      </x:c>
    </x:row>
  </x:sheetData>
  <x:mergeCells>
    <x:mergeCell ref="A1:J1"/>
    <x:mergeCell ref="A2:J2"/>
    <x:mergeCell ref="A4:J4"/>
    <x:mergeCell ref="A23:J25"/>
  </x:mergeCells>
  <x:pageMargins left="0.7" right="0.7" top="0.75" bottom="0.75" header="0.3" footer="0.3"/>
  <x:drawing xmlns:r="http://schemas.openxmlformats.org/officeDocument/2006/relationships" r:id="Rb6652bc1a9664422"/>
  <x:legacyDrawing xmlns:r="http://schemas.openxmlformats.org/officeDocument/2006/relationships" r:id="Re3789ccdf73a46f6"/>
</x:worksheet>
</file>

<file path=xl/worksheets/sheet7.xml><?xml version="1.0" encoding="utf-8"?>
<x:worksheet xmlns:x="http://schemas.openxmlformats.org/spreadsheetml/2006/main">
  <x:sheetViews>
    <x:sheetView showGridLines="0" workbookViewId="0"/>
  </x:sheetViews>
  <x:sheetFormatPr baseColWidth="10" defaultColWidth="8.83203125" defaultRowHeight="14"/>
  <x:cols>
    <x:col min="1" max="1" width="22" customWidth="1"/>
    <x:col min="2" max="2" width="31" customWidth="1"/>
    <x:col min="3" max="3" width="46" customWidth="1"/>
    <x:col min="4" max="4" width="48" customWidth="1"/>
    <x:col min="5" max="5" width="23" customWidth="1"/>
    <x:col min="6" max="10" width="14" customWidth="1"/>
  </x:cols>
  <x:sheetData>
    <x:row r="1" ht="31" customHeight="1">
      <x:c r="A1" s="20" t="s">
        <x:v>22</x:v>
      </x:c>
      <x:c r="B1" s="20"/>
      <x:c r="C1" s="20"/>
      <x:c r="D1" s="20"/>
      <x:c r="E1" s="20"/>
      <x:c r="F1" s="20"/>
      <x:c r="G1" s="20"/>
      <x:c r="H1" s="20"/>
      <x:c r="I1" s="20"/>
      <x:c r="J1" s="20"/>
    </x:row>
    <x:row r="2" ht="30" customHeight="1">
      <x:c r="A2" s="21" t="s">
        <x:v>445</x:v>
      </x:c>
      <x:c r="B2" s="21"/>
      <x:c r="C2" s="21"/>
      <x:c r="D2" s="21"/>
      <x:c r="E2" s="21"/>
      <x:c r="F2" s="21"/>
      <x:c r="G2" s="21"/>
      <x:c r="H2" s="21"/>
      <x:c r="I2" s="21"/>
      <x:c r="J2" s="21"/>
    </x:row>
    <x:row r="3">
      <x:c r="A3" s="17"/>
      <x:c r="B3" s="17"/>
      <x:c r="C3" s="17"/>
      <x:c r="D3" s="17"/>
      <x:c r="E3" s="17"/>
      <x:c r="F3" s="17"/>
      <x:c r="G3" s="17"/>
      <x:c r="H3" s="17"/>
      <x:c r="I3" s="17"/>
      <x:c r="J3" s="17"/>
    </x:row>
    <x:row r="4" ht="23" customHeight="1">
      <x:c r="A4" s="22" t="s">
        <x:v>446</x:v>
      </x:c>
      <x:c r="B4" s="22" t="s">
        <x:v>446</x:v>
      </x:c>
      <x:c r="C4" s="22" t="s">
        <x:v>446</x:v>
      </x:c>
      <x:c r="D4" s="22" t="s">
        <x:v>446</x:v>
      </x:c>
      <x:c r="E4" s="22" t="s">
        <x:v>446</x:v>
      </x:c>
      <x:c r="F4" s="22" t="s">
        <x:v>446</x:v>
      </x:c>
      <x:c r="G4" s="22" t="s">
        <x:v>446</x:v>
      </x:c>
      <x:c r="H4" s="22" t="s">
        <x:v>446</x:v>
      </x:c>
      <x:c r="I4" s="22" t="s">
        <x:v>446</x:v>
      </x:c>
      <x:c r="J4" s="22" t="s">
        <x:v>446</x:v>
      </x:c>
    </x:row>
    <x:row r="5" ht="23" customHeight="1">
      <x:c r="A5" s="32" t="s">
        <x:v>447</x:v>
      </x:c>
      <x:c r="B5" s="32" t="s">
        <x:v>447</x:v>
      </x:c>
      <x:c r="C5" s="32" t="s">
        <x:v>447</x:v>
      </x:c>
      <x:c r="D5" s="32" t="s">
        <x:v>447</x:v>
      </x:c>
      <x:c r="E5" s="32" t="s">
        <x:v>447</x:v>
      </x:c>
      <x:c r="F5" s="32" t="s">
        <x:v>447</x:v>
      </x:c>
      <x:c r="G5" s="32" t="s">
        <x:v>447</x:v>
      </x:c>
      <x:c r="H5" s="32" t="s">
        <x:v>447</x:v>
      </x:c>
      <x:c r="I5" s="32" t="s">
        <x:v>447</x:v>
      </x:c>
      <x:c r="J5" s="32" t="s">
        <x:v>447</x:v>
      </x:c>
    </x:row>
    <x:row r="6">
      <x:c r="A6" s="51" t="s">
        <x:v>448</x:v>
      </x:c>
      <x:c r="B6" s="52"/>
      <x:c r="C6" s="52"/>
      <x:c r="D6" s="52"/>
      <x:c r="E6" s="52"/>
      <x:c r="F6" s="52"/>
      <x:c r="G6" s="52"/>
      <x:c r="H6" s="52"/>
      <x:c r="I6" s="52"/>
      <x:c r="J6" s="53"/>
    </x:row>
    <x:row r="7">
      <x:c r="A7" s="54"/>
      <x:c r="B7" s="55"/>
      <x:c r="C7" s="55"/>
      <x:c r="D7" s="55"/>
      <x:c r="E7" s="55"/>
      <x:c r="F7" s="55"/>
      <x:c r="G7" s="55"/>
      <x:c r="H7" s="55"/>
      <x:c r="I7" s="55"/>
      <x:c r="J7" s="56"/>
    </x:row>
    <x:row r="8">
      <x:c r="A8" s="17"/>
      <x:c r="B8" s="17"/>
      <x:c r="C8" s="17"/>
      <x:c r="D8" s="17"/>
      <x:c r="E8" s="17"/>
      <x:c r="F8" s="17"/>
      <x:c r="G8" s="17"/>
      <x:c r="H8" s="17"/>
      <x:c r="I8" s="17"/>
      <x:c r="J8" s="17"/>
    </x:row>
    <x:row r="9" ht="23" customHeight="1">
      <x:c r="A9" s="32" t="s">
        <x:v>449</x:v>
      </x:c>
      <x:c r="B9" s="32" t="s">
        <x:v>449</x:v>
      </x:c>
      <x:c r="C9" s="32" t="s">
        <x:v>449</x:v>
      </x:c>
      <x:c r="D9" s="32" t="s">
        <x:v>449</x:v>
      </x:c>
      <x:c r="E9" s="32" t="s">
        <x:v>449</x:v>
      </x:c>
      <x:c r="F9" s="32" t="s">
        <x:v>449</x:v>
      </x:c>
      <x:c r="G9" s="32" t="s">
        <x:v>449</x:v>
      </x:c>
      <x:c r="H9" s="32" t="s">
        <x:v>449</x:v>
      </x:c>
      <x:c r="I9" s="32" t="s">
        <x:v>449</x:v>
      </x:c>
      <x:c r="J9" s="32" t="s">
        <x:v>449</x:v>
      </x:c>
    </x:row>
    <x:row r="10">
      <x:c r="A10" s="51" t="s">
        <x:v>450</x:v>
      </x:c>
      <x:c r="B10" s="52"/>
      <x:c r="C10" s="52"/>
      <x:c r="D10" s="52"/>
      <x:c r="E10" s="52"/>
      <x:c r="F10" s="52"/>
      <x:c r="G10" s="52"/>
      <x:c r="H10" s="52"/>
      <x:c r="I10" s="52"/>
      <x:c r="J10" s="53"/>
    </x:row>
    <x:row r="11">
      <x:c r="A11" s="54"/>
      <x:c r="B11" s="55"/>
      <x:c r="C11" s="55"/>
      <x:c r="D11" s="55"/>
      <x:c r="E11" s="55"/>
      <x:c r="F11" s="55"/>
      <x:c r="G11" s="55"/>
      <x:c r="H11" s="55"/>
      <x:c r="I11" s="55"/>
      <x:c r="J11" s="56"/>
    </x:row>
    <x:row r="12">
      <x:c r="A12" s="17"/>
      <x:c r="B12" s="17"/>
      <x:c r="C12" s="17"/>
      <x:c r="D12" s="17"/>
      <x:c r="E12" s="17"/>
      <x:c r="F12" s="17"/>
      <x:c r="G12" s="17"/>
      <x:c r="H12" s="17"/>
      <x:c r="I12" s="17"/>
      <x:c r="J12" s="17"/>
    </x:row>
    <x:row r="13" ht="23" customHeight="1">
      <x:c r="A13" s="32" t="s">
        <x:v>451</x:v>
      </x:c>
      <x:c r="B13" s="32" t="s">
        <x:v>451</x:v>
      </x:c>
      <x:c r="C13" s="32" t="s">
        <x:v>451</x:v>
      </x:c>
      <x:c r="D13" s="32" t="s">
        <x:v>451</x:v>
      </x:c>
      <x:c r="E13" s="32" t="s">
        <x:v>451</x:v>
      </x:c>
      <x:c r="F13" s="32" t="s">
        <x:v>451</x:v>
      </x:c>
      <x:c r="G13" s="32" t="s">
        <x:v>451</x:v>
      </x:c>
      <x:c r="H13" s="32" t="s">
        <x:v>451</x:v>
      </x:c>
      <x:c r="I13" s="32" t="s">
        <x:v>451</x:v>
      </x:c>
      <x:c r="J13" s="32" t="s">
        <x:v>451</x:v>
      </x:c>
    </x:row>
    <x:row r="14">
      <x:c r="A14" s="51" t="s">
        <x:v>452</x:v>
      </x:c>
      <x:c r="B14" s="52"/>
      <x:c r="C14" s="52"/>
      <x:c r="D14" s="52"/>
      <x:c r="E14" s="52"/>
      <x:c r="F14" s="52"/>
      <x:c r="G14" s="52"/>
      <x:c r="H14" s="52"/>
      <x:c r="I14" s="52"/>
      <x:c r="J14" s="53"/>
    </x:row>
    <x:row r="15">
      <x:c r="A15" s="54"/>
      <x:c r="B15" s="55"/>
      <x:c r="C15" s="55"/>
      <x:c r="D15" s="55"/>
      <x:c r="E15" s="55"/>
      <x:c r="F15" s="55"/>
      <x:c r="G15" s="55"/>
      <x:c r="H15" s="55"/>
      <x:c r="I15" s="55"/>
      <x:c r="J15" s="56"/>
    </x:row>
    <x:row r="16">
      <x:c r="A16" s="17"/>
      <x:c r="B16" s="17"/>
      <x:c r="C16" s="17"/>
      <x:c r="D16" s="17"/>
      <x:c r="E16" s="17"/>
      <x:c r="F16" s="17"/>
      <x:c r="G16" s="17"/>
      <x:c r="H16" s="17"/>
      <x:c r="I16" s="17"/>
      <x:c r="J16" s="17"/>
    </x:row>
    <x:row r="17" ht="23" customHeight="1">
      <x:c r="A17" s="32" t="s">
        <x:v>453</x:v>
      </x:c>
      <x:c r="B17" s="32" t="s">
        <x:v>453</x:v>
      </x:c>
      <x:c r="C17" s="32" t="s">
        <x:v>453</x:v>
      </x:c>
      <x:c r="D17" s="32" t="s">
        <x:v>453</x:v>
      </x:c>
      <x:c r="E17" s="32" t="s">
        <x:v>453</x:v>
      </x:c>
      <x:c r="F17" s="32" t="s">
        <x:v>453</x:v>
      </x:c>
      <x:c r="G17" s="32" t="s">
        <x:v>453</x:v>
      </x:c>
      <x:c r="H17" s="32" t="s">
        <x:v>453</x:v>
      </x:c>
      <x:c r="I17" s="32" t="s">
        <x:v>453</x:v>
      </x:c>
      <x:c r="J17" s="32" t="s">
        <x:v>453</x:v>
      </x:c>
    </x:row>
    <x:row r="18">
      <x:c r="A18" s="51" t="s">
        <x:v>454</x:v>
      </x:c>
      <x:c r="B18" s="52"/>
      <x:c r="C18" s="52"/>
      <x:c r="D18" s="52"/>
      <x:c r="E18" s="52"/>
      <x:c r="F18" s="52"/>
      <x:c r="G18" s="52"/>
      <x:c r="H18" s="52"/>
      <x:c r="I18" s="52"/>
      <x:c r="J18" s="53"/>
    </x:row>
    <x:row r="19">
      <x:c r="A19" s="54"/>
      <x:c r="B19" s="55"/>
      <x:c r="C19" s="55"/>
      <x:c r="D19" s="55"/>
      <x:c r="E19" s="55"/>
      <x:c r="F19" s="55"/>
      <x:c r="G19" s="55"/>
      <x:c r="H19" s="55"/>
      <x:c r="I19" s="55"/>
      <x:c r="J19" s="56"/>
    </x:row>
    <x:row r="20">
      <x:c r="A20" s="17"/>
      <x:c r="B20" s="17"/>
      <x:c r="C20" s="17"/>
      <x:c r="D20" s="17"/>
      <x:c r="E20" s="17"/>
      <x:c r="F20" s="17"/>
      <x:c r="G20" s="17"/>
      <x:c r="H20" s="17"/>
      <x:c r="I20" s="17"/>
      <x:c r="J20" s="17"/>
    </x:row>
    <x:row r="21" ht="23" customHeight="1">
      <x:c r="A21" s="32" t="s">
        <x:v>455</x:v>
      </x:c>
      <x:c r="B21" s="32" t="s">
        <x:v>455</x:v>
      </x:c>
      <x:c r="C21" s="32" t="s">
        <x:v>455</x:v>
      </x:c>
      <x:c r="D21" s="32" t="s">
        <x:v>455</x:v>
      </x:c>
      <x:c r="E21" s="32" t="s">
        <x:v>455</x:v>
      </x:c>
      <x:c r="F21" s="32" t="s">
        <x:v>455</x:v>
      </x:c>
      <x:c r="G21" s="32" t="s">
        <x:v>455</x:v>
      </x:c>
      <x:c r="H21" s="32" t="s">
        <x:v>455</x:v>
      </x:c>
      <x:c r="I21" s="32" t="s">
        <x:v>455</x:v>
      </x:c>
      <x:c r="J21" s="32" t="s">
        <x:v>455</x:v>
      </x:c>
    </x:row>
    <x:row r="22">
      <x:c r="A22" s="51" t="s">
        <x:v>456</x:v>
      </x:c>
      <x:c r="B22" s="52"/>
      <x:c r="C22" s="52"/>
      <x:c r="D22" s="52"/>
      <x:c r="E22" s="52"/>
      <x:c r="F22" s="52"/>
      <x:c r="G22" s="52"/>
      <x:c r="H22" s="52"/>
      <x:c r="I22" s="52"/>
      <x:c r="J22" s="53"/>
    </x:row>
    <x:row r="23">
      <x:c r="A23" s="54"/>
      <x:c r="B23" s="55"/>
      <x:c r="C23" s="55"/>
      <x:c r="D23" s="55"/>
      <x:c r="E23" s="55"/>
      <x:c r="F23" s="55"/>
      <x:c r="G23" s="55"/>
      <x:c r="H23" s="55"/>
      <x:c r="I23" s="55"/>
      <x:c r="J23" s="56"/>
    </x:row>
    <x:row r="24">
      <x:c r="A24" s="17"/>
      <x:c r="B24" s="17"/>
      <x:c r="C24" s="17"/>
      <x:c r="D24" s="17"/>
      <x:c r="E24" s="17"/>
      <x:c r="F24" s="17"/>
      <x:c r="G24" s="17"/>
      <x:c r="H24" s="17"/>
      <x:c r="I24" s="17"/>
      <x:c r="J24" s="17"/>
    </x:row>
    <x:row r="25" ht="23" customHeight="1">
      <x:c r="A25" s="22" t="s">
        <x:v>457</x:v>
      </x:c>
      <x:c r="B25" s="22" t="s">
        <x:v>457</x:v>
      </x:c>
      <x:c r="C25" s="22" t="s">
        <x:v>457</x:v>
      </x:c>
      <x:c r="D25" s="22" t="s">
        <x:v>457</x:v>
      </x:c>
      <x:c r="E25" s="22" t="s">
        <x:v>457</x:v>
      </x:c>
      <x:c r="F25" s="22" t="s">
        <x:v>457</x:v>
      </x:c>
      <x:c r="G25" s="22" t="s">
        <x:v>457</x:v>
      </x:c>
      <x:c r="H25" s="22" t="s">
        <x:v>457</x:v>
      </x:c>
      <x:c r="I25" s="22" t="s">
        <x:v>457</x:v>
      </x:c>
      <x:c r="J25" s="22" t="s">
        <x:v>457</x:v>
      </x:c>
    </x:row>
    <x:row r="26" ht="30" customHeight="1">
      <x:c r="A26" s="19" t="s">
        <x:v>458</x:v>
      </x:c>
      <x:c r="B26" s="19" t="s">
        <x:v>459</x:v>
      </x:c>
      <x:c r="C26" s="19" t="s">
        <x:v>460</x:v>
      </x:c>
      <x:c r="D26" s="19" t="s">
        <x:v>461</x:v>
      </x:c>
      <x:c r="E26" s="19" t="s">
        <x:v>462</x:v>
      </x:c>
      <x:c r="F26" s="17"/>
      <x:c r="G26" s="17"/>
      <x:c r="H26" s="17"/>
      <x:c r="I26" s="17"/>
      <x:c r="J26" s="17"/>
    </x:row>
    <x:row r="27" ht="30">
      <x:c r="A27" s="1" t="s">
        <x:v>463</x:v>
      </x:c>
      <x:c r="B27" s="1" t="s">
        <x:v>464</x:v>
      </x:c>
      <x:c r="C27" s="1" t="s">
        <x:v>465</x:v>
      </x:c>
      <x:c r="D27" s="1" t="s">
        <x:v>466</x:v>
      </x:c>
      <x:c r="E27" s="1" t="s">
        <x:v>467</x:v>
      </x:c>
      <x:c r="F27" s="17"/>
      <x:c r="G27" s="17"/>
      <x:c r="H27" s="17"/>
      <x:c r="I27" s="17"/>
      <x:c r="J27" s="17"/>
    </x:row>
    <x:row r="28" ht="30">
      <x:c r="A28" s="1" t="s">
        <x:v>468</x:v>
      </x:c>
      <x:c r="B28" s="1" t="s">
        <x:v>469</x:v>
      </x:c>
      <x:c r="C28" s="1" t="s">
        <x:v>470</x:v>
      </x:c>
      <x:c r="D28" s="1" t="s">
        <x:v>471</x:v>
      </x:c>
      <x:c r="E28" s="1" t="s">
        <x:v>472</x:v>
      </x:c>
      <x:c r="F28" s="17"/>
      <x:c r="G28" s="17"/>
      <x:c r="H28" s="17"/>
      <x:c r="I28" s="17"/>
      <x:c r="J28" s="17"/>
    </x:row>
    <x:row r="29" ht="30">
      <x:c r="A29" s="1" t="s">
        <x:v>473</x:v>
      </x:c>
      <x:c r="B29" s="1" t="s">
        <x:v>474</x:v>
      </x:c>
      <x:c r="C29" s="1" t="s">
        <x:v>475</x:v>
      </x:c>
      <x:c r="D29" s="1" t="s">
        <x:v>476</x:v>
      </x:c>
      <x:c r="E29" s="1" t="s">
        <x:v>477</x:v>
      </x:c>
      <x:c r="F29" s="17"/>
      <x:c r="G29" s="17"/>
      <x:c r="H29" s="17"/>
      <x:c r="I29" s="17"/>
      <x:c r="J29" s="17"/>
    </x:row>
    <x:row r="30" ht="30">
      <x:c r="A30" s="1" t="s">
        <x:v>478</x:v>
      </x:c>
      <x:c r="B30" s="1" t="s">
        <x:v>479</x:v>
      </x:c>
      <x:c r="C30" s="1" t="s">
        <x:v>480</x:v>
      </x:c>
      <x:c r="D30" s="1" t="s">
        <x:v>481</x:v>
      </x:c>
      <x:c r="E30" s="1" t="s">
        <x:v>482</x:v>
      </x:c>
      <x:c r="F30" s="17"/>
      <x:c r="G30" s="17"/>
      <x:c r="H30" s="17"/>
      <x:c r="I30" s="17"/>
      <x:c r="J30" s="17"/>
    </x:row>
  </x:sheetData>
  <x:mergeCells>
    <x:mergeCell ref="A18:J19"/>
    <x:mergeCell ref="A21:J21"/>
    <x:mergeCell ref="A22:J23"/>
    <x:mergeCell ref="A25:J25"/>
    <x:mergeCell ref="A9:J9"/>
    <x:mergeCell ref="A10:J11"/>
    <x:mergeCell ref="A13:J13"/>
    <x:mergeCell ref="A14:J15"/>
    <x:mergeCell ref="A17:J17"/>
    <x:mergeCell ref="A1:J1"/>
    <x:mergeCell ref="A2:J2"/>
    <x:mergeCell ref="A4:J4"/>
    <x:mergeCell ref="A5:J5"/>
    <x:mergeCell ref="A6:J7"/>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10" defaultColWidth="8.83203125" defaultRowHeight="14"/>
  <x:cols>
    <x:col min="1" max="1" width="34" customWidth="1"/>
    <x:col min="2" max="2" width="18" customWidth="1"/>
    <x:col min="3" max="3" width="28" customWidth="1"/>
    <x:col min="4" max="4" width="14" customWidth="1"/>
    <x:col min="5" max="5" width="20" customWidth="1"/>
    <x:col min="6" max="6" width="31" customWidth="1"/>
    <x:col min="7" max="7" width="28" customWidth="1"/>
    <x:col min="8" max="8" width="18" customWidth="1"/>
    <x:col min="9" max="9" width="30" customWidth="1"/>
    <x:col min="10" max="10" width="43" customWidth="1"/>
  </x:cols>
  <x:sheetData>
    <x:row r="1" ht="31" customHeight="1">
      <x:c r="A1" s="20" t="s">
        <x:v>483</x:v>
      </x:c>
      <x:c r="B1" s="20"/>
      <x:c r="C1" s="20"/>
      <x:c r="D1" s="20"/>
      <x:c r="E1" s="20"/>
      <x:c r="F1" s="20"/>
      <x:c r="G1" s="20"/>
      <x:c r="H1" s="20"/>
      <x:c r="I1" s="20"/>
      <x:c r="J1" s="20"/>
    </x:row>
    <x:row r="2" ht="30" customHeight="1">
      <x:c r="A2" s="21" t="s">
        <x:v>484</x:v>
      </x:c>
      <x:c r="B2" s="21"/>
      <x:c r="C2" s="21"/>
      <x:c r="D2" s="21"/>
      <x:c r="E2" s="21"/>
      <x:c r="F2" s="21"/>
      <x:c r="G2" s="21"/>
      <x:c r="H2" s="21"/>
      <x:c r="I2" s="21"/>
      <x:c r="J2" s="21"/>
    </x:row>
    <x:row r="3">
      <x:c r="A3" s="17"/>
      <x:c r="B3" s="17"/>
      <x:c r="C3" s="17"/>
      <x:c r="D3" s="17"/>
      <x:c r="E3" s="17"/>
      <x:c r="F3" s="17"/>
      <x:c r="G3" s="17"/>
      <x:c r="H3" s="17"/>
      <x:c r="I3" s="17"/>
      <x:c r="J3" s="17"/>
    </x:row>
    <x:row r="4" ht="23" customHeight="1">
      <x:c r="A4" s="22" t="s">
        <x:v>485</x:v>
      </x:c>
      <x:c r="B4" s="22" t="s">
        <x:v>485</x:v>
      </x:c>
      <x:c r="C4" s="22" t="s">
        <x:v>485</x:v>
      </x:c>
      <x:c r="D4" s="22" t="s">
        <x:v>485</x:v>
      </x:c>
      <x:c r="E4" s="17"/>
      <x:c r="F4" s="22" t="s">
        <x:v>486</x:v>
      </x:c>
      <x:c r="G4" s="22" t="s">
        <x:v>486</x:v>
      </x:c>
      <x:c r="H4" s="22" t="s">
        <x:v>486</x:v>
      </x:c>
      <x:c r="I4" s="22" t="s">
        <x:v>486</x:v>
      </x:c>
      <x:c r="J4" s="22" t="s">
        <x:v>486</x:v>
      </x:c>
    </x:row>
    <x:row r="5" ht="29" customHeight="1">
      <x:c r="A5" s="1" t="s">
        <x:v>487</x:v>
      </x:c>
      <x:c r="B5" s="8">
        <x:v>20</x:v>
      </x:c>
      <x:c r="C5" s="1" t="s">
        <x:v>488</x:v>
      </x:c>
      <x:c r="D5" s="17"/>
      <x:c r="E5" s="17"/>
      <x:c r="F5" s="1" t="s">
        <x:v>347</x:v>
      </x:c>
      <x:c r="G5" s="13" t="n">
        <x:f>MAX(0,MIN('05 Pricing Policy Library'!$D$8-'05 Pricing Policy Library'!$D$7,B5-'05 Pricing Policy Library'!$D$7))</x:f>
        <x:v>5</x:v>
      </x:c>
      <x:c r="H5" s="17"/>
      <x:c r="I5" s="18" t="s">
        <x:v>346</x:v>
      </x:c>
      <x:c r="J5" s="18"/>
    </x:row>
    <x:row r="6" ht="29" customHeight="1">
      <x:c r="A6" s="1" t="s">
        <x:v>322</x:v>
      </x:c>
      <x:c r="B6" s="8">
        <x:v>1</x:v>
      </x:c>
      <x:c r="C6" s="1" t="s">
        <x:v>489</x:v>
      </x:c>
      <x:c r="D6" s="17"/>
      <x:c r="E6" s="17"/>
      <x:c r="F6" s="1" t="s">
        <x:v>490</x:v>
      </x:c>
      <x:c r="G6" s="13" t="n">
        <x:f>COUNTIF(B10:B19,"Yes")</x:f>
        <x:v>1</x:v>
      </x:c>
      <x:c r="H6" s="17"/>
      <x:c r="I6" s="1" t="s">
        <x:v>491</x:v>
      </x:c>
      <x:c r="J6" s="1" t="s">
        <x:v>492</x:v>
      </x:c>
    </x:row>
    <x:row r="7" ht="29" customHeight="1">
      <x:c r="A7" s="1" t="s">
        <x:v>205</x:v>
      </x:c>
      <x:c r="B7" s="6" t="s">
        <x:v>208</x:v>
      </x:c>
      <x:c r="C7" s="1" t="s">
        <x:v>317</x:v>
      </x:c>
      <x:c r="D7" s="17"/>
      <x:c r="E7" s="17"/>
      <x:c r="F7" s="1" t="s">
        <x:v>493</x:v>
      </x:c>
      <x:c r="G7" s="13" t="n">
        <x:f>SUM(D10:D19)</x:f>
        <x:v>1</x:v>
      </x:c>
      <x:c r="H7" s="17"/>
      <x:c r="I7" s="1" t="s">
        <x:v>494</x:v>
      </x:c>
      <x:c r="J7" s="1" t="s">
        <x:v>495</x:v>
      </x:c>
    </x:row>
    <x:row r="8" ht="29" customHeight="1">
      <x:c r="A8" s="17"/>
      <x:c r="B8" s="17"/>
      <x:c r="C8" s="17"/>
      <x:c r="D8" s="17"/>
      <x:c r="E8" s="17"/>
      <x:c r="F8" s="1" t="s">
        <x:v>496</x:v>
      </x:c>
      <x:c r="G8" s="13" t="n">
        <x:f>IF(B7="Light",0,IF(B7="High",2,1))</x:f>
        <x:v>1</x:v>
      </x:c>
      <x:c r="H8" s="17"/>
      <x:c r="I8" s="1" t="s">
        <x:v>497</x:v>
      </x:c>
      <x:c r="J8" s="1" t="s">
        <x:v>498</x:v>
      </x:c>
    </x:row>
    <x:row r="9" ht="29" customHeight="1">
      <x:c r="A9" s="32" t="s">
        <x:v>499</x:v>
      </x:c>
      <x:c r="B9" s="32"/>
      <x:c r="C9" s="32"/>
      <x:c r="D9" s="32"/>
      <x:c r="E9" s="17"/>
      <x:c r="F9" s="1" t="s">
        <x:v>500</x:v>
      </x:c>
      <x:c r="G9" s="13" t="n">
        <x:f>IF(B6=1,0,IF(B6=2,2,IF(B6=3,3,4)))</x:f>
        <x:v>0</x:v>
      </x:c>
      <x:c r="H9" s="17"/>
      <x:c r="I9" s="1" t="s">
        <x:v>501</x:v>
      </x:c>
      <x:c r="J9" s="1" t="s">
        <x:v>502</x:v>
      </x:c>
    </x:row>
    <x:row r="10" ht="29" customHeight="1">
      <x:c r="A10" s="1" t="s">
        <x:v>213</x:v>
      </x:c>
      <x:c r="B10" s="6" t="s">
        <x:v>121</x:v>
      </x:c>
      <x:c r="C10" s="1">
        <x:v>2</x:v>
      </x:c>
      <x:c r="D10" s="11" t="n">
        <x:f t="shared" ref="D10:D19" si="0">IF(B10="Yes",C10,0)</x:f>
        <x:v>0</x:v>
      </x:c>
      <x:c r="E10" s="17"/>
      <x:c r="F10" s="1" t="s">
        <x:v>503</x:v>
      </x:c>
      <x:c r="G10" s="13" t="n">
        <x:f>G7+G8+G9</x:f>
        <x:v>2</x:v>
      </x:c>
      <x:c r="H10" s="17"/>
      <x:c r="I10" s="1" t="s">
        <x:v>504</x:v>
      </x:c>
      <x:c r="J10" s="1" t="s">
        <x:v>505</x:v>
      </x:c>
    </x:row>
    <x:row r="11" ht="29" customHeight="1">
      <x:c r="A11" s="1" t="s">
        <x:v>219</x:v>
      </x:c>
      <x:c r="B11" s="6" t="s">
        <x:v>112</x:v>
      </x:c>
      <x:c r="C11" s="1">
        <x:v>1</x:v>
      </x:c>
      <x:c r="D11" s="11">
        <x:f t="shared" si="0"/>
        <x:v>1</x:v>
      </x:c>
      <x:c r="E11" s="17"/>
      <x:c r="F11" s="1" t="s">
        <x:v>315</x:v>
      </x:c>
      <x:c r="G11" s="11" t="b">
        <x:f>OR(B5&gt;'05 Pricing Policy Library'!$D$8,B6&gt;1,G6&gt;0)</x:f>
        <x:v>1</x:v>
      </x:c>
      <x:c r="H11" s="17"/>
      <x:c r="I11" s="1" t="s">
        <x:v>506</x:v>
      </x:c>
      <x:c r="J11" s="1" t="s">
        <x:v>507</x:v>
      </x:c>
    </x:row>
    <x:row r="12" ht="29" customHeight="1">
      <x:c r="A12" s="1" t="s">
        <x:v>222</x:v>
      </x:c>
      <x:c r="B12" s="6" t="s">
        <x:v>121</x:v>
      </x:c>
      <x:c r="C12" s="1">
        <x:v>1</x:v>
      </x:c>
      <x:c r="D12" s="11">
        <x:f t="shared" si="0"/>
        <x:v>0</x:v>
      </x:c>
      <x:c r="E12" s="17"/>
      <x:c r="F12" s="1" t="s">
        <x:v>109</x:v>
      </x:c>
      <x:c r="G12" s="12" t="str">
        <x:f>IF(NOT(G11),"Business",IF(OR(B5&gt;'05 Pricing Policy Library'!$D$19,G10&gt;'05 Pricing Policy Library'!$D$21),"Enterprise Strategic",IF(OR(B5&gt;'05 Pricing Policy Library'!$D$18,G10&gt;'05 Pricing Policy Library'!$D$20),"Enterprise Scale","Enterprise Core")))</x:f>
        <x:v>Enterprise Core</x:v>
      </x:c>
      <x:c r="H12" s="17"/>
      <x:c r="I12" s="1" t="s">
        <x:v>508</x:v>
      </x:c>
      <x:c r="J12" s="1" t="s">
        <x:v>509</x:v>
      </x:c>
    </x:row>
    <x:row r="13" ht="29" customHeight="1">
      <x:c r="A13" s="1" t="s">
        <x:v>225</x:v>
      </x:c>
      <x:c r="B13" s="6" t="s">
        <x:v>121</x:v>
      </x:c>
      <x:c r="C13" s="1">
        <x:v>1</x:v>
      </x:c>
      <x:c r="D13" s="11">
        <x:f t="shared" si="0"/>
        <x:v>0</x:v>
      </x:c>
      <x:c r="E13" s="17"/>
      <x:c r="F13" s="1" t="s">
        <x:v>510</x:v>
      </x:c>
      <x:c r="G13" s="14" t="n">
        <x:f>IF(G12="Business",('05 Pricing Policy Library'!$D$6+G5*'05 Pricing Policy Library'!$D$9)*12*(1-'05 Pricing Policy Library'!$D$10),IF(G12="Enterprise Core",'05 Pricing Policy Library'!$D$11,IF(G12="Enterprise Scale",'05 Pricing Policy Library'!$D$13,'05 Pricing Policy Library'!$D$15)))</x:f>
        <x:v>24000</x:v>
      </x:c>
      <x:c r="H13" s="17"/>
      <x:c r="I13" s="1" t="s">
        <x:v>511</x:v>
      </x:c>
      <x:c r="J13" s="1" t="s">
        <x:v>512</x:v>
      </x:c>
    </x:row>
    <x:row r="14" ht="29" customHeight="1">
      <x:c r="A14" s="1" t="s">
        <x:v>228</x:v>
      </x:c>
      <x:c r="B14" s="6" t="s">
        <x:v>121</x:v>
      </x:c>
      <x:c r="C14" s="1">
        <x:v>1</x:v>
      </x:c>
      <x:c r="D14" s="11">
        <x:f t="shared" si="0"/>
        <x:v>0</x:v>
      </x:c>
      <x:c r="E14" s="17"/>
      <x:c r="F14" s="1" t="s">
        <x:v>513</x:v>
      </x:c>
      <x:c r="G14" s="14" t="n">
        <x:f>IF(G12="Business",G13,IF(G12="Enterprise Core",'05 Pricing Policy Library'!$D$12,IF(G12="Enterprise Scale",'05 Pricing Policy Library'!$D$14,'05 Pricing Policy Library'!$D$16)))</x:f>
        <x:v>36000</x:v>
      </x:c>
      <x:c r="H14" s="17"/>
      <x:c r="I14" s="1" t="s">
        <x:v>514</x:v>
      </x:c>
      <x:c r="J14" s="1" t="s">
        <x:v>515</x:v>
      </x:c>
    </x:row>
    <x:row r="15" ht="29" customHeight="1">
      <x:c r="A15" s="1" t="s">
        <x:v>231</x:v>
      </x:c>
      <x:c r="B15" s="6" t="s">
        <x:v>121</x:v>
      </x:c>
      <x:c r="C15" s="1">
        <x:v>2</x:v>
      </x:c>
      <x:c r="D15" s="11">
        <x:f t="shared" si="0"/>
        <x:v>0</x:v>
      </x:c>
      <x:c r="E15" s="17"/>
      <x:c r="F15" s="1" t="s">
        <x:v>516</x:v>
      </x:c>
      <x:c r="G15" s="15" t="n">
        <x:f>G13/B21/B5/12*60</x:f>
        <x:v>53.333333333333336</x:v>
      </x:c>
      <x:c r="H15" s="17"/>
      <x:c r="I15" s="17"/>
      <x:c r="J15" s="17"/>
    </x:row>
    <x:row r="16" ht="29" customHeight="1">
      <x:c r="A16" s="1" t="s">
        <x:v>234</x:v>
      </x:c>
      <x:c r="B16" s="6" t="s">
        <x:v>121</x:v>
      </x:c>
      <x:c r="C16" s="1">
        <x:v>1</x:v>
      </x:c>
      <x:c r="D16" s="11">
        <x:f t="shared" si="0"/>
        <x:v>0</x:v>
      </x:c>
      <x:c r="E16" s="17"/>
      <x:c r="F16" s="1" t="s">
        <x:v>517</x:v>
      </x:c>
      <x:c r="G16" s="15" t="n">
        <x:f>G14/B21/B5/12*60</x:f>
        <x:v>80</x:v>
      </x:c>
      <x:c r="H16" s="17"/>
      <x:c r="I16" s="17"/>
      <x:c r="J16" s="17"/>
    </x:row>
    <x:row r="17" ht="29" customHeight="1">
      <x:c r="A17" s="1" t="s">
        <x:v>336</x:v>
      </x:c>
      <x:c r="B17" s="6" t="s">
        <x:v>121</x:v>
      </x:c>
      <x:c r="C17" s="1">
        <x:v>2</x:v>
      </x:c>
      <x:c r="D17" s="11">
        <x:f t="shared" si="0"/>
        <x:v>0</x:v>
      </x:c>
      <x:c r="E17" s="17"/>
      <x:c r="F17" s="1" t="s">
        <x:v>518</x:v>
      </x:c>
      <x:c r="G17" s="12" t="str">
        <x:f>IF(G12="Business","Self-service Business price",IF(G12="Enterprise Core","$24,000–$36,000/year",IF(G12="Enterprise Scale","$48,000–$72,000/year","Starting at $72,000/year; custom")))</x:f>
        <x:v>$24,000–$36,000/year</x:v>
      </x:c>
      <x:c r="H17" s="17"/>
      <x:c r="I17" s="17"/>
      <x:c r="J17" s="17"/>
    </x:row>
    <x:row r="18" ht="29" customHeight="1">
      <x:c r="A18" s="1" t="s">
        <x:v>338</x:v>
      </x:c>
      <x:c r="B18" s="6" t="s">
        <x:v>121</x:v>
      </x:c>
      <x:c r="C18" s="1">
        <x:v>1</x:v>
      </x:c>
      <x:c r="D18" s="11">
        <x:f t="shared" si="0"/>
        <x:v>0</x:v>
      </x:c>
      <x:c r="E18" s="17"/>
      <x:c r="F18" s="1" t="s">
        <x:v>519</x:v>
      </x:c>
      <x:c r="G18" s="12" t="str">
        <x:f>IF(G12="Business","Start Business","Contact Sales")</x:f>
        <x:v>Contact Sales</x:v>
      </x:c>
      <x:c r="H18" s="17"/>
      <x:c r="I18" s="17"/>
      <x:c r="J18" s="17"/>
    </x:row>
    <x:row r="19" ht="29" customHeight="1">
      <x:c r="A19" s="1" t="s">
        <x:v>340</x:v>
      </x:c>
      <x:c r="B19" s="6" t="s">
        <x:v>121</x:v>
      </x:c>
      <x:c r="C19" s="1">
        <x:v>2</x:v>
      </x:c>
      <x:c r="D19" s="11">
        <x:f t="shared" si="0"/>
        <x:v>0</x:v>
      </x:c>
      <x:c r="E19" s="17"/>
      <x:c r="F19" s="17"/>
      <x:c r="G19" s="17"/>
      <x:c r="H19" s="17"/>
      <x:c r="I19" s="17"/>
      <x:c r="J19" s="17"/>
    </x:row>
    <x:row r="20" ht="29" customHeight="1">
      <x:c r="A20" s="17"/>
      <x:c r="B20" s="17"/>
      <x:c r="C20" s="17"/>
      <x:c r="D20" s="17"/>
      <x:c r="E20" s="17"/>
      <x:c r="F20" s="17"/>
      <x:c r="G20" s="17"/>
      <x:c r="H20" s="17"/>
      <x:c r="I20" s="17"/>
      <x:c r="J20" s="17"/>
    </x:row>
    <x:row r="21" ht="29" customHeight="1">
      <x:c r="A21" s="1" t="s">
        <x:v>520</x:v>
      </x:c>
      <x:c r="B21" s="10">
        <x:v>112.5</x:v>
      </x:c>
      <x:c r="C21" s="1" t="s">
        <x:v>521</x:v>
      </x:c>
      <x:c r="D21" s="17"/>
      <x:c r="E21" s="17"/>
      <x:c r="F21" s="17"/>
      <x:c r="G21" s="17"/>
      <x:c r="H21" s="17"/>
      <x:c r="I21" s="17"/>
      <x:c r="J21" s="17"/>
    </x:row>
    <x:row r="22">
      <x:c r="A22" s="17"/>
      <x:c r="B22" s="17"/>
      <x:c r="C22" s="17"/>
      <x:c r="D22" s="17"/>
      <x:c r="E22" s="17"/>
      <x:c r="F22" s="17"/>
      <x:c r="G22" s="17"/>
      <x:c r="H22" s="17"/>
      <x:c r="I22" s="17"/>
      <x:c r="J22" s="17"/>
    </x:row>
    <x:row r="23" ht="40" customHeight="1">
      <x:c r="A23" s="57" t="s">
        <x:v>522</x:v>
      </x:c>
      <x:c r="B23" s="58" t="s">
        <x:v>522</x:v>
      </x:c>
      <x:c r="C23" s="58" t="s">
        <x:v>522</x:v>
      </x:c>
      <x:c r="D23" s="58" t="s">
        <x:v>522</x:v>
      </x:c>
      <x:c r="E23" s="58" t="s">
        <x:v>522</x:v>
      </x:c>
      <x:c r="F23" s="58" t="s">
        <x:v>522</x:v>
      </x:c>
      <x:c r="G23" s="58" t="s">
        <x:v>522</x:v>
      </x:c>
      <x:c r="H23" s="58" t="s">
        <x:v>522</x:v>
      </x:c>
      <x:c r="I23" s="58" t="s">
        <x:v>522</x:v>
      </x:c>
      <x:c r="J23" s="59" t="s">
        <x:v>522</x:v>
      </x:c>
    </x:row>
    <x:row r="24" ht="40" customHeight="1">
      <x:c r="A24" s="60" t="s">
        <x:v>522</x:v>
      </x:c>
      <x:c r="B24" s="61" t="s">
        <x:v>522</x:v>
      </x:c>
      <x:c r="C24" s="61" t="s">
        <x:v>522</x:v>
      </x:c>
      <x:c r="D24" s="61" t="s">
        <x:v>522</x:v>
      </x:c>
      <x:c r="E24" s="61" t="s">
        <x:v>522</x:v>
      </x:c>
      <x:c r="F24" s="61" t="s">
        <x:v>522</x:v>
      </x:c>
      <x:c r="G24" s="61" t="s">
        <x:v>522</x:v>
      </x:c>
      <x:c r="H24" s="61" t="s">
        <x:v>522</x:v>
      </x:c>
      <x:c r="I24" s="61" t="s">
        <x:v>522</x:v>
      </x:c>
      <x:c r="J24" s="62" t="s">
        <x:v>522</x:v>
      </x:c>
    </x:row>
    <x:row r="25" ht="40" customHeight="1">
      <x:c r="A25" s="63" t="s">
        <x:v>522</x:v>
      </x:c>
      <x:c r="B25" s="64" t="s">
        <x:v>522</x:v>
      </x:c>
      <x:c r="C25" s="64" t="s">
        <x:v>522</x:v>
      </x:c>
      <x:c r="D25" s="64" t="s">
        <x:v>522</x:v>
      </x:c>
      <x:c r="E25" s="64" t="s">
        <x:v>522</x:v>
      </x:c>
      <x:c r="F25" s="64" t="s">
        <x:v>522</x:v>
      </x:c>
      <x:c r="G25" s="64" t="s">
        <x:v>522</x:v>
      </x:c>
      <x:c r="H25" s="64" t="s">
        <x:v>522</x:v>
      </x:c>
      <x:c r="I25" s="64" t="s">
        <x:v>522</x:v>
      </x:c>
      <x:c r="J25" s="65" t="s">
        <x:v>522</x:v>
      </x:c>
    </x:row>
    <x:row r="26">
      <x:c r="A26" s="17"/>
      <x:c r="B26" s="17"/>
      <x:c r="C26" s="17"/>
      <x:c r="D26" s="17"/>
      <x:c r="E26" s="17"/>
      <x:c r="F26" s="17"/>
      <x:c r="G26" s="17"/>
      <x:c r="H26" s="17"/>
      <x:c r="I26" s="17"/>
      <x:c r="J26" s="17"/>
    </x:row>
    <x:row r="27" ht="23" customHeight="1">
      <x:c r="A27" s="32" t="s">
        <x:v>523</x:v>
      </x:c>
      <x:c r="B27" s="32" t="s">
        <x:v>523</x:v>
      </x:c>
      <x:c r="C27" s="32" t="s">
        <x:v>523</x:v>
      </x:c>
      <x:c r="D27" s="32" t="s">
        <x:v>523</x:v>
      </x:c>
      <x:c r="E27" s="32" t="s">
        <x:v>523</x:v>
      </x:c>
      <x:c r="F27" s="32" t="s">
        <x:v>523</x:v>
      </x:c>
      <x:c r="G27" s="32" t="s">
        <x:v>523</x:v>
      </x:c>
      <x:c r="H27" s="32" t="s">
        <x:v>523</x:v>
      </x:c>
      <x:c r="I27" s="32" t="s">
        <x:v>523</x:v>
      </x:c>
      <x:c r="J27" s="32" t="s">
        <x:v>523</x:v>
      </x:c>
    </x:row>
    <x:row r="28" ht="30" customHeight="1">
      <x:c r="A28" s="19" t="str">
        <x:v>Case</x:v>
      </x:c>
      <x:c r="B28" s="19" t="str">
        <x:v>Participants</x:v>
      </x:c>
      <x:c r="C28" s="19" t="str">
        <x:v>Teams</x:v>
      </x:c>
      <x:c r="D28" s="19" t="str">
        <x:v>Enterprise req.?</x:v>
      </x:c>
      <x:c r="E28" s="19" t="str">
        <x:v>Complexity</x:v>
      </x:c>
      <x:c r="F28" s="19" t="str">
        <x:v>Expected fit</x:v>
      </x:c>
      <x:c r="G28" s="19" t="str">
        <x:v>Expected low</x:v>
      </x:c>
      <x:c r="H28" s="19" t="str">
        <x:v>Expected high</x:v>
      </x:c>
      <x:c r="I28" s="19" t="s">
        <x:v>168</x:v>
      </x:c>
      <x:c r="J28" s="19" t="s">
        <x:v>524</x:v>
      </x:c>
    </x:row>
    <x:row r="29" ht="48" customHeight="1">
      <x:c r="A29" s="1" t="str">
        <x:v>B-5</x:v>
      </x:c>
      <x:c r="B29" s="1" t="n">
        <x:v>5</x:v>
      </x:c>
      <x:c r="C29" s="1" t="n">
        <x:v>1</x:v>
      </x:c>
      <x:c r="D29" s="1" t="str">
        <x:v>No</x:v>
      </x:c>
      <x:c r="E29" s="1" t="n">
        <x:v>1</x:v>
      </x:c>
      <x:c r="F29" s="1" t="str">
        <x:v>Business</x:v>
      </x:c>
      <x:c r="G29" s="71" t="n">
        <x:v>2988</x:v>
      </x:c>
      <x:c r="H29" s="71" t="n">
        <x:v>2988</x:v>
      </x:c>
      <x:c r="I29" s="1" t="s">
        <x:v>525</x:v>
      </x:c>
      <x:c r="J29" s="1" t="s">
        <x:v>526</x:v>
      </x:c>
    </x:row>
    <x:row r="30" ht="48" customHeight="1">
      <x:c r="A30" s="1" t="str">
        <x:v>B-6</x:v>
      </x:c>
      <x:c r="B30" s="1" t="n">
        <x:v>6</x:v>
      </x:c>
      <x:c r="C30" s="1" t="n">
        <x:v>1</x:v>
      </x:c>
      <x:c r="D30" s="1" t="str">
        <x:v>No</x:v>
      </x:c>
      <x:c r="E30" s="1" t="n">
        <x:v>1</x:v>
      </x:c>
      <x:c r="F30" s="1" t="str">
        <x:v>Business</x:v>
      </x:c>
      <x:c r="G30" s="71" t="n">
        <x:v>3348</x:v>
      </x:c>
      <x:c r="H30" s="71" t="n">
        <x:v>3348</x:v>
      </x:c>
      <x:c r="I30" s="1" t="s">
        <x:v>527</x:v>
      </x:c>
      <x:c r="J30" s="1" t="s">
        <x:v>526</x:v>
      </x:c>
    </x:row>
    <x:row r="31" ht="48" customHeight="1">
      <x:c r="A31" s="1" t="str">
        <x:v>B-10</x:v>
      </x:c>
      <x:c r="B31" s="1" t="n">
        <x:v>10</x:v>
      </x:c>
      <x:c r="C31" s="1" t="n">
        <x:v>1</x:v>
      </x:c>
      <x:c r="D31" s="1" t="str">
        <x:v>No</x:v>
      </x:c>
      <x:c r="E31" s="1" t="n">
        <x:v>1</x:v>
      </x:c>
      <x:c r="F31" s="1" t="str">
        <x:v>Business</x:v>
      </x:c>
      <x:c r="G31" s="71" t="n">
        <x:v>4788</x:v>
      </x:c>
      <x:c r="H31" s="71" t="n">
        <x:v>4788</x:v>
      </x:c>
      <x:c r="I31" s="1" t="s">
        <x:v>528</x:v>
      </x:c>
      <x:c r="J31" s="1" t="s">
        <x:v>526</x:v>
      </x:c>
    </x:row>
    <x:row r="32" ht="48" customHeight="1">
      <x:c r="A32" s="1" t="str">
        <x:v>E-11</x:v>
      </x:c>
      <x:c r="B32" s="1" t="n">
        <x:v>11</x:v>
      </x:c>
      <x:c r="C32" s="1" t="n">
        <x:v>1</x:v>
      </x:c>
      <x:c r="D32" s="1" t="str">
        <x:v>No</x:v>
      </x:c>
      <x:c r="E32" s="1" t="n">
        <x:v>1</x:v>
      </x:c>
      <x:c r="F32" s="1" t="str">
        <x:v>Enterprise Core</x:v>
      </x:c>
      <x:c r="G32" s="71" t="n">
        <x:v>24000</x:v>
      </x:c>
      <x:c r="H32" s="71" t="n">
        <x:v>36000</x:v>
      </x:c>
      <x:c r="I32" s="1" t="s">
        <x:v>529</x:v>
      </x:c>
      <x:c r="J32" s="1" t="s">
        <x:v>526</x:v>
      </x:c>
    </x:row>
    <x:row r="33" ht="48" customHeight="1">
      <x:c r="A33" s="1" t="str">
        <x:v>E-SSO</x:v>
      </x:c>
      <x:c r="B33" s="1" t="n">
        <x:v>8</x:v>
      </x:c>
      <x:c r="C33" s="1" t="n">
        <x:v>1</x:v>
      </x:c>
      <x:c r="D33" s="1" t="str">
        <x:v>Yes</x:v>
      </x:c>
      <x:c r="E33" s="1" t="n">
        <x:v>2</x:v>
      </x:c>
      <x:c r="F33" s="1" t="str">
        <x:v>Enterprise Core</x:v>
      </x:c>
      <x:c r="G33" s="71" t="n">
        <x:v>24000</x:v>
      </x:c>
      <x:c r="H33" s="71" t="n">
        <x:v>36000</x:v>
      </x:c>
      <x:c r="I33" s="1" t="s">
        <x:v>530</x:v>
      </x:c>
      <x:c r="J33" s="1" t="s">
        <x:v>526</x:v>
      </x:c>
    </x:row>
    <x:row r="34" ht="48" customHeight="1">
      <x:c r="A34" s="1" t="str">
        <x:v>E-21</x:v>
      </x:c>
      <x:c r="B34" s="1" t="n">
        <x:v>21</x:v>
      </x:c>
      <x:c r="C34" s="1" t="n">
        <x:v>1</x:v>
      </x:c>
      <x:c r="D34" s="1" t="str">
        <x:v>No</x:v>
      </x:c>
      <x:c r="E34" s="1" t="n">
        <x:v>1</x:v>
      </x:c>
      <x:c r="F34" s="1" t="str">
        <x:v>Enterprise Scale</x:v>
      </x:c>
      <x:c r="G34" s="71" t="n">
        <x:v>48000</x:v>
      </x:c>
      <x:c r="H34" s="71" t="n">
        <x:v>72000</x:v>
      </x:c>
      <x:c r="I34" s="1" t="s">
        <x:v>531</x:v>
      </x:c>
      <x:c r="J34" s="1" t="s">
        <x:v>526</x:v>
      </x:c>
    </x:row>
    <x:row r="35" ht="48" customHeight="1">
      <x:c r="A35" s="1" t="str">
        <x:v>E-CX</x:v>
      </x:c>
      <x:c r="B35" s="1" t="n">
        <x:v>15</x:v>
      </x:c>
      <x:c r="C35" s="1" t="n">
        <x:v>3</x:v>
      </x:c>
      <x:c r="D35" s="1" t="str">
        <x:v>Yes</x:v>
      </x:c>
      <x:c r="E35" s="1" t="n">
        <x:v>10</x:v>
      </x:c>
      <x:c r="F35" s="1" t="str">
        <x:v>Enterprise Strategic</x:v>
      </x:c>
      <x:c r="G35" s="71" t="n">
        <x:v>72000</x:v>
      </x:c>
      <x:c r="H35" s="71" t="n">
        <x:v>120000</x:v>
      </x:c>
      <x:c r="I35" s="1" t="s">
        <x:v>532</x:v>
      </x:c>
      <x:c r="J35" s="1" t="s">
        <x:v>526</x:v>
      </x:c>
    </x:row>
    <x:row r="36" ht="48" customHeight="1">
      <x:c r="A36" s="1" t="str">
        <x:v>E-51</x:v>
      </x:c>
      <x:c r="B36" s="1" t="n">
        <x:v>51</x:v>
      </x:c>
      <x:c r="C36" s="1" t="n">
        <x:v>1</x:v>
      </x:c>
      <x:c r="D36" s="1" t="str">
        <x:v>No</x:v>
      </x:c>
      <x:c r="E36" s="1" t="n">
        <x:v>1</x:v>
      </x:c>
      <x:c r="F36" s="1" t="str">
        <x:v>Enterprise Strategic</x:v>
      </x:c>
      <x:c r="G36" s="71" t="n">
        <x:v>72000</x:v>
      </x:c>
      <x:c r="H36" s="71" t="n">
        <x:v>120000</x:v>
      </x:c>
      <x:c r="I36" s="1" t="s">
        <x:v>533</x:v>
      </x:c>
      <x:c r="J36" s="1" t="s">
        <x:v>526</x:v>
      </x:c>
    </x:row>
    <x:row r="37">
      <x:c r="F37"/>
      <x:c r="G37"/>
      <x:c r="H37"/>
    </x:row>
    <x:row r="38">
      <x:c r="A38"/>
      <x:c r="B38"/>
      <x:c r="C38"/>
      <x:c r="D38"/>
      <x:c r="E38"/>
      <x:c r="F38"/>
      <x:c r="G38"/>
      <x:c r="H38"/>
    </x:row>
  </x:sheetData>
  <x:mergeCells>
    <x:mergeCell ref="A23:J25"/>
    <x:mergeCell ref="A27:J27"/>
    <x:mergeCell ref="A1:J1"/>
    <x:mergeCell ref="A2:J2"/>
    <x:mergeCell ref="A4:D4"/>
    <x:mergeCell ref="F4:J4"/>
    <x:mergeCell ref="A9:D9"/>
  </x:mergeCells>
  <x:dataValidations count="5">
    <x:dataValidation sqref="B5">
      <x:formula1>1</x:formula1>
      <x:formula2>5000</x:formula2>
    </x:dataValidation>
    <x:dataValidation sqref="B6">
      <x:formula1>1</x:formula1>
      <x:formula2>100</x:formula2>
    </x:dataValidation>
    <x:dataValidation type="list" sqref="B7">
      <x:formula1>"Light,Standard,High,Unsure"</x:formula1>
    </x:dataValidation>
    <x:dataValidation type="list" sqref="B10:B19">
      <x:formula1>"Yes,No"</x:formula1>
    </x:dataValidation>
    <x:dataValidation type="decimal" sqref="B21">
      <x:formula1>1</x:formula1>
      <x:formula2>10000</x:formula2>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10" defaultColWidth="8.83203125" defaultRowHeight="14"/>
  <x:cols>
    <x:col min="1" max="1" width="22" customWidth="1"/>
    <x:col min="2" max="2" width="42" customWidth="1"/>
    <x:col min="3" max="4" width="31" customWidth="1"/>
    <x:col min="5" max="5" width="25" customWidth="1"/>
    <x:col min="6" max="6" width="36" customWidth="1"/>
    <x:col min="7" max="7" width="37" customWidth="1"/>
    <x:col min="8" max="8" width="35" customWidth="1"/>
    <x:col min="9" max="9" width="40" customWidth="1"/>
    <x:col min="10" max="10" width="45" customWidth="1"/>
  </x:cols>
  <x:sheetData>
    <x:row r="1" ht="31" customHeight="1">
      <x:c r="A1" s="20" t="s">
        <x:v>534</x:v>
      </x:c>
      <x:c r="B1" s="20"/>
      <x:c r="C1" s="20"/>
      <x:c r="D1" s="20"/>
      <x:c r="E1" s="20"/>
      <x:c r="F1" s="20"/>
      <x:c r="G1" s="20"/>
      <x:c r="H1" s="20"/>
      <x:c r="I1" s="20"/>
      <x:c r="J1" s="20"/>
    </x:row>
    <x:row r="2" ht="30" customHeight="1">
      <x:c r="A2" s="21" t="s">
        <x:v>535</x:v>
      </x:c>
      <x:c r="B2" s="21"/>
      <x:c r="C2" s="21"/>
      <x:c r="D2" s="21"/>
      <x:c r="E2" s="21"/>
      <x:c r="F2" s="21"/>
      <x:c r="G2" s="21"/>
      <x:c r="H2" s="21"/>
      <x:c r="I2" s="21"/>
      <x:c r="J2" s="21"/>
    </x:row>
    <x:row r="3">
      <x:c r="A3" s="17"/>
      <x:c r="B3" s="17"/>
      <x:c r="C3" s="17"/>
      <x:c r="D3" s="17"/>
      <x:c r="E3" s="17"/>
      <x:c r="F3" s="17"/>
      <x:c r="G3" s="17"/>
      <x:c r="H3" s="17"/>
      <x:c r="I3" s="17"/>
      <x:c r="J3" s="17"/>
    </x:row>
    <x:row r="4" ht="23" customHeight="1">
      <x:c r="A4" s="22" t="s">
        <x:v>536</x:v>
      </x:c>
      <x:c r="B4" s="22" t="s">
        <x:v>536</x:v>
      </x:c>
      <x:c r="C4" s="22" t="s">
        <x:v>536</x:v>
      </x:c>
      <x:c r="D4" s="22" t="s">
        <x:v>536</x:v>
      </x:c>
      <x:c r="E4" s="22" t="s">
        <x:v>536</x:v>
      </x:c>
      <x:c r="F4" s="22" t="s">
        <x:v>536</x:v>
      </x:c>
      <x:c r="G4" s="22" t="s">
        <x:v>536</x:v>
      </x:c>
      <x:c r="H4" s="22" t="s">
        <x:v>536</x:v>
      </x:c>
      <x:c r="I4" s="22" t="s">
        <x:v>536</x:v>
      </x:c>
      <x:c r="J4" s="22" t="s">
        <x:v>536</x:v>
      </x:c>
    </x:row>
    <x:row r="5" ht="30" customHeight="1">
      <x:c r="A5" s="19" t="s">
        <x:v>537</x:v>
      </x:c>
      <x:c r="B5" s="19" t="s">
        <x:v>538</x:v>
      </x:c>
      <x:c r="C5" s="19" t="s">
        <x:v>539</x:v>
      </x:c>
      <x:c r="D5" s="19" t="s">
        <x:v>540</x:v>
      </x:c>
      <x:c r="E5" s="19" t="s">
        <x:v>541</x:v>
      </x:c>
      <x:c r="F5" s="19" t="s">
        <x:v>542</x:v>
      </x:c>
      <x:c r="G5" s="19" t="s">
        <x:v>543</x:v>
      </x:c>
      <x:c r="H5" s="19" t="s">
        <x:v>544</x:v>
      </x:c>
      <x:c r="I5" s="19" t="s">
        <x:v>545</x:v>
      </x:c>
      <x:c r="J5" s="19" t="s">
        <x:v>546</x:v>
      </x:c>
    </x:row>
    <x:row r="6" ht="85" customHeight="1">
      <x:c r="A6" s="1" t="s">
        <x:v>547</x:v>
      </x:c>
      <x:c r="B6" s="1" t="s">
        <x:v>548</x:v>
      </x:c>
      <x:c r="C6" s="1" t="s">
        <x:v>549</x:v>
      </x:c>
      <x:c r="D6" s="1" t="s">
        <x:v>550</x:v>
      </x:c>
      <x:c r="E6" s="1" t="s">
        <x:v>551</x:v>
      </x:c>
      <x:c r="F6" s="1" t="s">
        <x:v>552</x:v>
      </x:c>
      <x:c r="G6" s="1" t="s">
        <x:v>553</x:v>
      </x:c>
      <x:c r="H6" s="1" t="s">
        <x:v>554</x:v>
      </x:c>
      <x:c r="I6" s="1" t="s">
        <x:v>555</x:v>
      </x:c>
      <x:c r="J6" s="1" t="s">
        <x:v>556</x:v>
      </x:c>
    </x:row>
    <x:row r="7" ht="85" customHeight="1">
      <x:c r="A7" s="1" t="s">
        <x:v>557</x:v>
      </x:c>
      <x:c r="B7" s="1" t="s">
        <x:v>558</x:v>
      </x:c>
      <x:c r="C7" s="1" t="s">
        <x:v>559</x:v>
      </x:c>
      <x:c r="D7" s="1" t="s">
        <x:v>560</x:v>
      </x:c>
      <x:c r="E7" s="1" t="s">
        <x:v>561</x:v>
      </x:c>
      <x:c r="F7" s="1" t="s">
        <x:v>562</x:v>
      </x:c>
      <x:c r="G7" s="1" t="s">
        <x:v>563</x:v>
      </x:c>
      <x:c r="H7" s="1" t="s">
        <x:v>564</x:v>
      </x:c>
      <x:c r="I7" s="1" t="s">
        <x:v>555</x:v>
      </x:c>
      <x:c r="J7" s="1" t="s">
        <x:v>565</x:v>
      </x:c>
    </x:row>
    <x:row r="8" ht="85" customHeight="1">
      <x:c r="A8" s="1" t="s">
        <x:v>566</x:v>
      </x:c>
      <x:c r="B8" s="1" t="s">
        <x:v>567</x:v>
      </x:c>
      <x:c r="C8" s="1" t="s">
        <x:v>568</x:v>
      </x:c>
      <x:c r="D8" s="1" t="s">
        <x:v>569</x:v>
      </x:c>
      <x:c r="E8" s="1" t="s">
        <x:v>561</x:v>
      </x:c>
      <x:c r="F8" s="1" t="s">
        <x:v>570</x:v>
      </x:c>
      <x:c r="G8" s="1" t="s">
        <x:v>571</x:v>
      </x:c>
      <x:c r="H8" s="1" t="s">
        <x:v>572</x:v>
      </x:c>
      <x:c r="I8" s="1" t="s">
        <x:v>573</x:v>
      </x:c>
      <x:c r="J8" s="1" t="s">
        <x:v>574</x:v>
      </x:c>
    </x:row>
    <x:row r="9" ht="85" customHeight="1">
      <x:c r="A9" s="1" t="s">
        <x:v>575</x:v>
      </x:c>
      <x:c r="B9" s="1" t="s">
        <x:v>576</x:v>
      </x:c>
      <x:c r="C9" s="1" t="s">
        <x:v>577</x:v>
      </x:c>
      <x:c r="D9" s="1" t="s">
        <x:v>577</x:v>
      </x:c>
      <x:c r="E9" s="1" t="s">
        <x:v>561</x:v>
      </x:c>
      <x:c r="F9" s="1" t="s">
        <x:v>63</x:v>
      </x:c>
      <x:c r="G9" s="1" t="s">
        <x:v>578</x:v>
      </x:c>
      <x:c r="H9" s="1" t="s">
        <x:v>63</x:v>
      </x:c>
      <x:c r="I9" s="1" t="s">
        <x:v>63</x:v>
      </x:c>
      <x:c r="J9" s="1" t="s">
        <x:v>579</x:v>
      </x:c>
    </x:row>
    <x:row r="10" ht="85" customHeight="1">
      <x:c r="A10" s="1" t="s">
        <x:v>580</x:v>
      </x:c>
      <x:c r="B10" s="1" t="s">
        <x:v>581</x:v>
      </x:c>
      <x:c r="C10" s="1" t="s">
        <x:v>582</x:v>
      </x:c>
      <x:c r="D10" s="1" t="s">
        <x:v>583</x:v>
      </x:c>
      <x:c r="E10" s="1" t="s">
        <x:v>584</x:v>
      </x:c>
      <x:c r="F10" s="1" t="s">
        <x:v>585</x:v>
      </x:c>
      <x:c r="G10" s="1" t="s">
        <x:v>586</x:v>
      </x:c>
      <x:c r="H10" s="1" t="s">
        <x:v>587</x:v>
      </x:c>
      <x:c r="I10" s="1" t="s">
        <x:v>588</x:v>
      </x:c>
      <x:c r="J10" s="1" t="s">
        <x:v>589</x:v>
      </x:c>
    </x:row>
    <x:row r="11" ht="85" customHeight="1">
      <x:c r="A11" s="1" t="s">
        <x:v>590</x:v>
      </x:c>
      <x:c r="B11" s="1" t="s">
        <x:v>591</x:v>
      </x:c>
      <x:c r="C11" s="1" t="s">
        <x:v>592</x:v>
      </x:c>
      <x:c r="D11" s="1" t="s">
        <x:v>593</x:v>
      </x:c>
      <x:c r="E11" s="1" t="s">
        <x:v>594</x:v>
      </x:c>
      <x:c r="F11" s="1" t="s">
        <x:v>595</x:v>
      </x:c>
      <x:c r="G11" s="1" t="s">
        <x:v>596</x:v>
      </x:c>
      <x:c r="H11" s="1" t="s">
        <x:v>597</x:v>
      </x:c>
      <x:c r="I11" s="1" t="s">
        <x:v>598</x:v>
      </x:c>
      <x:c r="J11" s="1" t="s">
        <x:v>599</x:v>
      </x:c>
    </x:row>
    <x:row r="12" ht="85" customHeight="1">
      <x:c r="A12" s="1" t="s">
        <x:v>600</x:v>
      </x:c>
      <x:c r="B12" s="1" t="s">
        <x:v>601</x:v>
      </x:c>
      <x:c r="C12" s="1" t="s">
        <x:v>602</x:v>
      </x:c>
      <x:c r="D12" s="1" t="s">
        <x:v>603</x:v>
      </x:c>
      <x:c r="E12" s="1" t="s">
        <x:v>604</x:v>
      </x:c>
      <x:c r="F12" s="1" t="s">
        <x:v>160</x:v>
      </x:c>
      <x:c r="G12" s="1" t="s">
        <x:v>605</x:v>
      </x:c>
      <x:c r="H12" s="1" t="s">
        <x:v>606</x:v>
      </x:c>
      <x:c r="I12" s="1" t="s">
        <x:v>607</x:v>
      </x:c>
      <x:c r="J12" s="1" t="s">
        <x:v>608</x:v>
      </x:c>
    </x:row>
    <x:row r="13" ht="85" customHeight="1">
      <x:c r="A13" s="1" t="s">
        <x:v>609</x:v>
      </x:c>
      <x:c r="B13" s="1" t="s">
        <x:v>610</x:v>
      </x:c>
      <x:c r="C13" s="1" t="s">
        <x:v>611</x:v>
      </x:c>
      <x:c r="D13" s="1" t="s">
        <x:v>612</x:v>
      </x:c>
      <x:c r="E13" s="1" t="s">
        <x:v>613</x:v>
      </x:c>
      <x:c r="F13" s="1" t="s">
        <x:v>614</x:v>
      </x:c>
      <x:c r="G13" s="1" t="s">
        <x:v>615</x:v>
      </x:c>
      <x:c r="H13" s="1" t="s">
        <x:v>616</x:v>
      </x:c>
      <x:c r="I13" s="1" t="s">
        <x:v>617</x:v>
      </x:c>
      <x:c r="J13" s="1" t="s">
        <x:v>618</x:v>
      </x:c>
    </x:row>
    <x:row r="14" ht="85" customHeight="1">
      <x:c r="A14" s="1" t="s">
        <x:v>619</x:v>
      </x:c>
      <x:c r="B14" s="1" t="s">
        <x:v>620</x:v>
      </x:c>
      <x:c r="C14" s="1" t="s">
        <x:v>621</x:v>
      </x:c>
      <x:c r="D14" s="1" t="s">
        <x:v>621</x:v>
      </x:c>
      <x:c r="E14" s="1" t="s">
        <x:v>622</x:v>
      </x:c>
      <x:c r="F14" s="1" t="s">
        <x:v>623</x:v>
      </x:c>
      <x:c r="G14" s="1" t="s">
        <x:v>624</x:v>
      </x:c>
      <x:c r="H14" s="1" t="s">
        <x:v>625</x:v>
      </x:c>
      <x:c r="I14" s="1" t="s">
        <x:v>626</x:v>
      </x:c>
      <x:c r="J14" s="1" t="s">
        <x:v>627</x:v>
      </x:c>
    </x:row>
    <x:row r="15">
      <x:c r="A15" s="17"/>
      <x:c r="B15" s="17"/>
      <x:c r="C15" s="17"/>
      <x:c r="D15" s="17"/>
      <x:c r="E15" s="17"/>
      <x:c r="F15" s="17"/>
      <x:c r="G15" s="17"/>
      <x:c r="H15" s="17"/>
      <x:c r="I15" s="17"/>
      <x:c r="J15" s="17"/>
    </x:row>
    <x:row r="16" ht="23" customHeight="1">
      <x:c r="A16" s="32" t="s">
        <x:v>628</x:v>
      </x:c>
      <x:c r="B16" s="32" t="s">
        <x:v>628</x:v>
      </x:c>
      <x:c r="C16" s="32" t="s">
        <x:v>628</x:v>
      </x:c>
      <x:c r="D16" s="32" t="s">
        <x:v>628</x:v>
      </x:c>
      <x:c r="E16" s="32" t="s">
        <x:v>628</x:v>
      </x:c>
      <x:c r="F16" s="32" t="s">
        <x:v>628</x:v>
      </x:c>
      <x:c r="G16" s="32" t="s">
        <x:v>628</x:v>
      </x:c>
      <x:c r="H16" s="32" t="s">
        <x:v>628</x:v>
      </x:c>
      <x:c r="I16" s="32" t="s">
        <x:v>628</x:v>
      </x:c>
      <x:c r="J16" s="32" t="s">
        <x:v>628</x:v>
      </x:c>
    </x:row>
    <x:row r="17" ht="30" customHeight="1">
      <x:c r="A17" s="19" t="s">
        <x:v>629</x:v>
      </x:c>
      <x:c r="B17" s="19" t="s">
        <x:v>630</x:v>
      </x:c>
      <x:c r="C17" s="19" t="s">
        <x:v>631</x:v>
      </x:c>
      <x:c r="D17" s="19" t="s">
        <x:v>632</x:v>
      </x:c>
      <x:c r="E17" s="19" t="s">
        <x:v>633</x:v>
      </x:c>
      <x:c r="F17" s="19" t="s">
        <x:v>634</x:v>
      </x:c>
      <x:c r="G17" s="17"/>
      <x:c r="H17" s="17"/>
      <x:c r="I17" s="17"/>
      <x:c r="J17" s="17"/>
    </x:row>
    <x:row r="18" ht="15">
      <x:c r="A18" s="1" t="s">
        <x:v>635</x:v>
      </x:c>
      <x:c r="B18" s="1" t="s">
        <x:v>636</x:v>
      </x:c>
      <x:c r="C18" s="1" t="s">
        <x:v>637</x:v>
      </x:c>
      <x:c r="D18" s="1" t="s">
        <x:v>638</x:v>
      </x:c>
      <x:c r="E18" s="1" t="s">
        <x:v>639</x:v>
      </x:c>
      <x:c r="F18" s="1" t="s">
        <x:v>640</x:v>
      </x:c>
      <x:c r="G18" s="17"/>
      <x:c r="H18" s="17"/>
      <x:c r="I18" s="17"/>
      <x:c r="J18" s="17"/>
    </x:row>
    <x:row r="19" ht="30">
      <x:c r="A19" s="1" t="s">
        <x:v>641</x:v>
      </x:c>
      <x:c r="B19" s="1" t="s">
        <x:v>642</x:v>
      </x:c>
      <x:c r="C19" s="1" t="s">
        <x:v>643</x:v>
      </x:c>
      <x:c r="D19" s="1" t="s">
        <x:v>644</x:v>
      </x:c>
      <x:c r="E19" s="1" t="s">
        <x:v>645</x:v>
      </x:c>
      <x:c r="F19" s="1" t="s">
        <x:v>646</x:v>
      </x:c>
      <x:c r="G19" s="17"/>
      <x:c r="H19" s="17"/>
      <x:c r="I19" s="17"/>
      <x:c r="J19" s="17"/>
    </x:row>
    <x:row r="20" ht="15">
      <x:c r="A20" s="1" t="s">
        <x:v>587</x:v>
      </x:c>
      <x:c r="B20" s="1" t="s">
        <x:v>647</x:v>
      </x:c>
      <x:c r="C20" s="1" t="s">
        <x:v>648</x:v>
      </x:c>
      <x:c r="D20" s="1" t="s">
        <x:v>649</x:v>
      </x:c>
      <x:c r="E20" s="1" t="s">
        <x:v>650</x:v>
      </x:c>
      <x:c r="F20" s="1" t="s">
        <x:v>651</x:v>
      </x:c>
      <x:c r="G20" s="17"/>
      <x:c r="H20" s="17"/>
      <x:c r="I20" s="17"/>
      <x:c r="J20" s="17"/>
    </x:row>
    <x:row r="21" ht="15">
      <x:c r="A21" s="1" t="s">
        <x:v>597</x:v>
      </x:c>
      <x:c r="B21" s="1" t="s">
        <x:v>590</x:v>
      </x:c>
      <x:c r="C21" s="1" t="s">
        <x:v>652</x:v>
      </x:c>
      <x:c r="D21" s="1" t="s">
        <x:v>653</x:v>
      </x:c>
      <x:c r="E21" s="1" t="s">
        <x:v>654</x:v>
      </x:c>
      <x:c r="F21" s="1" t="s">
        <x:v>655</x:v>
      </x:c>
      <x:c r="G21" s="17"/>
      <x:c r="H21" s="17"/>
      <x:c r="I21" s="17"/>
      <x:c r="J21" s="17"/>
    </x:row>
    <x:row r="22" ht="15">
      <x:c r="A22" s="1" t="s">
        <x:v>606</x:v>
      </x:c>
      <x:c r="B22" s="1" t="s">
        <x:v>600</x:v>
      </x:c>
      <x:c r="C22" s="1" t="s">
        <x:v>648</x:v>
      </x:c>
      <x:c r="D22" s="1" t="s">
        <x:v>656</x:v>
      </x:c>
      <x:c r="E22" s="1" t="s">
        <x:v>657</x:v>
      </x:c>
      <x:c r="F22" s="1" t="s">
        <x:v>658</x:v>
      </x:c>
      <x:c r="G22" s="17"/>
      <x:c r="H22" s="17"/>
      <x:c r="I22" s="17"/>
      <x:c r="J22" s="17"/>
    </x:row>
    <x:row r="23" ht="30">
      <x:c r="A23" s="1" t="s">
        <x:v>616</x:v>
      </x:c>
      <x:c r="B23" s="1" t="s">
        <x:v>659</x:v>
      </x:c>
      <x:c r="C23" s="1" t="s">
        <x:v>660</x:v>
      </x:c>
      <x:c r="D23" s="1" t="s">
        <x:v>661</x:v>
      </x:c>
      <x:c r="E23" s="1" t="s">
        <x:v>662</x:v>
      </x:c>
      <x:c r="F23" s="1" t="s">
        <x:v>663</x:v>
      </x:c>
      <x:c r="G23" s="17"/>
      <x:c r="H23" s="17"/>
      <x:c r="I23" s="17"/>
      <x:c r="J23" s="17"/>
    </x:row>
    <x:row r="24" ht="15">
      <x:c r="A24" s="1" t="s">
        <x:v>625</x:v>
      </x:c>
      <x:c r="B24" s="1" t="s">
        <x:v>664</x:v>
      </x:c>
      <x:c r="C24" s="1" t="s">
        <x:v>665</x:v>
      </x:c>
      <x:c r="D24" s="1" t="s">
        <x:v>666</x:v>
      </x:c>
      <x:c r="E24" s="1" t="s">
        <x:v>667</x:v>
      </x:c>
      <x:c r="F24" s="1" t="s">
        <x:v>668</x:v>
      </x:c>
      <x:c r="G24" s="17"/>
      <x:c r="H24" s="17"/>
      <x:c r="I24" s="17"/>
      <x:c r="J24" s="17"/>
    </x:row>
  </x:sheetData>
  <x:mergeCells>
    <x:mergeCell ref="A1:J1"/>
    <x:mergeCell ref="A2:J2"/>
    <x:mergeCell ref="A4:J4"/>
    <x:mergeCell ref="A16:J16"/>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10" defaultColWidth="8.83203125" defaultRowHeight="14"/>
  <x:cols>
    <x:col min="1" max="1" width="12" customWidth="1"/>
    <x:col min="2" max="2" width="20" customWidth="1"/>
    <x:col min="3" max="3" width="46" customWidth="1"/>
    <x:col min="4" max="4" width="48" customWidth="1"/>
    <x:col min="5" max="5" width="14" customWidth="1"/>
    <x:col min="6" max="6" width="22" customWidth="1"/>
    <x:col min="7" max="7" width="16" customWidth="1"/>
    <x:col min="8" max="8" width="30" customWidth="1"/>
    <x:col min="9" max="9" width="15" customWidth="1"/>
    <x:col min="10" max="10" width="36" customWidth="1"/>
  </x:cols>
  <x:sheetData>
    <x:row r="1" ht="31" customHeight="1">
      <x:c r="A1" s="20" t="s">
        <x:v>669</x:v>
      </x:c>
      <x:c r="B1" s="20"/>
      <x:c r="C1" s="20"/>
      <x:c r="D1" s="20"/>
      <x:c r="E1" s="20"/>
      <x:c r="F1" s="20"/>
      <x:c r="G1" s="20"/>
      <x:c r="H1" s="20"/>
      <x:c r="I1" s="20"/>
      <x:c r="J1" s="20"/>
    </x:row>
    <x:row r="2" ht="30" customHeight="1">
      <x:c r="A2" s="21" t="s">
        <x:v>670</x:v>
      </x:c>
      <x:c r="B2" s="21"/>
      <x:c r="C2" s="21"/>
      <x:c r="D2" s="21"/>
      <x:c r="E2" s="21"/>
      <x:c r="F2" s="21"/>
      <x:c r="G2" s="21"/>
      <x:c r="H2" s="21"/>
      <x:c r="I2" s="21"/>
      <x:c r="J2" s="21"/>
    </x:row>
    <x:row r="3">
      <x:c r="A3" s="17"/>
      <x:c r="B3" s="17"/>
      <x:c r="C3" s="17"/>
      <x:c r="D3" s="17"/>
      <x:c r="E3" s="17"/>
      <x:c r="F3" s="17"/>
      <x:c r="G3" s="17"/>
      <x:c r="H3" s="17"/>
      <x:c r="I3" s="17"/>
      <x:c r="J3" s="17"/>
    </x:row>
    <x:row r="4" ht="23" customHeight="1">
      <x:c r="A4" s="22" t="s">
        <x:v>671</x:v>
      </x:c>
      <x:c r="B4" s="22" t="s">
        <x:v>671</x:v>
      </x:c>
      <x:c r="C4" s="22" t="s">
        <x:v>671</x:v>
      </x:c>
      <x:c r="D4" s="22" t="s">
        <x:v>671</x:v>
      </x:c>
      <x:c r="E4" s="22" t="s">
        <x:v>671</x:v>
      </x:c>
      <x:c r="F4" s="22" t="s">
        <x:v>671</x:v>
      </x:c>
      <x:c r="G4" s="22" t="s">
        <x:v>671</x:v>
      </x:c>
      <x:c r="H4" s="22" t="s">
        <x:v>671</x:v>
      </x:c>
      <x:c r="I4" s="22" t="s">
        <x:v>671</x:v>
      </x:c>
      <x:c r="J4" s="22" t="s">
        <x:v>671</x:v>
      </x:c>
    </x:row>
    <x:row r="5" ht="30" customHeight="1">
      <x:c r="A5" s="19" t="s">
        <x:v>180</x:v>
      </x:c>
      <x:c r="B5" s="19" t="s">
        <x:v>364</x:v>
      </x:c>
      <x:c r="C5" s="19" t="s">
        <x:v>672</x:v>
      </x:c>
      <x:c r="D5" s="19" t="s">
        <x:v>673</x:v>
      </x:c>
      <x:c r="E5" s="19" t="s">
        <x:v>674</x:v>
      </x:c>
      <x:c r="F5" s="19" t="s">
        <x:v>462</x:v>
      </x:c>
      <x:c r="G5" s="19" t="s">
        <x:v>367</x:v>
      </x:c>
      <x:c r="H5" s="19" t="s">
        <x:v>675</x:v>
      </x:c>
      <x:c r="I5" s="19" t="s">
        <x:v>676</x:v>
      </x:c>
      <x:c r="J5" s="19" t="s">
        <x:v>316</x:v>
      </x:c>
    </x:row>
    <x:row r="6" ht="62" customHeight="1">
      <x:c r="A6" s="1" t="s">
        <x:v>677</x:v>
      </x:c>
      <x:c r="B6" s="1" t="s">
        <x:v>678</x:v>
      </x:c>
      <x:c r="C6" s="1" t="s">
        <x:v>679</x:v>
      </x:c>
      <x:c r="D6" s="1" t="s">
        <x:v>680</x:v>
      </x:c>
      <x:c r="E6" s="1" t="s">
        <x:v>681</x:v>
      </x:c>
      <x:c r="F6" s="1" t="s">
        <x:v>682</x:v>
      </x:c>
      <x:c r="G6" s="5" t="s">
        <x:v>683</x:v>
      </x:c>
      <x:c r="H6" s="1"/>
      <x:c r="I6" s="2"/>
      <x:c r="J6" s="1"/>
    </x:row>
    <x:row r="7" ht="62" customHeight="1">
      <x:c r="A7" s="1" t="s">
        <x:v>684</x:v>
      </x:c>
      <x:c r="B7" s="1" t="s">
        <x:v>678</x:v>
      </x:c>
      <x:c r="C7" s="1" t="s">
        <x:v>685</x:v>
      </x:c>
      <x:c r="D7" s="1" t="s">
        <x:v>686</x:v>
      </x:c>
      <x:c r="E7" s="1" t="s">
        <x:v>681</x:v>
      </x:c>
      <x:c r="F7" s="1" t="s">
        <x:v>682</x:v>
      </x:c>
      <x:c r="G7" s="5" t="s">
        <x:v>683</x:v>
      </x:c>
      <x:c r="H7" s="1"/>
      <x:c r="I7" s="2"/>
      <x:c r="J7" s="1"/>
    </x:row>
    <x:row r="8" ht="62" customHeight="1">
      <x:c r="A8" s="1" t="s">
        <x:v>687</x:v>
      </x:c>
      <x:c r="B8" s="1" t="s">
        <x:v>678</x:v>
      </x:c>
      <x:c r="C8" s="1" t="s">
        <x:v>688</x:v>
      </x:c>
      <x:c r="D8" s="1" t="s">
        <x:v>689</x:v>
      </x:c>
      <x:c r="E8" s="1" t="s">
        <x:v>681</x:v>
      </x:c>
      <x:c r="F8" s="1" t="s">
        <x:v>682</x:v>
      </x:c>
      <x:c r="G8" s="5" t="s">
        <x:v>683</x:v>
      </x:c>
      <x:c r="H8" s="1"/>
      <x:c r="I8" s="2"/>
      <x:c r="J8" s="1"/>
    </x:row>
    <x:row r="9" ht="62" customHeight="1">
      <x:c r="A9" s="1" t="s">
        <x:v>690</x:v>
      </x:c>
      <x:c r="B9" s="1" t="s">
        <x:v>678</x:v>
      </x:c>
      <x:c r="C9" s="1" t="s">
        <x:v>691</x:v>
      </x:c>
      <x:c r="D9" s="1" t="s">
        <x:v>692</x:v>
      </x:c>
      <x:c r="E9" s="1" t="s">
        <x:v>681</x:v>
      </x:c>
      <x:c r="F9" s="1" t="s">
        <x:v>682</x:v>
      </x:c>
      <x:c r="G9" s="5" t="s">
        <x:v>683</x:v>
      </x:c>
      <x:c r="H9" s="1"/>
      <x:c r="I9" s="2"/>
      <x:c r="J9" s="1"/>
    </x:row>
    <x:row r="10" ht="62" customHeight="1">
      <x:c r="A10" s="1" t="s">
        <x:v>693</x:v>
      </x:c>
      <x:c r="B10" s="1" t="s">
        <x:v>514</x:v>
      </x:c>
      <x:c r="C10" s="1" t="s">
        <x:v>694</x:v>
      </x:c>
      <x:c r="D10" s="1" t="s">
        <x:v>695</x:v>
      </x:c>
      <x:c r="E10" s="1" t="s">
        <x:v>681</x:v>
      </x:c>
      <x:c r="F10" s="1" t="s">
        <x:v>696</x:v>
      </x:c>
      <x:c r="G10" s="5" t="s">
        <x:v>683</x:v>
      </x:c>
      <x:c r="H10" s="1"/>
      <x:c r="I10" s="2"/>
      <x:c r="J10" s="1" t="s">
        <x:v>697</x:v>
      </x:c>
    </x:row>
    <x:row r="11" ht="62" customHeight="1">
      <x:c r="A11" s="1" t="s">
        <x:v>698</x:v>
      </x:c>
      <x:c r="B11" s="1" t="s">
        <x:v>699</x:v>
      </x:c>
      <x:c r="C11" s="1" t="s">
        <x:v>700</x:v>
      </x:c>
      <x:c r="D11" s="1" t="s">
        <x:v>102</x:v>
      </x:c>
      <x:c r="E11" s="1" t="s">
        <x:v>681</x:v>
      </x:c>
      <x:c r="F11" s="1" t="s">
        <x:v>682</x:v>
      </x:c>
      <x:c r="G11" s="5" t="s">
        <x:v>683</x:v>
      </x:c>
      <x:c r="H11" s="1"/>
      <x:c r="I11" s="2"/>
      <x:c r="J11" s="1"/>
    </x:row>
    <x:row r="12" ht="62" customHeight="1">
      <x:c r="A12" s="1" t="s">
        <x:v>701</x:v>
      </x:c>
      <x:c r="B12" s="1" t="s">
        <x:v>356</x:v>
      </x:c>
      <x:c r="C12" s="1" t="s">
        <x:v>702</x:v>
      </x:c>
      <x:c r="D12" s="1" t="s">
        <x:v>703</x:v>
      </x:c>
      <x:c r="E12" s="1" t="s">
        <x:v>704</x:v>
      </x:c>
      <x:c r="F12" s="1" t="s">
        <x:v>696</x:v>
      </x:c>
      <x:c r="G12" s="5" t="s">
        <x:v>683</x:v>
      </x:c>
      <x:c r="H12" s="1"/>
      <x:c r="I12" s="2"/>
      <x:c r="J12" s="1"/>
    </x:row>
    <x:row r="13" ht="62" customHeight="1">
      <x:c r="A13" s="1" t="s">
        <x:v>705</x:v>
      </x:c>
      <x:c r="B13" s="1" t="s">
        <x:v>356</x:v>
      </x:c>
      <x:c r="C13" s="1" t="s">
        <x:v>706</x:v>
      </x:c>
      <x:c r="D13" s="1" t="s">
        <x:v>104</x:v>
      </x:c>
      <x:c r="E13" s="1" t="s">
        <x:v>704</x:v>
      </x:c>
      <x:c r="F13" s="1" t="s">
        <x:v>696</x:v>
      </x:c>
      <x:c r="G13" s="5" t="s">
        <x:v>683</x:v>
      </x:c>
      <x:c r="H13" s="1"/>
      <x:c r="I13" s="2"/>
      <x:c r="J13" s="1"/>
    </x:row>
    <x:row r="14" ht="62" customHeight="1">
      <x:c r="A14" s="1" t="s">
        <x:v>707</x:v>
      </x:c>
      <x:c r="B14" s="1" t="s">
        <x:v>708</x:v>
      </x:c>
      <x:c r="C14" s="1" t="s">
        <x:v>709</x:v>
      </x:c>
      <x:c r="D14" s="1" t="s">
        <x:v>710</x:v>
      </x:c>
      <x:c r="E14" s="1" t="s">
        <x:v>681</x:v>
      </x:c>
      <x:c r="F14" s="1" t="s">
        <x:v>711</x:v>
      </x:c>
      <x:c r="G14" s="5" t="s">
        <x:v>683</x:v>
      </x:c>
      <x:c r="H14" s="1"/>
      <x:c r="I14" s="2"/>
      <x:c r="J14" s="1"/>
    </x:row>
    <x:row r="15" ht="62" customHeight="1">
      <x:c r="A15" s="1" t="s">
        <x:v>712</x:v>
      </x:c>
      <x:c r="B15" s="1" t="s">
        <x:v>152</x:v>
      </x:c>
      <x:c r="C15" s="1" t="s">
        <x:v>713</x:v>
      </x:c>
      <x:c r="D15" s="1" t="s">
        <x:v>714</x:v>
      </x:c>
      <x:c r="E15" s="1" t="s">
        <x:v>681</x:v>
      </x:c>
      <x:c r="F15" s="1" t="s">
        <x:v>715</x:v>
      </x:c>
      <x:c r="G15" s="5" t="s">
        <x:v>683</x:v>
      </x:c>
      <x:c r="H15" s="1"/>
      <x:c r="I15" s="2"/>
      <x:c r="J15" s="1"/>
    </x:row>
    <x:row r="16" ht="62" customHeight="1">
      <x:c r="A16" s="1" t="s">
        <x:v>716</x:v>
      </x:c>
      <x:c r="B16" s="1" t="s">
        <x:v>87</x:v>
      </x:c>
      <x:c r="C16" s="1" t="s">
        <x:v>717</x:v>
      </x:c>
      <x:c r="D16" s="1" t="s">
        <x:v>718</x:v>
      </x:c>
      <x:c r="E16" s="1" t="s">
        <x:v>681</x:v>
      </x:c>
      <x:c r="F16" s="1" t="s">
        <x:v>719</x:v>
      </x:c>
      <x:c r="G16" s="5" t="s">
        <x:v>683</x:v>
      </x:c>
      <x:c r="H16" s="1"/>
      <x:c r="I16" s="2"/>
      <x:c r="J16" s="1"/>
    </x:row>
    <x:row r="17" ht="62" customHeight="1">
      <x:c r="A17" s="1" t="s">
        <x:v>720</x:v>
      </x:c>
      <x:c r="B17" s="1" t="s">
        <x:v>721</x:v>
      </x:c>
      <x:c r="C17" s="1" t="s">
        <x:v>722</x:v>
      </x:c>
      <x:c r="D17" s="1" t="s">
        <x:v>723</x:v>
      </x:c>
      <x:c r="E17" s="1" t="s">
        <x:v>681</x:v>
      </x:c>
      <x:c r="F17" s="1" t="s">
        <x:v>724</x:v>
      </x:c>
      <x:c r="G17" s="5" t="s">
        <x:v>683</x:v>
      </x:c>
      <x:c r="H17" s="1"/>
      <x:c r="I17" s="2"/>
      <x:c r="J17" s="1"/>
    </x:row>
    <x:row r="18" ht="62" customHeight="1">
      <x:c r="A18" s="1" t="s">
        <x:v>725</x:v>
      </x:c>
      <x:c r="B18" s="1" t="s">
        <x:v>726</x:v>
      </x:c>
      <x:c r="C18" s="1" t="s">
        <x:v>727</x:v>
      </x:c>
      <x:c r="D18" s="1" t="s">
        <x:v>728</x:v>
      </x:c>
      <x:c r="E18" s="1" t="s">
        <x:v>704</x:v>
      </x:c>
      <x:c r="F18" s="1" t="s">
        <x:v>682</x:v>
      </x:c>
      <x:c r="G18" s="5" t="s">
        <x:v>683</x:v>
      </x:c>
      <x:c r="H18" s="1"/>
      <x:c r="I18" s="2"/>
      <x:c r="J18" s="1"/>
    </x:row>
    <x:row r="19" ht="62" customHeight="1">
      <x:c r="A19" s="1" t="s">
        <x:v>729</x:v>
      </x:c>
      <x:c r="B19" s="1" t="s">
        <x:v>730</x:v>
      </x:c>
      <x:c r="C19" s="1" t="s">
        <x:v>731</x:v>
      </x:c>
      <x:c r="D19" s="1" t="s">
        <x:v>732</x:v>
      </x:c>
      <x:c r="E19" s="1" t="s">
        <x:v>681</x:v>
      </x:c>
      <x:c r="F19" s="1" t="s">
        <x:v>724</x:v>
      </x:c>
      <x:c r="G19" s="5" t="s">
        <x:v>683</x:v>
      </x:c>
      <x:c r="H19" s="1"/>
      <x:c r="I19" s="2"/>
      <x:c r="J19" s="1"/>
    </x:row>
    <x:row r="20" ht="62" customHeight="1">
      <x:c r="A20" s="1" t="s">
        <x:v>733</x:v>
      </x:c>
      <x:c r="B20" s="1" t="s">
        <x:v>543</x:v>
      </x:c>
      <x:c r="C20" s="1" t="s">
        <x:v>734</x:v>
      </x:c>
      <x:c r="D20" s="1" t="s">
        <x:v>735</x:v>
      </x:c>
      <x:c r="E20" s="1" t="s">
        <x:v>704</x:v>
      </x:c>
      <x:c r="F20" s="1" t="s">
        <x:v>634</x:v>
      </x:c>
      <x:c r="G20" s="5" t="s">
        <x:v>683</x:v>
      </x:c>
      <x:c r="H20" s="1"/>
      <x:c r="I20" s="2"/>
      <x:c r="J20" s="1"/>
    </x:row>
    <x:row r="21" ht="62" customHeight="1">
      <x:c r="A21" s="1" t="s">
        <x:v>736</x:v>
      </x:c>
      <x:c r="B21" s="1" t="s">
        <x:v>737</x:v>
      </x:c>
      <x:c r="C21" s="1" t="s">
        <x:v>738</x:v>
      </x:c>
      <x:c r="D21" s="1" t="s">
        <x:v>739</x:v>
      </x:c>
      <x:c r="E21" s="1" t="s">
        <x:v>704</x:v>
      </x:c>
      <x:c r="F21" s="1" t="s">
        <x:v>634</x:v>
      </x:c>
      <x:c r="G21" s="5" t="s">
        <x:v>683</x:v>
      </x:c>
      <x:c r="H21" s="1"/>
      <x:c r="I21" s="2"/>
      <x:c r="J21" s="1"/>
    </x:row>
    <x:row r="22" ht="62" customHeight="1">
      <x:c r="A22" s="1" t="s">
        <x:v>740</x:v>
      </x:c>
      <x:c r="B22" s="1" t="s">
        <x:v>544</x:v>
      </x:c>
      <x:c r="C22" s="1" t="s">
        <x:v>741</x:v>
      </x:c>
      <x:c r="D22" s="1" t="s">
        <x:v>742</x:v>
      </x:c>
      <x:c r="E22" s="1" t="s">
        <x:v>743</x:v>
      </x:c>
      <x:c r="F22" s="1" t="s">
        <x:v>544</x:v>
      </x:c>
      <x:c r="G22" s="5" t="s">
        <x:v>683</x:v>
      </x:c>
      <x:c r="H22" s="1"/>
      <x:c r="I22" s="2"/>
      <x:c r="J22" s="1"/>
    </x:row>
    <x:row r="23" ht="62" customHeight="1">
      <x:c r="A23" s="1" t="s">
        <x:v>744</x:v>
      </x:c>
      <x:c r="B23" s="1" t="s">
        <x:v>745</x:v>
      </x:c>
      <x:c r="C23" s="1" t="s">
        <x:v>746</x:v>
      </x:c>
      <x:c r="D23" s="1" t="s">
        <x:v>747</x:v>
      </x:c>
      <x:c r="E23" s="1" t="s">
        <x:v>681</x:v>
      </x:c>
      <x:c r="F23" s="1" t="s">
        <x:v>748</x:v>
      </x:c>
      <x:c r="G23" s="5" t="s">
        <x:v>683</x:v>
      </x:c>
      <x:c r="H23" s="1"/>
      <x:c r="I23" s="2"/>
      <x:c r="J23" s="1"/>
    </x:row>
    <x:row r="24">
      <x:c r="A24" s="17"/>
      <x:c r="B24" s="17"/>
      <x:c r="C24" s="17"/>
      <x:c r="D24" s="17"/>
      <x:c r="E24" s="17"/>
      <x:c r="F24" s="17"/>
      <x:c r="G24" s="17"/>
      <x:c r="H24" s="17"/>
      <x:c r="I24" s="17"/>
      <x:c r="J24" s="17"/>
    </x:row>
    <x:row r="25" ht="40" customHeight="1">
      <x:c r="A25" s="57" t="s">
        <x:v>749</x:v>
      </x:c>
      <x:c r="B25" s="58" t="s">
        <x:v>749</x:v>
      </x:c>
      <x:c r="C25" s="58" t="s">
        <x:v>749</x:v>
      </x:c>
      <x:c r="D25" s="58" t="s">
        <x:v>749</x:v>
      </x:c>
      <x:c r="E25" s="58" t="s">
        <x:v>749</x:v>
      </x:c>
      <x:c r="F25" s="58" t="s">
        <x:v>749</x:v>
      </x:c>
      <x:c r="G25" s="58" t="s">
        <x:v>749</x:v>
      </x:c>
      <x:c r="H25" s="58" t="s">
        <x:v>749</x:v>
      </x:c>
      <x:c r="I25" s="58" t="s">
        <x:v>749</x:v>
      </x:c>
      <x:c r="J25" s="59" t="s">
        <x:v>749</x:v>
      </x:c>
    </x:row>
    <x:row r="26" ht="40" customHeight="1">
      <x:c r="A26" s="60" t="s">
        <x:v>749</x:v>
      </x:c>
      <x:c r="B26" s="61" t="s">
        <x:v>749</x:v>
      </x:c>
      <x:c r="C26" s="61" t="s">
        <x:v>749</x:v>
      </x:c>
      <x:c r="D26" s="61" t="s">
        <x:v>749</x:v>
      </x:c>
      <x:c r="E26" s="61" t="s">
        <x:v>749</x:v>
      </x:c>
      <x:c r="F26" s="61" t="s">
        <x:v>749</x:v>
      </x:c>
      <x:c r="G26" s="61" t="s">
        <x:v>749</x:v>
      </x:c>
      <x:c r="H26" s="61" t="s">
        <x:v>749</x:v>
      </x:c>
      <x:c r="I26" s="61" t="s">
        <x:v>749</x:v>
      </x:c>
      <x:c r="J26" s="62" t="s">
        <x:v>749</x:v>
      </x:c>
    </x:row>
    <x:row r="27" ht="40" customHeight="1">
      <x:c r="A27" s="63" t="s">
        <x:v>749</x:v>
      </x:c>
      <x:c r="B27" s="64" t="s">
        <x:v>749</x:v>
      </x:c>
      <x:c r="C27" s="64" t="s">
        <x:v>749</x:v>
      </x:c>
      <x:c r="D27" s="64" t="s">
        <x:v>749</x:v>
      </x:c>
      <x:c r="E27" s="64" t="s">
        <x:v>749</x:v>
      </x:c>
      <x:c r="F27" s="64" t="s">
        <x:v>749</x:v>
      </x:c>
      <x:c r="G27" s="64" t="s">
        <x:v>749</x:v>
      </x:c>
      <x:c r="H27" s="64" t="s">
        <x:v>749</x:v>
      </x:c>
      <x:c r="I27" s="64" t="s">
        <x:v>749</x:v>
      </x:c>
      <x:c r="J27" s="65" t="s">
        <x:v>749</x:v>
      </x:c>
    </x:row>
  </x:sheetData>
  <x:mergeCells>
    <x:mergeCell ref="A1:J1"/>
    <x:mergeCell ref="A2:J2"/>
    <x:mergeCell ref="A4:J4"/>
    <x:mergeCell ref="A25:J27"/>
  </x:mergeCells>
  <x:dataValidations count="1">
    <x:dataValidation type="list" sqref="G6:G23">
      <x:formula1>"Not run,Pass,Fail,Blocked"</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10" defaultColWidth="8.83203125" defaultRowHeight="14"/>
  <x:cols>
    <x:col min="1" max="1" width="11" customWidth="1"/>
    <x:col min="2" max="2" width="18" customWidth="1"/>
    <x:col min="3" max="3" width="22" customWidth="1"/>
    <x:col min="4" max="4" width="38" customWidth="1"/>
    <x:col min="5" max="5" width="55" customWidth="1"/>
    <x:col min="6" max="6" width="47" customWidth="1"/>
    <x:col min="7" max="7" width="43" customWidth="1"/>
    <x:col min="8" max="8" width="18" customWidth="1"/>
    <x:col min="9" max="9" width="14" customWidth="1"/>
    <x:col min="10" max="10" width="41" customWidth="1"/>
  </x:cols>
  <x:sheetData>
    <x:row r="1" ht="31" customHeight="1">
      <x:c r="A1" s="20" t="s">
        <x:v>750</x:v>
      </x:c>
      <x:c r="B1" s="20"/>
      <x:c r="C1" s="20"/>
      <x:c r="D1" s="20"/>
      <x:c r="E1" s="20"/>
      <x:c r="F1" s="20"/>
      <x:c r="G1" s="20"/>
      <x:c r="H1" s="20"/>
      <x:c r="I1" s="20"/>
      <x:c r="J1" s="20"/>
    </x:row>
    <x:row r="2" ht="30" customHeight="1">
      <x:c r="A2" s="21" t="s">
        <x:v>751</x:v>
      </x:c>
      <x:c r="B2" s="21"/>
      <x:c r="C2" s="21"/>
      <x:c r="D2" s="21"/>
      <x:c r="E2" s="21"/>
      <x:c r="F2" s="21"/>
      <x:c r="G2" s="21"/>
      <x:c r="H2" s="21"/>
      <x:c r="I2" s="21"/>
      <x:c r="J2" s="21"/>
    </x:row>
    <x:row r="3">
      <x:c r="A3" s="17"/>
      <x:c r="B3" s="17"/>
      <x:c r="C3" s="17"/>
      <x:c r="D3" s="17"/>
      <x:c r="E3" s="17"/>
      <x:c r="F3" s="17"/>
      <x:c r="G3" s="17"/>
      <x:c r="H3" s="17"/>
      <x:c r="I3" s="17"/>
      <x:c r="J3" s="17"/>
    </x:row>
    <x:row r="4" ht="23" customHeight="1">
      <x:c r="A4" s="22" t="s">
        <x:v>752</x:v>
      </x:c>
      <x:c r="B4" s="22" t="s">
        <x:v>752</x:v>
      </x:c>
      <x:c r="C4" s="22" t="s">
        <x:v>752</x:v>
      </x:c>
      <x:c r="D4" s="22" t="s">
        <x:v>752</x:v>
      </x:c>
      <x:c r="E4" s="22" t="s">
        <x:v>752</x:v>
      </x:c>
      <x:c r="F4" s="22" t="s">
        <x:v>752</x:v>
      </x:c>
      <x:c r="G4" s="22" t="s">
        <x:v>752</x:v>
      </x:c>
      <x:c r="H4" s="22" t="s">
        <x:v>752</x:v>
      </x:c>
      <x:c r="I4" s="22" t="s">
        <x:v>752</x:v>
      </x:c>
      <x:c r="J4" s="22" t="s">
        <x:v>752</x:v>
      </x:c>
    </x:row>
    <x:row r="5" ht="30" customHeight="1">
      <x:c r="A5" s="19" t="s">
        <x:v>180</x:v>
      </x:c>
      <x:c r="B5" s="19" t="s">
        <x:v>753</x:v>
      </x:c>
      <x:c r="C5" s="19" t="s">
        <x:v>754</x:v>
      </x:c>
      <x:c r="D5" s="19" t="s">
        <x:v>755</x:v>
      </x:c>
      <x:c r="E5" s="19" t="s">
        <x:v>756</x:v>
      </x:c>
      <x:c r="F5" s="19" t="s">
        <x:v>757</x:v>
      </x:c>
      <x:c r="G5" s="19" t="s">
        <x:v>758</x:v>
      </x:c>
      <x:c r="H5" s="19" t="s">
        <x:v>759</x:v>
      </x:c>
      <x:c r="I5" s="19" t="s">
        <x:v>53</x:v>
      </x:c>
      <x:c r="J5" s="19" t="s">
        <x:v>316</x:v>
      </x:c>
    </x:row>
    <x:row r="6" ht="78" customHeight="1">
      <x:c r="A6" s="1" t="s">
        <x:v>760</x:v>
      </x:c>
      <x:c r="B6" s="1" t="s">
        <x:v>761</x:v>
      </x:c>
      <x:c r="C6" s="1" t="s">
        <x:v>54</x:v>
      </x:c>
      <x:c r="D6" s="1" t="s">
        <x:v>762</x:v>
      </x:c>
      <x:c r="E6" s="1" t="s">
        <x:v>62</x:v>
      </x:c>
      <x:c r="F6" s="1" t="s">
        <x:v>763</x:v>
      </x:c>
      <x:c r="G6" s="1" t="s">
        <x:v>764</x:v>
      </x:c>
      <x:c r="H6" s="1" t="s">
        <x:v>765</x:v>
      </x:c>
      <x:c r="I6" s="2">
        <x:v>46220</x:v>
      </x:c>
      <x:c r="J6" s="1" t="s">
        <x:v>766</x:v>
      </x:c>
    </x:row>
    <x:row r="7" ht="78" customHeight="1">
      <x:c r="A7" s="1" t="s">
        <x:v>767</x:v>
      </x:c>
      <x:c r="B7" s="1" t="s">
        <x:v>761</x:v>
      </x:c>
      <x:c r="C7" s="1" t="s">
        <x:v>54</x:v>
      </x:c>
      <x:c r="D7" s="1" t="s">
        <x:v>768</x:v>
      </x:c>
      <x:c r="E7" s="1" t="s">
        <x:v>69</x:v>
      </x:c>
      <x:c r="F7" s="1" t="s">
        <x:v>769</x:v>
      </x:c>
      <x:c r="G7" s="1" t="s">
        <x:v>770</x:v>
      </x:c>
      <x:c r="H7" s="1" t="s">
        <x:v>771</x:v>
      </x:c>
      <x:c r="I7" s="2">
        <x:v>46220</x:v>
      </x:c>
      <x:c r="J7" s="1"/>
    </x:row>
    <x:row r="8" ht="78" customHeight="1">
      <x:c r="A8" s="1" t="s">
        <x:v>772</x:v>
      </x:c>
      <x:c r="B8" s="1" t="s">
        <x:v>761</x:v>
      </x:c>
      <x:c r="C8" s="1" t="s">
        <x:v>70</x:v>
      </x:c>
      <x:c r="D8" s="1" t="s">
        <x:v>773</x:v>
      </x:c>
      <x:c r="E8" s="1" t="s">
        <x:v>78</x:v>
      </x:c>
      <x:c r="F8" s="1" t="s">
        <x:v>774</x:v>
      </x:c>
      <x:c r="G8" s="1" t="s">
        <x:v>775</x:v>
      </x:c>
      <x:c r="H8" s="1" t="s">
        <x:v>776</x:v>
      </x:c>
      <x:c r="I8" s="2">
        <x:v>46220</x:v>
      </x:c>
      <x:c r="J8" s="1"/>
    </x:row>
    <x:row r="9" ht="78" customHeight="1">
      <x:c r="A9" s="1" t="s">
        <x:v>777</x:v>
      </x:c>
      <x:c r="B9" s="1" t="s">
        <x:v>761</x:v>
      </x:c>
      <x:c r="C9" s="1" t="s">
        <x:v>70</x:v>
      </x:c>
      <x:c r="D9" s="1" t="s">
        <x:v>778</x:v>
      </x:c>
      <x:c r="E9" s="1" t="s">
        <x:v>86</x:v>
      </x:c>
      <x:c r="F9" s="1" t="s">
        <x:v>779</x:v>
      </x:c>
      <x:c r="G9" s="1" t="s">
        <x:v>780</x:v>
      </x:c>
      <x:c r="H9" s="1" t="s">
        <x:v>781</x:v>
      </x:c>
      <x:c r="I9" s="2">
        <x:v>46220</x:v>
      </x:c>
      <x:c r="J9" s="1" t="s">
        <x:v>782</x:v>
      </x:c>
    </x:row>
    <x:row r="10" ht="78" customHeight="1">
      <x:c r="A10" s="1" t="s">
        <x:v>783</x:v>
      </x:c>
      <x:c r="B10" s="1" t="s">
        <x:v>761</x:v>
      </x:c>
      <x:c r="C10" s="1" t="s">
        <x:v>87</x:v>
      </x:c>
      <x:c r="D10" s="1" t="s">
        <x:v>784</x:v>
      </x:c>
      <x:c r="E10" s="1" t="s">
        <x:v>94</x:v>
      </x:c>
      <x:c r="F10" s="1" t="s">
        <x:v>785</x:v>
      </x:c>
      <x:c r="G10" s="1" t="s">
        <x:v>93</x:v>
      </x:c>
      <x:c r="H10" s="1" t="s">
        <x:v>771</x:v>
      </x:c>
      <x:c r="I10" s="2">
        <x:v>46220</x:v>
      </x:c>
      <x:c r="J10" s="1" t="s">
        <x:v>786</x:v>
      </x:c>
    </x:row>
    <x:row r="11" ht="78" customHeight="1">
      <x:c r="A11" s="1" t="s">
        <x:v>787</x:v>
      </x:c>
      <x:c r="B11" s="1" t="s">
        <x:v>761</x:v>
      </x:c>
      <x:c r="C11" s="1" t="s">
        <x:v>87</x:v>
      </x:c>
      <x:c r="D11" s="1" t="s">
        <x:v>788</x:v>
      </x:c>
      <x:c r="E11" s="1" t="s">
        <x:v>789</x:v>
      </x:c>
      <x:c r="F11" s="1" t="s">
        <x:v>790</x:v>
      </x:c>
      <x:c r="G11" s="1" t="s">
        <x:v>791</x:v>
      </x:c>
      <x:c r="H11" s="1" t="s">
        <x:v>792</x:v>
      </x:c>
      <x:c r="I11" s="2">
        <x:v>46220</x:v>
      </x:c>
      <x:c r="J11" s="1" t="s">
        <x:v>793</x:v>
      </x:c>
    </x:row>
    <x:row r="12" ht="78" customHeight="1">
      <x:c r="A12" s="1" t="s">
        <x:v>794</x:v>
      </x:c>
      <x:c r="B12" s="1" t="s">
        <x:v>795</x:v>
      </x:c>
      <x:c r="C12" s="1" t="s">
        <x:v>796</x:v>
      </x:c>
      <x:c r="D12" s="1" t="s">
        <x:v>797</x:v>
      </x:c>
      <x:c r="E12" s="1"/>
      <x:c r="F12" s="1" t="s">
        <x:v>798</x:v>
      </x:c>
      <x:c r="G12" s="1" t="s">
        <x:v>799</x:v>
      </x:c>
      <x:c r="H12" s="1" t="s">
        <x:v>800</x:v>
      </x:c>
      <x:c r="I12" s="2">
        <x:v>46220</x:v>
      </x:c>
      <x:c r="J12" s="1" t="s">
        <x:v>801</x:v>
      </x:c>
    </x:row>
    <x:row r="13" ht="78" customHeight="1">
      <x:c r="A13" s="1" t="s">
        <x:v>802</x:v>
      </x:c>
      <x:c r="B13" s="1" t="s">
        <x:v>795</x:v>
      </x:c>
      <x:c r="C13" s="1" t="s">
        <x:v>796</x:v>
      </x:c>
      <x:c r="D13" s="1" t="s">
        <x:v>803</x:v>
      </x:c>
      <x:c r="E13" s="1"/>
      <x:c r="F13" s="1" t="s">
        <x:v>804</x:v>
      </x:c>
      <x:c r="G13" s="1" t="s">
        <x:v>805</x:v>
      </x:c>
      <x:c r="H13" s="1" t="s">
        <x:v>806</x:v>
      </x:c>
      <x:c r="I13" s="2">
        <x:v>46220</x:v>
      </x:c>
      <x:c r="J13" s="1"/>
    </x:row>
    <x:row r="14" ht="78" customHeight="1">
      <x:c r="A14" s="1" t="s">
        <x:v>807</x:v>
      </x:c>
      <x:c r="B14" s="1" t="s">
        <x:v>795</x:v>
      </x:c>
      <x:c r="C14" s="1" t="s">
        <x:v>796</x:v>
      </x:c>
      <x:c r="D14" s="1" t="s">
        <x:v>808</x:v>
      </x:c>
      <x:c r="E14" s="1"/>
      <x:c r="F14" s="1" t="s">
        <x:v>809</x:v>
      </x:c>
      <x:c r="G14" s="1" t="s">
        <x:v>810</x:v>
      </x:c>
      <x:c r="H14" s="1" t="s">
        <x:v>811</x:v>
      </x:c>
      <x:c r="I14" s="2">
        <x:v>46220</x:v>
      </x:c>
      <x:c r="J14" s="1" t="s">
        <x:v>812</x:v>
      </x:c>
    </x:row>
    <x:row r="15" ht="78" customHeight="1">
      <x:c r="A15" s="1" t="s">
        <x:v>813</x:v>
      </x:c>
      <x:c r="B15" s="1" t="s">
        <x:v>814</x:v>
      </x:c>
      <x:c r="C15" s="1" t="s">
        <x:v>796</x:v>
      </x:c>
      <x:c r="D15" s="1" t="s">
        <x:v>815</x:v>
      </x:c>
      <x:c r="E15" s="1"/>
      <x:c r="F15" s="1" t="s">
        <x:v>816</x:v>
      </x:c>
      <x:c r="G15" s="1" t="s">
        <x:v>817</x:v>
      </x:c>
      <x:c r="H15" s="1" t="s">
        <x:v>818</x:v>
      </x:c>
      <x:c r="I15" s="2">
        <x:v>46220</x:v>
      </x:c>
      <x:c r="J15" s="1" t="s">
        <x:v>819</x:v>
      </x:c>
    </x:row>
    <x:row r="16" ht="78" customHeight="1">
      <x:c r="A16" s="1" t="s">
        <x:v>820</x:v>
      </x:c>
      <x:c r="B16" s="1" t="s">
        <x:v>814</x:v>
      </x:c>
      <x:c r="C16" s="1" t="s">
        <x:v>796</x:v>
      </x:c>
      <x:c r="D16" s="1" t="s">
        <x:v>821</x:v>
      </x:c>
      <x:c r="E16" s="1"/>
      <x:c r="F16" s="1" t="s">
        <x:v>822</x:v>
      </x:c>
      <x:c r="G16" s="1" t="s">
        <x:v>823</x:v>
      </x:c>
      <x:c r="H16" s="1" t="s">
        <x:v>824</x:v>
      </x:c>
      <x:c r="I16" s="2">
        <x:v>46220</x:v>
      </x:c>
      <x:c r="J16" s="1" t="s">
        <x:v>825</x:v>
      </x:c>
    </x:row>
  </x:sheetData>
  <x:mergeCells>
    <x:mergeCell ref="A1:J1"/>
    <x:mergeCell ref="A2:J2"/>
    <x:mergeCell ref="A4:J4"/>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10" defaultColWidth="8.83203125" defaultRowHeight="14"/>
  <x:cols>
    <x:col min="1" max="1" width="14" customWidth="1"/>
    <x:col min="2" max="2" width="38" customWidth="1"/>
    <x:col min="3" max="3" width="42" customWidth="1"/>
    <x:col min="4" max="4" width="46" customWidth="1"/>
    <x:col min="5" max="5" width="34" customWidth="1"/>
    <x:col min="6" max="6" width="25" customWidth="1"/>
    <x:col min="7" max="7" width="24" customWidth="1"/>
    <x:col min="8" max="9" width="18" customWidth="1"/>
    <x:col min="10" max="10" width="42" customWidth="1"/>
  </x:cols>
  <x:sheetData>
    <x:row r="1" ht="31" customHeight="1">
      <x:c r="A1" s="20" t="s">
        <x:v>826</x:v>
      </x:c>
      <x:c r="B1" s="20"/>
      <x:c r="C1" s="20"/>
      <x:c r="D1" s="20"/>
      <x:c r="E1" s="20"/>
      <x:c r="F1" s="20"/>
      <x:c r="G1" s="20"/>
      <x:c r="H1" s="20"/>
      <x:c r="I1" s="20"/>
      <x:c r="J1" s="20"/>
    </x:row>
    <x:row r="2" ht="30" customHeight="1">
      <x:c r="A2" s="21" t="s">
        <x:v>827</x:v>
      </x:c>
      <x:c r="B2" s="21"/>
      <x:c r="C2" s="21"/>
      <x:c r="D2" s="21"/>
      <x:c r="E2" s="21"/>
      <x:c r="F2" s="21"/>
      <x:c r="G2" s="21"/>
      <x:c r="H2" s="21"/>
      <x:c r="I2" s="21"/>
      <x:c r="J2" s="21"/>
    </x:row>
    <x:row r="3">
      <x:c r="A3" s="17"/>
      <x:c r="B3" s="17"/>
      <x:c r="C3" s="17"/>
      <x:c r="D3" s="17"/>
      <x:c r="E3" s="17"/>
      <x:c r="F3" s="17"/>
      <x:c r="G3" s="17"/>
      <x:c r="H3" s="17"/>
      <x:c r="I3" s="17"/>
      <x:c r="J3" s="17"/>
    </x:row>
    <x:row r="4" ht="23" customHeight="1">
      <x:c r="A4" s="22" t="s">
        <x:v>828</x:v>
      </x:c>
      <x:c r="B4" s="22" t="s">
        <x:v>828</x:v>
      </x:c>
      <x:c r="C4" s="22" t="s">
        <x:v>828</x:v>
      </x:c>
      <x:c r="D4" s="22" t="s">
        <x:v>828</x:v>
      </x:c>
      <x:c r="E4" s="22" t="s">
        <x:v>828</x:v>
      </x:c>
      <x:c r="F4" s="22" t="s">
        <x:v>828</x:v>
      </x:c>
      <x:c r="G4" s="22" t="s">
        <x:v>828</x:v>
      </x:c>
      <x:c r="H4" s="22" t="s">
        <x:v>828</x:v>
      </x:c>
      <x:c r="I4" s="22" t="s">
        <x:v>828</x:v>
      </x:c>
      <x:c r="J4" s="22" t="s">
        <x:v>828</x:v>
      </x:c>
    </x:row>
    <x:row r="5" ht="30" customHeight="1">
      <x:c r="A5" s="19" t="s">
        <x:v>674</x:v>
      </x:c>
      <x:c r="B5" s="19" t="s">
        <x:v>829</x:v>
      </x:c>
      <x:c r="C5" s="19" t="s">
        <x:v>830</x:v>
      </x:c>
      <x:c r="D5" s="19" t="s">
        <x:v>831</x:v>
      </x:c>
      <x:c r="E5" s="19" t="s">
        <x:v>832</x:v>
      </x:c>
      <x:c r="F5" s="19" t="s">
        <x:v>462</x:v>
      </x:c>
      <x:c r="G5" s="19" t="s">
        <x:v>833</x:v>
      </x:c>
      <x:c r="H5" s="19" t="s">
        <x:v>367</x:v>
      </x:c>
      <x:c r="I5" s="19" t="s">
        <x:v>834</x:v>
      </x:c>
      <x:c r="J5" s="19" t="s">
        <x:v>316</x:v>
      </x:c>
    </x:row>
    <x:row r="6" ht="72" customHeight="1">
      <x:c r="A6" s="1" t="s">
        <x:v>681</x:v>
      </x:c>
      <x:c r="B6" s="1" t="str">
        <x:v>Monitor exact annual Business price</x:v>
      </x:c>
      <x:c r="C6" s="1" t="str">
        <x:v>$2,988/year confirmed in Stripe</x:v>
      </x:c>
      <x:c r="D6" s="1" t="str">
        <x:v>Checkout and renewal telemetry</x:v>
      </x:c>
      <x:c r="E6" s="1" t="str">
        <x:v>Review after price changes</x:v>
      </x:c>
      <x:c r="F6" s="1" t="str">
        <x:v>Founder / Engineering</x:v>
      </x:c>
      <x:c r="G6" s="1" t="s">
        <x:v>835</x:v>
      </x:c>
      <x:c r="H6" s="5" t="s">
        <x:v>836</x:v>
      </x:c>
      <x:c r="I6" s="2"/>
      <x:c r="J6" s="1" t="s">
        <x:v>837</x:v>
      </x:c>
    </x:row>
    <x:row r="7" ht="72" customHeight="1">
      <x:c r="A7" s="1" t="s">
        <x:v>681</x:v>
      </x:c>
      <x:c r="B7" s="1" t="s">
        <x:v>838</x:v>
      </x:c>
      <x:c r="C7" s="1" t="s">
        <x:v>839</x:v>
      </x:c>
      <x:c r="D7" s="1" t="s">
        <x:v>840</x:v>
      </x:c>
      <x:c r="E7" s="1" t="s">
        <x:v>841</x:v>
      </x:c>
      <x:c r="F7" s="1" t="s">
        <x:v>719</x:v>
      </x:c>
      <x:c r="G7" s="1" t="s">
        <x:v>842</x:v>
      </x:c>
      <x:c r="H7" s="5" t="s">
        <x:v>836</x:v>
      </x:c>
      <x:c r="I7" s="2"/>
      <x:c r="J7" s="1" t="s">
        <x:v>843</x:v>
      </x:c>
    </x:row>
    <x:row r="8" ht="72" customHeight="1">
      <x:c r="A8" s="1" t="s">
        <x:v>704</x:v>
      </x:c>
      <x:c r="B8" s="1" t="s">
        <x:v>844</x:v>
      </x:c>
      <x:c r="C8" s="1" t="s">
        <x:v>845</x:v>
      </x:c>
      <x:c r="D8" s="1" t="s">
        <x:v>846</x:v>
      </x:c>
      <x:c r="E8" s="1" t="s">
        <x:v>847</x:v>
      </x:c>
      <x:c r="F8" s="1" t="s">
        <x:v>848</x:v>
      </x:c>
      <x:c r="G8" s="1" t="s">
        <x:v>849</x:v>
      </x:c>
      <x:c r="H8" s="5" t="s">
        <x:v>836</x:v>
      </x:c>
      <x:c r="I8" s="2"/>
      <x:c r="J8" s="1"/>
    </x:row>
    <x:row r="9" ht="72" customHeight="1">
      <x:c r="A9" s="1" t="s">
        <x:v>704</x:v>
      </x:c>
      <x:c r="B9" s="1" t="s">
        <x:v>850</x:v>
      </x:c>
      <x:c r="C9" s="1" t="s">
        <x:v>851</x:v>
      </x:c>
      <x:c r="D9" s="1" t="s">
        <x:v>852</x:v>
      </x:c>
      <x:c r="E9" s="1" t="s">
        <x:v>853</x:v>
      </x:c>
      <x:c r="F9" s="1" t="s">
        <x:v>854</x:v>
      </x:c>
      <x:c r="G9" s="1" t="s">
        <x:v>855</x:v>
      </x:c>
      <x:c r="H9" s="5" t="s">
        <x:v>836</x:v>
      </x:c>
      <x:c r="I9" s="2"/>
      <x:c r="J9" s="1" t="s">
        <x:v>856</x:v>
      </x:c>
    </x:row>
    <x:row r="10" ht="72" customHeight="1">
      <x:c r="A10" s="1" t="s">
        <x:v>704</x:v>
      </x:c>
      <x:c r="B10" s="1" t="s">
        <x:v>857</x:v>
      </x:c>
      <x:c r="C10" s="1" t="s">
        <x:v>858</x:v>
      </x:c>
      <x:c r="D10" s="1" t="s">
        <x:v>859</x:v>
      </x:c>
      <x:c r="E10" s="1" t="s">
        <x:v>860</x:v>
      </x:c>
      <x:c r="F10" s="1" t="s">
        <x:v>861</x:v>
      </x:c>
      <x:c r="G10" s="1" t="s">
        <x:v>835</x:v>
      </x:c>
      <x:c r="H10" s="5" t="s">
        <x:v>836</x:v>
      </x:c>
      <x:c r="I10" s="2"/>
      <x:c r="J10" s="1" t="s">
        <x:v>862</x:v>
      </x:c>
    </x:row>
    <x:row r="11" ht="72" customHeight="1">
      <x:c r="A11" s="1" t="s">
        <x:v>704</x:v>
      </x:c>
      <x:c r="B11" s="1" t="s">
        <x:v>863</x:v>
      </x:c>
      <x:c r="C11" s="1" t="s">
        <x:v>864</x:v>
      </x:c>
      <x:c r="D11" s="1" t="s">
        <x:v>865</x:v>
      </x:c>
      <x:c r="E11" s="1" t="s">
        <x:v>866</x:v>
      </x:c>
      <x:c r="F11" s="1" t="s">
        <x:v>848</x:v>
      </x:c>
      <x:c r="G11" s="1" t="s">
        <x:v>867</x:v>
      </x:c>
      <x:c r="H11" s="5" t="s">
        <x:v>836</x:v>
      </x:c>
      <x:c r="I11" s="2"/>
      <x:c r="J11" s="1" t="s">
        <x:v>868</x:v>
      </x:c>
    </x:row>
    <x:row r="12" ht="72" customHeight="1">
      <x:c r="A12" s="1" t="s">
        <x:v>704</x:v>
      </x:c>
      <x:c r="B12" s="1" t="s">
        <x:v>869</x:v>
      </x:c>
      <x:c r="C12" s="1" t="s">
        <x:v>870</x:v>
      </x:c>
      <x:c r="D12" s="1" t="s">
        <x:v>871</x:v>
      </x:c>
      <x:c r="E12" s="1" t="s">
        <x:v>872</x:v>
      </x:c>
      <x:c r="F12" s="1" t="s">
        <x:v>873</x:v>
      </x:c>
      <x:c r="G12" s="1" t="s">
        <x:v>874</x:v>
      </x:c>
      <x:c r="H12" s="5" t="s">
        <x:v>836</x:v>
      </x:c>
      <x:c r="I12" s="2"/>
      <x:c r="J12" s="1"/>
    </x:row>
    <x:row r="13" ht="72" customHeight="1">
      <x:c r="A13" s="1" t="s">
        <x:v>743</x:v>
      </x:c>
      <x:c r="B13" s="1" t="s">
        <x:v>875</x:v>
      </x:c>
      <x:c r="C13" s="1" t="s">
        <x:v>876</x:v>
      </x:c>
      <x:c r="D13" s="1" t="s">
        <x:v>877</x:v>
      </x:c>
      <x:c r="E13" s="1" t="s">
        <x:v>878</x:v>
      </x:c>
      <x:c r="F13" s="1" t="s">
        <x:v>879</x:v>
      </x:c>
      <x:c r="G13" s="1" t="s">
        <x:v>880</x:v>
      </x:c>
      <x:c r="H13" s="5" t="s">
        <x:v>836</x:v>
      </x:c>
      <x:c r="I13" s="2"/>
      <x:c r="J13" s="1" t="s">
        <x:v>881</x:v>
      </x:c>
    </x:row>
    <x:row r="14" ht="72" customHeight="1">
      <x:c r="A14" s="1" t="s">
        <x:v>743</x:v>
      </x:c>
      <x:c r="B14" s="1" t="s">
        <x:v>882</x:v>
      </x:c>
      <x:c r="C14" s="1" t="s">
        <x:v>883</x:v>
      </x:c>
      <x:c r="D14" s="1" t="s">
        <x:v>884</x:v>
      </x:c>
      <x:c r="E14" s="1" t="s">
        <x:v>885</x:v>
      </x:c>
      <x:c r="F14" s="1" t="s">
        <x:v>886</x:v>
      </x:c>
      <x:c r="G14" s="1" t="s">
        <x:v>887</x:v>
      </x:c>
      <x:c r="H14" s="5" t="s">
        <x:v>836</x:v>
      </x:c>
      <x:c r="I14" s="2"/>
      <x:c r="J14" s="1" t="s">
        <x:v>888</x:v>
      </x:c>
    </x:row>
    <x:row r="15" ht="72" customHeight="1">
      <x:c r="A15" s="1" t="s">
        <x:v>743</x:v>
      </x:c>
      <x:c r="B15" s="1" t="s">
        <x:v>889</x:v>
      </x:c>
      <x:c r="C15" s="1" t="s">
        <x:v>890</x:v>
      </x:c>
      <x:c r="D15" s="1" t="s">
        <x:v>891</x:v>
      </x:c>
      <x:c r="E15" s="1" t="s">
        <x:v>892</x:v>
      </x:c>
      <x:c r="F15" s="1" t="s">
        <x:v>893</x:v>
      </x:c>
      <x:c r="G15" s="1" t="s">
        <x:v>894</x:v>
      </x:c>
      <x:c r="H15" s="5" t="s">
        <x:v>836</x:v>
      </x:c>
      <x:c r="I15" s="2"/>
      <x:c r="J15" s="1" t="s">
        <x:v>895</x:v>
      </x:c>
    </x:row>
    <x:row r="16">
      <x:c r="A16" s="17"/>
      <x:c r="B16" s="17"/>
      <x:c r="C16" s="17"/>
      <x:c r="D16" s="17"/>
      <x:c r="E16" s="17"/>
      <x:c r="F16" s="17"/>
      <x:c r="G16" s="17"/>
      <x:c r="H16" s="17"/>
      <x:c r="I16" s="17"/>
      <x:c r="J16" s="17"/>
    </x:row>
    <x:row r="17" ht="23" customHeight="1">
      <x:c r="A17" s="32" t="s">
        <x:v>896</x:v>
      </x:c>
      <x:c r="B17" s="32" t="s">
        <x:v>896</x:v>
      </x:c>
      <x:c r="C17" s="32" t="s">
        <x:v>896</x:v>
      </x:c>
      <x:c r="D17" s="32" t="s">
        <x:v>896</x:v>
      </x:c>
      <x:c r="E17" s="32" t="s">
        <x:v>896</x:v>
      </x:c>
      <x:c r="F17" s="32" t="s">
        <x:v>896</x:v>
      </x:c>
      <x:c r="G17" s="32" t="s">
        <x:v>896</x:v>
      </x:c>
      <x:c r="H17" s="32" t="s">
        <x:v>896</x:v>
      </x:c>
      <x:c r="I17" s="32" t="s">
        <x:v>896</x:v>
      </x:c>
      <x:c r="J17" s="32" t="s">
        <x:v>896</x:v>
      </x:c>
    </x:row>
    <x:row r="18" ht="30" customHeight="1">
      <x:c r="A18" s="19" t="s">
        <x:v>897</x:v>
      </x:c>
      <x:c r="B18" s="19" t="s">
        <x:v>898</x:v>
      </x:c>
      <x:c r="C18" s="19" t="s">
        <x:v>899</x:v>
      </x:c>
      <x:c r="D18" s="19" t="s">
        <x:v>900</x:v>
      </x:c>
      <x:c r="E18" s="19" t="s">
        <x:v>901</x:v>
      </x:c>
      <x:c r="F18" s="19" t="s">
        <x:v>459</x:v>
      </x:c>
      <x:c r="G18" s="19" t="s">
        <x:v>675</x:v>
      </x:c>
      <x:c r="H18" s="19" t="s">
        <x:v>902</x:v>
      </x:c>
      <x:c r="I18" s="19" t="s">
        <x:v>903</x:v>
      </x:c>
      <x:c r="J18" s="19" t="s">
        <x:v>316</x:v>
      </x:c>
    </x:row>
    <x:row r="19" ht="60">
      <x:c r="A19" s="1" t="s">
        <x:v>904</x:v>
      </x:c>
      <x:c r="B19" s="2">
        <x:v>46220</x:v>
      </x:c>
      <x:c r="C19" s="1" t="s">
        <x:v>905</x:v>
      </x:c>
      <x:c r="D19" s="1" t="s">
        <x:v>63</x:v>
      </x:c>
      <x:c r="E19" s="1" t="s">
        <x:v>906</x:v>
      </x:c>
      <x:c r="F19" s="1" t="s">
        <x:v>907</x:v>
      </x:c>
      <x:c r="G19" s="1" t="s">
        <x:v>908</x:v>
      </x:c>
      <x:c r="H19" s="1" t="s">
        <x:v>909</x:v>
      </x:c>
      <x:c r="I19" s="1" t="s">
        <x:v>910</x:v>
      </x:c>
      <x:c r="J19" s="1"/>
    </x:row>
    <x:row r="20" ht="66" customHeight="1">
      <x:c r="A20" s="68" t="str">
        <x:v>1.1</x:v>
      </x:c>
      <x:c r="B20" s="66" t="n">
        <x:v>46220.5</x:v>
      </x:c>
      <x:c r="C20" s="68" t="str">
        <x:v>P005</x:v>
      </x:c>
      <x:c r="D20" s="68" t="str">
        <x:v>17% discount assumption</x:v>
      </x:c>
      <x:c r="E20" s="68" t="str">
        <x:v>$2,988 exact annual price</x:v>
      </x:c>
      <x:c r="F20" s="68" t="str">
        <x:v>Align methodology to configured Stripe annual price</x:v>
      </x:c>
      <x:c r="G20" s="68" t="str">
        <x:v>Stripe product catalog</x:v>
      </x:c>
      <x:c r="H20" s="68" t="str">
        <x:v>Founder</x:v>
      </x:c>
      <x:c r="I20" s="68" t="str">
        <x:v>Pricing calculator + methodology</x:v>
      </x:c>
      <x:c r="J20" s="68" t="str">
        <x:v>Annual added seat remains $360</x:v>
      </x:c>
    </x:row>
    <x:row r="21" ht="66" customHeight="1">
      <x:c r="A21" s="68" t="str">
        <x:v>1.1</x:v>
      </x:c>
      <x:c r="B21" s="66" t="n">
        <x:v>46220.5</x:v>
      </x:c>
      <x:c r="C21" s="68" t="str">
        <x:v>AI metering</x:v>
      </x:c>
      <x:c r="D21" s="68" t="str">
        <x:v>Gemini treated as zero-cost background processing</x:v>
      </x:c>
      <x:c r="E21" s="68" t="str">
        <x:v>Claude and Gemini debit one provider-cost ceiling</x:v>
      </x:c>
      <x:c r="F21" s="68" t="str">
        <x:v>Prevent unmetered failover exposure</x:v>
      </x:c>
      <x:c r="G21" s="68" t="str">
        <x:v>Published provider rates</x:v>
      </x:c>
      <x:c r="H21" s="68" t="str">
        <x:v>Founder / Engineering</x:v>
      </x:c>
      <x:c r="I21" s="68" t="str">
        <x:v>Backend billing configuration</x:v>
      </x:c>
      <x:c r="J21" s="68" t="str">
        <x:v>Unknown Gemini models use conservative Pro rates</x:v>
      </x:c>
    </x:row>
    <x:row r="22" ht="66" customHeight="1">
      <x:c r="A22" s="69" t="str">
        <x:v>1.1</x:v>
      </x:c>
      <x:c r="B22" s="70" t="n">
        <x:v>46220.5</x:v>
      </x:c>
      <x:c r="C22" s="69" t="str">
        <x:v>AI economics</x:v>
      </x:c>
      <x:c r="D22" s="69" t="str">
        <x:v>No dedicated operating view</x:v>
      </x:c>
      <x:c r="E22" s="69" t="str">
        <x:v>Provider cost, revenue estimate, AI gross, credits, plan/model breakdown</x:v>
      </x:c>
      <x:c r="F22" s="69" t="str">
        <x:v>Make provider exposure visible to support@jaspen.ai</x:v>
      </x:c>
      <x:c r="G22" s="69" t="str">
        <x:v>Usage events + plan catalog</x:v>
      </x:c>
      <x:c r="H22" s="69" t="str">
        <x:v>Founder / Engineering</x:v>
      </x:c>
      <x:c r="I22" s="69" t="str">
        <x:v>Support-only admin page</x:v>
      </x:c>
      <x:c r="J22" s="69" t="str">
        <x:v>Revenue is estimated, not Stripe-settled</x:v>
      </x:c>
    </x:row>
    <x:row r="23" ht="66" customHeight="1">
      <x:c r="A23" s="69" t="str">
        <x:v>1.1</x:v>
      </x:c>
      <x:c r="B23" s="70" t="n">
        <x:v>46220.5</x:v>
      </x:c>
      <x:c r="C23" s="69" t="str">
        <x:v>Calculator tiers</x:v>
      </x:c>
      <x:c r="D23" s="69" t="str">
        <x:v>Checkbox-count shortcut</x:v>
      </x:c>
      <x:c r="E23" s="69" t="str">
        <x:v>Participant tier plus weighted complexity tier</x:v>
      </x:c>
      <x:c r="F23" s="69" t="str">
        <x:v>Match the auditable calculation model</x:v>
      </x:c>
      <x:c r="G23" s="69" t="str">
        <x:v>Calculation Model sheet</x:v>
      </x:c>
      <x:c r="H23" s="69" t="str">
        <x:v>Founder / Engineering</x:v>
      </x:c>
      <x:c r="I23" s="69" t="str">
        <x:v>Home-page calculator</x:v>
      </x:c>
      <x:c r="J23" s="69" t="str">
        <x:v>Higher of participant and complexity tiers wins</x:v>
      </x:c>
    </x:row>
  </x:sheetData>
  <x:mergeCells>
    <x:mergeCell ref="A1:J1"/>
    <x:mergeCell ref="A2:J2"/>
    <x:mergeCell ref="A4:J4"/>
    <x:mergeCell ref="A17:J17"/>
  </x:mergeCells>
  <x:dataValidations count="1">
    <x:dataValidation type="list" sqref="H6:H15">
      <x:formula1>"Open,In progress,Decided,Deferred"</x:formula1>
    </x:dataValidation>
  </x:dataValidations>
  <x:pageMargins left="0.7" right="0.7" top="0.75" bottom="0.75" header="0.3" footer="0.3"/>
</x:worksheet>
</file>