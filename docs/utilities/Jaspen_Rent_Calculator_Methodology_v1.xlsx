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ldbailey/Projects/jaspen-git/jaspen/docs/utilities/"/>
    </mc:Choice>
  </mc:AlternateContent>
  <xr:revisionPtr revIDLastSave="0" documentId="8_{2BBCA936-13A3-9042-8D4B-7106E8073FD5}" xr6:coauthVersionLast="47" xr6:coauthVersionMax="47" xr10:uidLastSave="{00000000-0000-0000-0000-000000000000}"/>
  <bookViews>
    <workbookView xWindow="0" yWindow="660" windowWidth="30240" windowHeight="18980" activeTab="4" xr2:uid="{00000000-000D-0000-FFFF-FFFF00000000}"/>
  </bookViews>
  <sheets>
    <sheet name="00 Read Me" sheetId="1" r:id="rId1"/>
    <sheet name="01 Competitor Baseline" sheetId="2" r:id="rId2"/>
    <sheet name="02 Results Design" sheetId="3" r:id="rId3"/>
    <sheet name="03 User Questions" sheetId="4" r:id="rId4"/>
    <sheet name="04 Calculation Model" sheetId="5" r:id="rId5"/>
    <sheet name="05 Benchmark Library" sheetId="6" r:id="rId6"/>
    <sheet name="How We Built These Estimates" sheetId="7" r:id="rId7"/>
    <sheet name="06 Sample Scenario" sheetId="8" r:id="rId8"/>
    <sheet name="07 Web App Spec" sheetId="9" r:id="rId9"/>
    <sheet name="08 Validation Checklist" sheetId="10" r:id="rId10"/>
    <sheet name="09 Sources" sheetId="11" r:id="rId11"/>
    <sheet name="10 Refinement Note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" i="8" l="1"/>
  <c r="M30" i="8"/>
  <c r="N30" i="8" s="1"/>
  <c r="G30" i="8"/>
  <c r="F30" i="8"/>
  <c r="E30" i="8"/>
  <c r="D30" i="8"/>
  <c r="C30" i="8"/>
  <c r="O29" i="8"/>
  <c r="M29" i="8"/>
  <c r="N29" i="8" s="1"/>
  <c r="G29" i="8"/>
  <c r="F29" i="8"/>
  <c r="D29" i="8"/>
  <c r="C29" i="8"/>
  <c r="O28" i="8"/>
  <c r="M28" i="8"/>
  <c r="N28" i="8" s="1"/>
  <c r="G28" i="8"/>
  <c r="F28" i="8"/>
  <c r="E28" i="8"/>
  <c r="D28" i="8"/>
  <c r="C28" i="8"/>
  <c r="G10" i="8"/>
  <c r="G9" i="8"/>
  <c r="G7" i="8"/>
  <c r="E29" i="8" s="1"/>
  <c r="G5" i="8"/>
  <c r="G6" i="8" s="1"/>
  <c r="G8" i="8" s="1"/>
  <c r="G12" i="8" s="1"/>
  <c r="H30" i="8" l="1"/>
  <c r="J30" i="8" s="1"/>
  <c r="K30" i="8" s="1"/>
  <c r="L30" i="8" s="1"/>
  <c r="H29" i="8"/>
  <c r="J29" i="8" s="1"/>
  <c r="K29" i="8" s="1"/>
  <c r="L29" i="8" s="1"/>
  <c r="H28" i="8"/>
  <c r="I29" i="8"/>
  <c r="G11" i="8"/>
  <c r="I28" i="8"/>
  <c r="I30" i="8"/>
  <c r="J28" i="8" l="1"/>
  <c r="K28" i="8" s="1"/>
  <c r="L28" i="8" s="1"/>
</calcChain>
</file>

<file path=xl/sharedStrings.xml><?xml version="1.0" encoding="utf-8"?>
<sst xmlns="http://schemas.openxmlformats.org/spreadsheetml/2006/main" count="1158" uniqueCount="723">
  <si>
    <t>Jaspen True Cost of Rent Calculator Utility</t>
  </si>
  <si>
    <t>Comprehensive methodology, questionnaire, calculation model, benchmark library, sample scenario, web-app requirements, and source register.</t>
  </si>
  <si>
    <t>Workbook purpose</t>
  </si>
  <si>
    <t>Estimate the true monthly, move-in, and multi-year cost of renting—including recurring fees, utilities, concessions, moving costs, and expected increases—without telling the user whether to rent or buy.</t>
  </si>
  <si>
    <t>Primary user promise</t>
  </si>
  <si>
    <t>Utility boundary</t>
  </si>
  <si>
    <t>The utility does not guarantee future rent, determine lease legality, recommend a property, predict utility usage, or tell the user whether renting is better than buying.</t>
  </si>
  <si>
    <t>Jaspen connection</t>
  </si>
  <si>
    <t>The utility provides full standalone value. After results, users may take the numbers into Jaspen to compare scenarios, pressure-test assumptions, and preserve the reasoning behind their next step.</t>
  </si>
  <si>
    <t>Target experience</t>
  </si>
  <si>
    <t>Zillow-like: start with grounded defaults, let the user review or replace assumptions, show sources, calculate immediately, and disclose what the estimate was built from.</t>
  </si>
  <si>
    <t>Recommended launch geography</t>
  </si>
  <si>
    <t>United States first. Country defaults to United States.</t>
  </si>
  <si>
    <t>Benchmark hierarchy</t>
  </si>
  <si>
    <t>1) Lease/property-specific inputs, 2) local market data where available, 3) published affordability definitions, 4) transparent editable planning assumptions.</t>
  </si>
  <si>
    <t>Key transparency element</t>
  </si>
  <si>
    <t>Estimate Built Using: cost-weighted share from Published Benchmarks, Research-Based Estimates, and Your Inputs.</t>
  </si>
  <si>
    <t>Differentiators</t>
  </si>
  <si>
    <t>Effective rent after concessions; all-in monthly cost; move-in cash; refundable vs nonrefundable cash; 1/3/5-year cost; renewal-increase exposure; move-cost amortization; affordability context; transparent provenance.</t>
  </si>
  <si>
    <t>Current status</t>
  </si>
  <si>
    <t>Methodology design draft for review and validation before web-app implementation.</t>
  </si>
  <si>
    <t>Recommended review order</t>
  </si>
  <si>
    <t>1</t>
  </si>
  <si>
    <t>Review 02 Results Design</t>
  </si>
  <si>
    <t>2</t>
  </si>
  <si>
    <t>Review 03 User Questions</t>
  </si>
  <si>
    <t>3</t>
  </si>
  <si>
    <t>Review 04 Calculation Model</t>
  </si>
  <si>
    <t>4</t>
  </si>
  <si>
    <t>Review 05 Benchmark Library and source freshness</t>
  </si>
  <si>
    <t>5</t>
  </si>
  <si>
    <t>Test 06 Sample Scenario</t>
  </si>
  <si>
    <t>6</t>
  </si>
  <si>
    <t>Validate 07 Web App Spec and 08 Validation Checklist</t>
  </si>
  <si>
    <t>Rent Calculator Market Baseline</t>
  </si>
  <si>
    <t>Mainstream rent calculators focus on affordability or base rent. Jaspen can differentiate by calculating the true all-in cost of a specific lease.</t>
  </si>
  <si>
    <t>Area</t>
  </si>
  <si>
    <t>Common?</t>
  </si>
  <si>
    <t>Typical Input</t>
  </si>
  <si>
    <t>Typical Output</t>
  </si>
  <si>
    <t>Keep?</t>
  </si>
  <si>
    <t>Jaspen Enhancement</t>
  </si>
  <si>
    <t>Why It Adds Value</t>
  </si>
  <si>
    <t>Source Type</t>
  </si>
  <si>
    <t>Risk / Limitation</t>
  </si>
  <si>
    <t>Priority</t>
  </si>
  <si>
    <t>Review</t>
  </si>
  <si>
    <t>Gross-income affordability</t>
  </si>
  <si>
    <t>Very common</t>
  </si>
  <si>
    <t>Income</t>
  </si>
  <si>
    <t>20/30/40% rent range</t>
  </si>
  <si>
    <t>Yes, context only</t>
  </si>
  <si>
    <t>Show all-in housing cost ratio, not only base rent</t>
  </si>
  <si>
    <t>Utilities/fees matter</t>
  </si>
  <si>
    <t>HUD / Zillow / RentCafe</t>
  </si>
  <si>
    <t>Rules of thumb are not budgets</t>
  </si>
  <si>
    <t>Must have</t>
  </si>
  <si>
    <t>Base monthly rent</t>
  </si>
  <si>
    <t>Universal</t>
  </si>
  <si>
    <t>Advertised rent</t>
  </si>
  <si>
    <t>Monthly rent</t>
  </si>
  <si>
    <t>Yes</t>
  </si>
  <si>
    <t>Separate advertised rent from effective and all-in cost</t>
  </si>
  <si>
    <t>Prevents misleading concessions</t>
  </si>
  <si>
    <t>All tools</t>
  </si>
  <si>
    <t>None</t>
  </si>
  <si>
    <t>Concessions / free months</t>
  </si>
  <si>
    <t>Sometimes</t>
  </si>
  <si>
    <t>Free rent / discount</t>
  </si>
  <si>
    <t>Effective rent</t>
  </si>
  <si>
    <t>Show first-year effective rent and renewal reset</t>
  </si>
  <si>
    <t>Major leasing tactic</t>
  </si>
  <si>
    <t>Market practice</t>
  </si>
  <si>
    <t>Concession may not renew</t>
  </si>
  <si>
    <t>Differentiator</t>
  </si>
  <si>
    <t>Recurring fees</t>
  </si>
  <si>
    <t>Often omitted</t>
  </si>
  <si>
    <t>Parking, pet, amenity, trash, tech, package, pest</t>
  </si>
  <si>
    <t>Monthly total</t>
  </si>
  <si>
    <t>Structured fee inventory</t>
  </si>
  <si>
    <t>Advertised rent may omit them</t>
  </si>
  <si>
    <t>Lease review</t>
  </si>
  <si>
    <t>Property-specific</t>
  </si>
  <si>
    <t>Utilities</t>
  </si>
  <si>
    <t>Monthly estimate</t>
  </si>
  <si>
    <t>Gross rent / housing cost</t>
  </si>
  <si>
    <t>Separate included vs tenant-paid</t>
  </si>
  <si>
    <t>HUD housing burden includes utilities</t>
  </si>
  <si>
    <t>HUD</t>
  </si>
  <si>
    <t>Usage/property varies</t>
  </si>
  <si>
    <t>Renter's insurance</t>
  </si>
  <si>
    <t>Monthly premium</t>
  </si>
  <si>
    <t>All-in cost</t>
  </si>
  <si>
    <t>Include optional required insurance</t>
  </si>
  <si>
    <t>Real recurring cost</t>
  </si>
  <si>
    <t>Lease/insurer</t>
  </si>
  <si>
    <t>Quote-specific</t>
  </si>
  <si>
    <t>Move-in cash</t>
  </si>
  <si>
    <t>Deposit, fees, first/last month</t>
  </si>
  <si>
    <t>Cash needed</t>
  </si>
  <si>
    <t>Separate refundable and nonrefundable amounts</t>
  </si>
  <si>
    <t>Critical upfront barrier</t>
  </si>
  <si>
    <t>Lease terms</t>
  </si>
  <si>
    <t>Local laws vary</t>
  </si>
  <si>
    <t>Moving / setup costs</t>
  </si>
  <si>
    <t>Usually omitted</t>
  </si>
  <si>
    <t>Movers, utility setup, furniture</t>
  </si>
  <si>
    <t>One-time cost</t>
  </si>
  <si>
    <t>Show first-year amortized impact</t>
  </si>
  <si>
    <t>True switching cost</t>
  </si>
  <si>
    <t>User input</t>
  </si>
  <si>
    <t>Personal</t>
  </si>
  <si>
    <t>Annual increases</t>
  </si>
  <si>
    <t>Often simplified</t>
  </si>
  <si>
    <t>Growth %</t>
  </si>
  <si>
    <t>Future rent</t>
  </si>
  <si>
    <t>Show renewal exposure and 1/3/5-year range</t>
  </si>
  <si>
    <t>Users care about future affordability</t>
  </si>
  <si>
    <t>ZORI/local/user</t>
  </si>
  <si>
    <t>Not a prediction</t>
  </si>
  <si>
    <t>Commute / location cost</t>
  </si>
  <si>
    <t>Miles/days/transit</t>
  </si>
  <si>
    <t>Optional monthly impact</t>
  </si>
  <si>
    <t>Optional</t>
  </si>
  <si>
    <t>Keep separate from housing cost but available for scenario use</t>
  </si>
  <si>
    <t>Location can change total budget</t>
  </si>
  <si>
    <t>Not rent itself</t>
  </si>
  <si>
    <t>Multi-year total</t>
  </si>
  <si>
    <t>Rare</t>
  </si>
  <si>
    <t>All costs</t>
  </si>
  <si>
    <t>1/3/5-year total</t>
  </si>
  <si>
    <t>Include rent, fees, utilities, increases, move costs</t>
  </si>
  <si>
    <t>Supports scenario planning</t>
  </si>
  <si>
    <t>Jaspen methodology</t>
  </si>
  <si>
    <t>Assumption-sensitive</t>
  </si>
  <si>
    <t>Estimate Built Using</t>
  </si>
  <si>
    <t>Provenance</t>
  </si>
  <si>
    <t>Three-way composition</t>
  </si>
  <si>
    <t>Published / research-based / user inputs</t>
  </si>
  <si>
    <t>Trust</t>
  </si>
  <si>
    <t>Not accuracy</t>
  </si>
  <si>
    <t>Proposed Rent Results Experience</t>
  </si>
  <si>
    <t>The result should show what the lease truly costs today, at move-in, and over time.</t>
  </si>
  <si>
    <t>Section</t>
  </si>
  <si>
    <t>Displayed Result</t>
  </si>
  <si>
    <t>Definition</t>
  </si>
  <si>
    <t>Additive?</t>
  </si>
  <si>
    <t>Format</t>
  </si>
  <si>
    <t>Formula Source</t>
  </si>
  <si>
    <t>User Value</t>
  </si>
  <si>
    <t>Jaspen Extension</t>
  </si>
  <si>
    <t>V1?</t>
  </si>
  <si>
    <t>Hero</t>
  </si>
  <si>
    <t>True monthly rent cost</t>
  </si>
  <si>
    <t>Base rent + recurring fees + tenant-paid utilities + insurance + optional monthlyized costs</t>
  </si>
  <si>
    <t>Monthly dollar</t>
  </si>
  <si>
    <t>Component sum</t>
  </si>
  <si>
    <t>Shows real monthly burden</t>
  </si>
  <si>
    <t>Use in rent-vs-buy scenario</t>
  </si>
  <si>
    <t>Move-in cash required</t>
  </si>
  <si>
    <t>First/last month + deposits + nonrefundable fees + moving/setup costs − concessions at signing</t>
  </si>
  <si>
    <t>Yes upfront</t>
  </si>
  <si>
    <t>Dollar</t>
  </si>
  <si>
    <t>Lease inputs</t>
  </si>
  <si>
    <t>Shows immediate cash need</t>
  </si>
  <si>
    <t>Compare rental options</t>
  </si>
  <si>
    <t>Summary</t>
  </si>
  <si>
    <t>Lease base rent</t>
  </si>
  <si>
    <t>Subtotal</t>
  </si>
  <si>
    <t>Familiar baseline</t>
  </si>
  <si>
    <t>Effective first-year rent</t>
  </si>
  <si>
    <t>Base rent adjusted for concessions</t>
  </si>
  <si>
    <t>Dollar/month</t>
  </si>
  <si>
    <t>Lease math</t>
  </si>
  <si>
    <t>Shows concession reality</t>
  </si>
  <si>
    <t>Compare scenarios</t>
  </si>
  <si>
    <t>All-in recurring housing cost</t>
  </si>
  <si>
    <t>Effective rent + fees + utilities + insurance</t>
  </si>
  <si>
    <t>True monthly budget</t>
  </si>
  <si>
    <t>Take to Jaspen</t>
  </si>
  <si>
    <t>Cash</t>
  </si>
  <si>
    <t>Refundable cash held</t>
  </si>
  <si>
    <t>Security/pet deposits expected to be refundable</t>
  </si>
  <si>
    <t>No cost unless withheld</t>
  </si>
  <si>
    <t>Separates locked cash from expense</t>
  </si>
  <si>
    <t>Cash-flow planning</t>
  </si>
  <si>
    <t>Nonrefundable move-in cost</t>
  </si>
  <si>
    <t>Application/admin/move-in/pet/setup/moving costs</t>
  </si>
  <si>
    <t>Shows sunk upfront cost</t>
  </si>
  <si>
    <t>Compare options</t>
  </si>
  <si>
    <t>Long-term</t>
  </si>
  <si>
    <t>1/3/5-year total cash outflow</t>
  </si>
  <si>
    <t>Rent with increases + recurring costs + one-time costs</t>
  </si>
  <si>
    <t>No separate addition</t>
  </si>
  <si>
    <t>Time-series formulas</t>
  </si>
  <si>
    <t>Shows full commitment</t>
  </si>
  <si>
    <t>Use in rent-vs-buy</t>
  </si>
  <si>
    <t>Risk</t>
  </si>
  <si>
    <t>Renewal-cost exposure</t>
  </si>
  <si>
    <t>Future monthly cost under low/mid/high rent growth</t>
  </si>
  <si>
    <t>No</t>
  </si>
  <si>
    <t>Range</t>
  </si>
  <si>
    <t>Growth scenarios</t>
  </si>
  <si>
    <t>Shows sensitivity</t>
  </si>
  <si>
    <t>Pressure-test with Jaspen</t>
  </si>
  <si>
    <t>Context</t>
  </si>
  <si>
    <t>Housing-cost ratio</t>
  </si>
  <si>
    <t>All-in monthly housing cost ÷ gross income</t>
  </si>
  <si>
    <t>Percent</t>
  </si>
  <si>
    <t>HUD definition context</t>
  </si>
  <si>
    <t>More complete than base rent ratio</t>
  </si>
  <si>
    <t>No recommendation</t>
  </si>
  <si>
    <t>Insight</t>
  </si>
  <si>
    <t>Largest hidden costs</t>
  </si>
  <si>
    <t>Top fees/utilities/move costs and sensitivity drivers</t>
  </si>
  <si>
    <t>Ranked list</t>
  </si>
  <si>
    <t>Sort components</t>
  </si>
  <si>
    <t>Shows what advertisement hides</t>
  </si>
  <si>
    <t>Use in scenario comparison</t>
  </si>
  <si>
    <t>Transparency</t>
  </si>
  <si>
    <t>Cost-weighted provenance</t>
  </si>
  <si>
    <t>Three percentages</t>
  </si>
  <si>
    <t>Provenance model</t>
  </si>
  <si>
    <t>Shows how estimate was built</t>
  </si>
  <si>
    <t>Trust foundation</t>
  </si>
  <si>
    <t>Rent Questionnaire and Benchmark Review Flow</t>
  </si>
  <si>
    <t>Most values are property-specific. Keep the default path short and let users add only fees that apply.</t>
  </si>
  <si>
    <t>Step</t>
  </si>
  <si>
    <t>Field / Question</t>
  </si>
  <si>
    <t>Purpose</t>
  </si>
  <si>
    <t>Required?</t>
  </si>
  <si>
    <t>Input Type</t>
  </si>
  <si>
    <t>Units / Options</t>
  </si>
  <si>
    <t>Default</t>
  </si>
  <si>
    <t>Fallback</t>
  </si>
  <si>
    <t>Drives</t>
  </si>
  <si>
    <t>Source Label?</t>
  </si>
  <si>
    <t>Friction</t>
  </si>
  <si>
    <t>1 Lease basics</t>
  </si>
  <si>
    <t>Advertised monthly rent</t>
  </si>
  <si>
    <t>Core lease cost</t>
  </si>
  <si>
    <t>Currency</t>
  </si>
  <si>
    <t>USD/month</t>
  </si>
  <si>
    <t>$2,000</t>
  </si>
  <si>
    <t>All outputs</t>
  </si>
  <si>
    <t>Low</t>
  </si>
  <si>
    <t>Lease term</t>
  </si>
  <si>
    <t>Concession and horizon math</t>
  </si>
  <si>
    <t>Dropdown</t>
  </si>
  <si>
    <t>6/12/18/24 months</t>
  </si>
  <si>
    <t>12 months</t>
  </si>
  <si>
    <t>Free-rent concession</t>
  </si>
  <si>
    <t>Calculate effective rent</t>
  </si>
  <si>
    <t>Months or dollar</t>
  </si>
  <si>
    <t>Months/$</t>
  </si>
  <si>
    <t>0</t>
  </si>
  <si>
    <t>Gross monthly income (optional)</t>
  </si>
  <si>
    <t>Housing-cost context</t>
  </si>
  <si>
    <t>Blank</t>
  </si>
  <si>
    <t>Cost ratio</t>
  </si>
  <si>
    <t>ZIP / metro (optional)</t>
  </si>
  <si>
    <t>Future local market benchmark refinement</t>
  </si>
  <si>
    <t>Text</t>
  </si>
  <si>
    <t>US ZIP/metro</t>
  </si>
  <si>
    <t>National fallback</t>
  </si>
  <si>
    <t>Rent growth / market context</t>
  </si>
  <si>
    <t>2 Recurring costs</t>
  </si>
  <si>
    <t>Parking</t>
  </si>
  <si>
    <t>Monthly recurring cost</t>
  </si>
  <si>
    <t>$0</t>
  </si>
  <si>
    <t>Pet rent</t>
  </si>
  <si>
    <t>Amenity / technology / package / trash / pest fees</t>
  </si>
  <si>
    <t>Capture hidden recurring fees</t>
  </si>
  <si>
    <t>Required/optional recurring cost</t>
  </si>
  <si>
    <t>$0 or user quote</t>
  </si>
  <si>
    <t>Tenant-paid utilities</t>
  </si>
  <si>
    <t>Gross housing cost</t>
  </si>
  <si>
    <t>$0 or user estimate</t>
  </si>
  <si>
    <t>3 Move-in cash</t>
  </si>
  <si>
    <t>Security deposit</t>
  </si>
  <si>
    <t>USD</t>
  </si>
  <si>
    <t>1 month's rent provisional</t>
  </si>
  <si>
    <t>Lease input preferred</t>
  </si>
  <si>
    <t>Last month's rent / prepaid rent</t>
  </si>
  <si>
    <t>Cash timing</t>
  </si>
  <si>
    <t>Lease input</t>
  </si>
  <si>
    <t>Application / admin / move-in fees</t>
  </si>
  <si>
    <t>Nonrefundable cost</t>
  </si>
  <si>
    <t>Pet deposit / fee</t>
  </si>
  <si>
    <t>Refundable vs nonrefundable</t>
  </si>
  <si>
    <t>Two currency fields</t>
  </si>
  <si>
    <t>Moving / utility setup / furniture setup</t>
  </si>
  <si>
    <t>Switching cost</t>
  </si>
  <si>
    <t>Move-in &amp; first-year cost</t>
  </si>
  <si>
    <t>Medium</t>
  </si>
  <si>
    <t>4 Future view</t>
  </si>
  <si>
    <t>Expected annual rent increase</t>
  </si>
  <si>
    <t>Renewal exposure</t>
  </si>
  <si>
    <t>Editable default</t>
  </si>
  <si>
    <t>Annual %</t>
  </si>
  <si>
    <t>3.0% research-based scenario</t>
  </si>
  <si>
    <t>Local index/user input</t>
  </si>
  <si>
    <t>Future costs</t>
  </si>
  <si>
    <t>Expected annual fee increase</t>
  </si>
  <si>
    <t>Future all-in cost</t>
  </si>
  <si>
    <t>2.5% scenario</t>
  </si>
  <si>
    <t>Expected annual utility increase</t>
  </si>
  <si>
    <t>Commute / location cost difference</t>
  </si>
  <si>
    <t>Scenario input for Jaspen, kept separate from rent</t>
  </si>
  <si>
    <t>Optional scenario</t>
  </si>
  <si>
    <t>Rent Calculation Model</t>
  </si>
  <si>
    <t>Separate advertised rent, effective rent, recurring cost, refundable cash, nonrefundable cost, and future growth.</t>
  </si>
  <si>
    <t>Component</t>
  </si>
  <si>
    <t>Formula</t>
  </si>
  <si>
    <t>Inputs</t>
  </si>
  <si>
    <t>Benchmark / Default</t>
  </si>
  <si>
    <t>Mid</t>
  </si>
  <si>
    <t>High</t>
  </si>
  <si>
    <t>Double-count Guard</t>
  </si>
  <si>
    <t>Status</t>
  </si>
  <si>
    <t>User Explanation</t>
  </si>
  <si>
    <t>Differentiator?</t>
  </si>
  <si>
    <t>Validation</t>
  </si>
  <si>
    <t>Monthly lease rent</t>
  </si>
  <si>
    <t>Same</t>
  </si>
  <si>
    <t>Do not add effective rent separately</t>
  </si>
  <si>
    <t>Standard</t>
  </si>
  <si>
    <t>Published monthly rent before concessions.</t>
  </si>
  <si>
    <t>Concession value</t>
  </si>
  <si>
    <t>Subtract from first-year cost</t>
  </si>
  <si>
    <t>Free months × base rent or dollar concession</t>
  </si>
  <si>
    <t>Lease term, concession</t>
  </si>
  <si>
    <t>Do not treat as recurring beyond term</t>
  </si>
  <si>
    <t>Discount applied during the initial lease.</t>
  </si>
  <si>
    <t>Derived subtotal</t>
  </si>
  <si>
    <t>(Base rent × lease months − concession) ÷ lease months</t>
  </si>
  <si>
    <t>Rent, term, concession</t>
  </si>
  <si>
    <t>Do not add to advertised rent</t>
  </si>
  <si>
    <t>Average monthly rent during the first lease term.</t>
  </si>
  <si>
    <t>Sum monthly fees</t>
  </si>
  <si>
    <t>Fee inputs</t>
  </si>
  <si>
    <t>One-time fees excluded</t>
  </si>
  <si>
    <t>Parking, pet, amenity, technology and other recurring charges.</t>
  </si>
  <si>
    <t>Monthly tenant-paid utilities</t>
  </si>
  <si>
    <t>Selected</t>
  </si>
  <si>
    <t>Only tenant-paid utilities</t>
  </si>
  <si>
    <t>Estimated utilities paid by the renter.</t>
  </si>
  <si>
    <t>Do not include deposit</t>
  </si>
  <si>
    <t>Monthly renter's insurance cost.</t>
  </si>
  <si>
    <t>Effective rent + recurring fees + utilities + insurance</t>
  </si>
  <si>
    <t>Components</t>
  </si>
  <si>
    <t>Low growth</t>
  </si>
  <si>
    <t>High growth</t>
  </si>
  <si>
    <t>Do not include refundable deposits</t>
  </si>
  <si>
    <t>Jaspen</t>
  </si>
  <si>
    <t>All-in recurring housing cost.</t>
  </si>
  <si>
    <t>No cost subtotal</t>
  </si>
  <si>
    <t>Security + refundable pet deposit</t>
  </si>
  <si>
    <t>One month deposit provisional</t>
  </si>
  <si>
    <t>Do not add to net cost unless withheld</t>
  </si>
  <si>
    <t>Cash tied up but potentially returned.</t>
  </si>
  <si>
    <t>Application/admin/move-in/nonrefundable pet/moving/setup</t>
  </si>
  <si>
    <t>Exclude prepaid rent already counted in rent horizon</t>
  </si>
  <si>
    <t>One-time cost of starting the lease.</t>
  </si>
  <si>
    <t>Cash-flow total</t>
  </si>
  <si>
    <t>First rent + last/prepaid + deposits + nonrefundable fees − signing credits</t>
  </si>
  <si>
    <t>Not equal to long-term cost</t>
  </si>
  <si>
    <t>Cash needed before or at move-in.</t>
  </si>
  <si>
    <t>Yes by horizon</t>
  </si>
  <si>
    <t>Prior rent × (1 + annual increase)</t>
  </si>
  <si>
    <t>Rent, growth, years</t>
  </si>
  <si>
    <t>3% scenario</t>
  </si>
  <si>
    <t>2%</t>
  </si>
  <si>
    <t>3%</t>
  </si>
  <si>
    <t>5%</t>
  </si>
  <si>
    <t>Concession only initial term unless entered again</t>
  </si>
  <si>
    <t>Research-based</t>
  </si>
  <si>
    <t>Modeled renewal rent, not a prediction.</t>
  </si>
  <si>
    <t>Multi-year cash outflow</t>
  </si>
  <si>
    <t>No duplicate subtotal</t>
  </si>
  <si>
    <t>Sum monthly rent/fees/utilities/insurance + one-time costs</t>
  </si>
  <si>
    <t>All components</t>
  </si>
  <si>
    <t>Refundable deposits shown separately</t>
  </si>
  <si>
    <t>Total cash paid over selected horizon.</t>
  </si>
  <si>
    <t>True monthly cost ÷ gross monthly income</t>
  </si>
  <si>
    <t>Income, cost</t>
  </si>
  <si>
    <t>HUD 30/50 context</t>
  </si>
  <si>
    <t>Not affordability approval</t>
  </si>
  <si>
    <t>Standard context</t>
  </si>
  <si>
    <t>Share of gross income used for rent and utilities.</t>
  </si>
  <si>
    <t>Component provenance</t>
  </si>
  <si>
    <t>N/A</t>
  </si>
  <si>
    <t>Not accuracy/confidence</t>
  </si>
  <si>
    <t>Shows how the estimate was constructed.</t>
  </si>
  <si>
    <t>Must total 100%</t>
  </si>
  <si>
    <t>Rent Benchmark Library</t>
  </si>
  <si>
    <t>Because lease economics are property-specific, user and lease inputs should dominate. Benchmarks mainly provide context and optional future-growth defaults.</t>
  </si>
  <si>
    <t>ID</t>
  </si>
  <si>
    <t>Variable</t>
  </si>
  <si>
    <t>Segment</t>
  </si>
  <si>
    <t>Value</t>
  </si>
  <si>
    <t>Unit</t>
  </si>
  <si>
    <t>Reliability</t>
  </si>
  <si>
    <t>Type</t>
  </si>
  <si>
    <t>Source</t>
  </si>
  <si>
    <t>URL</t>
  </si>
  <si>
    <t>Period</t>
  </si>
  <si>
    <t>Methodology</t>
  </si>
  <si>
    <t>Limitation</t>
  </si>
  <si>
    <t>Why Used</t>
  </si>
  <si>
    <t>R001</t>
  </si>
  <si>
    <t>Cost-burden threshold</t>
  </si>
  <si>
    <t>US households</t>
  </si>
  <si>
    <t>30%</t>
  </si>
  <si>
    <t>Gross income</t>
  </si>
  <si>
    <t>Published Benchmark</t>
  </si>
  <si>
    <t>Direct Benchmark</t>
  </si>
  <si>
    <t>Adopted</t>
  </si>
  <si>
    <t>HUD CHAS</t>
  </si>
  <si>
    <t>https://www.huduser.gov/portal/datasets/cp/CHAS/bg_chas.html</t>
  </si>
  <si>
    <t>Current</t>
  </si>
  <si>
    <t>Housing cost including utilities above 30% is cost burden.</t>
  </si>
  <si>
    <t>Not a personalized affordability recommendation.</t>
  </si>
  <si>
    <t>Provides familiar context.</t>
  </si>
  <si>
    <t>R002</t>
  </si>
  <si>
    <t>Severe cost-burden threshold</t>
  </si>
  <si>
    <t>50%</t>
  </si>
  <si>
    <t>Housing cost including utilities above 50% is severe burden.</t>
  </si>
  <si>
    <t>Not individualized advice.</t>
  </si>
  <si>
    <t>Shows budget stress context.</t>
  </si>
  <si>
    <t>R003</t>
  </si>
  <si>
    <t>Affordability display range</t>
  </si>
  <si>
    <t>General</t>
  </si>
  <si>
    <t>20% / 30% / 40%</t>
  </si>
  <si>
    <t>Published Market Practice</t>
  </si>
  <si>
    <t>Research-Based Proxy</t>
  </si>
  <si>
    <t>RentCafe</t>
  </si>
  <si>
    <t>https://www.rentcafe.com/rent-affordability-calculator/</t>
  </si>
  <si>
    <t>Show user-selectable context only.</t>
  </si>
  <si>
    <t>Rule-of-thumb, not household budget.</t>
  </si>
  <si>
    <t>Matches familiar calculator behavior without recommendation.</t>
  </si>
  <si>
    <t>R004</t>
  </si>
  <si>
    <t>Local market rent</t>
  </si>
  <si>
    <t>ZIP/metro/unit type</t>
  </si>
  <si>
    <t>Dynamic</t>
  </si>
  <si>
    <t>Published Market Data</t>
  </si>
  <si>
    <t>Future Research</t>
  </si>
  <si>
    <t>Zillow ZORI / HUD FMR</t>
  </si>
  <si>
    <t>https://www.zillow.com/research/data/</t>
  </si>
  <si>
    <t>Future optional comparison of entered rent with local market index.</t>
  </si>
  <si>
    <t>Indexes may not match property type, concessions, or current listing.</t>
  </si>
  <si>
    <t>Could make the tool more Zillow-like later.</t>
  </si>
  <si>
    <t>R005</t>
  </si>
  <si>
    <t>Annual rent growth</t>
  </si>
  <si>
    <t>Scenario</t>
  </si>
  <si>
    <t>2% / 3% / 5%</t>
  </si>
  <si>
    <t>Research-Based Estimate</t>
  </si>
  <si>
    <t>Under Review</t>
  </si>
  <si>
    <t>Scenario default; future local index integration</t>
  </si>
  <si>
    <t>TBD</t>
  </si>
  <si>
    <t>Editable low/mid/high future-cost assumption.</t>
  </si>
  <si>
    <t>Rent growth varies by market and cycle.</t>
  </si>
  <si>
    <t>Allows renewal exposure modeling.</t>
  </si>
  <si>
    <t>R006</t>
  </si>
  <si>
    <t>Security deposit default</t>
  </si>
  <si>
    <t>1 month rent</t>
  </si>
  <si>
    <t>Model fallback</t>
  </si>
  <si>
    <t>Only a placeholder when lease value is unknown.</t>
  </si>
  <si>
    <t>State/local law and landlord terms vary.</t>
  </si>
  <si>
    <t>Allows move-in cash estimate without a lease in hand.</t>
  </si>
  <si>
    <t>R007</t>
  </si>
  <si>
    <t>Utility inclusion in burden</t>
  </si>
  <si>
    <t>Include tenant-paid utilities</t>
  </si>
  <si>
    <t>All-in housing ratio should include utilities.</t>
  </si>
  <si>
    <t>Utility usage is property/household-specific.</t>
  </si>
  <si>
    <t>Differentiates from base-rent-only ratios.</t>
  </si>
  <si>
    <t>How We Built These Rent Estimates</t>
  </si>
  <si>
    <t>The calculator is an estimation tool, not a quote, underwriting decision, lease recommendation, or prediction.</t>
  </si>
  <si>
    <t>Principle</t>
  </si>
  <si>
    <t>How it is applied</t>
  </si>
  <si>
    <t>Lease facts first</t>
  </si>
  <si>
    <t>Advertised rent, concessions, recurring fees, deposits, utilities, and insurance are property-specific. User/lease inputs should dominate.</t>
  </si>
  <si>
    <t>Published context</t>
  </si>
  <si>
    <t>HUD's cost-burden definitions are used only for context and include utilities.</t>
  </si>
  <si>
    <t>Research-Based Estimates</t>
  </si>
  <si>
    <t>Future rent/fee/utility growth and deposit fallbacks are editable planning assumptions, not predictions.</t>
  </si>
  <si>
    <t>Deposits are shown as cash held, not automatically treated as a cost.</t>
  </si>
  <si>
    <t>No hidden recommendation</t>
  </si>
  <si>
    <t>The calculator does not tell the user whether to rent, buy, move, or choose a property.</t>
  </si>
  <si>
    <t>No AI in the calculation</t>
  </si>
  <si>
    <t>All calculations are deterministic formulas with visible assumptions.</t>
  </si>
  <si>
    <t>The result discloses how much came from Published Benchmarks, Research-Based Estimates, and Your Inputs.</t>
  </si>
  <si>
    <t>Working Rent Sample Model</t>
  </si>
  <si>
    <t>Editable 12-month lease example with a concession, recurring fees, utilities, insurance, deposits, and future growth.</t>
  </si>
  <si>
    <t>Input</t>
  </si>
  <si>
    <t>Notes</t>
  </si>
  <si>
    <t>Derived Metric</t>
  </si>
  <si>
    <t>Formula / Meaning</t>
  </si>
  <si>
    <t>Your Input</t>
  </si>
  <si>
    <t>Free months × advertised rent</t>
  </si>
  <si>
    <t>Lease term months</t>
  </si>
  <si>
    <t>(Rent × term − concession) ÷ term</t>
  </si>
  <si>
    <t>Free months</t>
  </si>
  <si>
    <t>Parking + pet rent + other fees</t>
  </si>
  <si>
    <t>Monthly parking</t>
  </si>
  <si>
    <t>Effective rent + fees + insurance + utilities</t>
  </si>
  <si>
    <t>Monthly pet rent</t>
  </si>
  <si>
    <t>Monthly other recurring fees</t>
  </si>
  <si>
    <t>Amenity/tech/trash/package</t>
  </si>
  <si>
    <t>Admin/move-in + nonrefundable pet + moving/setup</t>
  </si>
  <si>
    <t>Monthly renter's insurance</t>
  </si>
  <si>
    <t>First rent + prepaid rent + deposits + nonrefundable costs − signing concession applied upfront</t>
  </si>
  <si>
    <t>Monthly utilities</t>
  </si>
  <si>
    <t>Tenant-paid</t>
  </si>
  <si>
    <t>Housing cost ratio</t>
  </si>
  <si>
    <t>True monthly rent cost ÷ gross income</t>
  </si>
  <si>
    <t>Lease value preferred</t>
  </si>
  <si>
    <t>Refundable pet deposit</t>
  </si>
  <si>
    <t>Nonrefundable application/admin/move-in fees</t>
  </si>
  <si>
    <t>Percentage</t>
  </si>
  <si>
    <t>Nonrefundable pet fee</t>
  </si>
  <si>
    <t>Published Benchmarks</t>
  </si>
  <si>
    <t>HUD affordability definitions used as context.</t>
  </si>
  <si>
    <t>Moving/setup costs</t>
  </si>
  <si>
    <t>Editable rent-growth and deposit planning assumptions.</t>
  </si>
  <si>
    <t>Last month's/prepaid rent</t>
  </si>
  <si>
    <t>Your Inputs</t>
  </si>
  <si>
    <t>Lease rent, fees, concessions, utilities, insurance, deposits, income, and moving costs.</t>
  </si>
  <si>
    <t>Gross monthly income</t>
  </si>
  <si>
    <t>Annual rent increase</t>
  </si>
  <si>
    <t>Annual fee increase</t>
  </si>
  <si>
    <t>Annual utility increase</t>
  </si>
  <si>
    <t>Optional commute/location difference</t>
  </si>
  <si>
    <t>Kept separate</t>
  </si>
  <si>
    <t>Horizon</t>
  </si>
  <si>
    <t>Months</t>
  </si>
  <si>
    <t>Rent Paid</t>
  </si>
  <si>
    <t>Concessions</t>
  </si>
  <si>
    <t>Recurring Fees</t>
  </si>
  <si>
    <t>Insurance</t>
  </si>
  <si>
    <t>Nonrefundable Move-In</t>
  </si>
  <si>
    <t>Refundable Cash Held</t>
  </si>
  <si>
    <t>Total Cash Paid</t>
  </si>
  <si>
    <t>Net Cost Excl. Refundable Deposit</t>
  </si>
  <si>
    <t>Avg Monthly Cost</t>
  </si>
  <si>
    <t>Ending Monthly Rent</t>
  </si>
  <si>
    <t>Housing Ratio</t>
  </si>
  <si>
    <t>Optional Commute Add-on</t>
  </si>
  <si>
    <t>1 Year</t>
  </si>
  <si>
    <t>3 Years</t>
  </si>
  <si>
    <t>5 Years</t>
  </si>
  <si>
    <t>Rent Utility Web-App Requirements</t>
  </si>
  <si>
    <t>A grounded lease-cost utility, not a generic affordability quiz or a rent-vs-buy recommendation.</t>
  </si>
  <si>
    <t>Requirement</t>
  </si>
  <si>
    <t>User Experience</t>
  </si>
  <si>
    <t>Data / Logic</t>
  </si>
  <si>
    <t>Analytics</t>
  </si>
  <si>
    <t>Trust / Privacy</t>
  </si>
  <si>
    <t>SEO</t>
  </si>
  <si>
    <t>Accessibility</t>
  </si>
  <si>
    <t>Acceptance Criteria</t>
  </si>
  <si>
    <t>Route</t>
  </si>
  <si>
    <t>/tools/rent-calculator or /tools/true-cost-of-rent</t>
  </si>
  <si>
    <t>Public utility page</t>
  </si>
  <si>
    <t>Choose route after search-intent validation</t>
  </si>
  <si>
    <t>page_view</t>
  </si>
  <si>
    <t>No account required</t>
  </si>
  <si>
    <t>Rent calculator / true cost of rent / rent affordability</t>
  </si>
  <si>
    <t>Semantic headings</t>
  </si>
  <si>
    <t>Canonical page</t>
  </si>
  <si>
    <t>Proposed</t>
  </si>
  <si>
    <t>Dynamic fee list</t>
  </si>
  <si>
    <t>Let user add/remove recurring and one-time fee rows</t>
  </si>
  <si>
    <t>Feels tailored without a long fixed form</t>
  </si>
  <si>
    <t>Structured fee categories</t>
  </si>
  <si>
    <t>fee_added</t>
  </si>
  <si>
    <t>No free-text required</t>
  </si>
  <si>
    <t>Useful long-tail content</t>
  </si>
  <si>
    <t>Accessible add/remove</t>
  </si>
  <si>
    <t>Totals update correctly</t>
  </si>
  <si>
    <t>Support free months and dollar discounts</t>
  </si>
  <si>
    <t>Show advertised vs effective rent</t>
  </si>
  <si>
    <t>Lease-term math</t>
  </si>
  <si>
    <t>concession_used</t>
  </si>
  <si>
    <t>Clear initial-term limitation</t>
  </si>
  <si>
    <t>Accessible controls</t>
  </si>
  <si>
    <t>No concession beyond initial term</t>
  </si>
  <si>
    <t>Results</t>
  </si>
  <si>
    <t>Monthly, move-in, refundable/nonrefundable, horizons, renewal exposure</t>
  </si>
  <si>
    <t>Full result before signup</t>
  </si>
  <si>
    <t>Deterministic formulas</t>
  </si>
  <si>
    <t>results_viewed</t>
  </si>
  <si>
    <t>Clear assumptions</t>
  </si>
  <si>
    <t>Rich calculator page</t>
  </si>
  <si>
    <t>Text alternatives</t>
  </si>
  <si>
    <t>Matches workbook sample</t>
  </si>
  <si>
    <t>Save history</t>
  </si>
  <si>
    <t>Offer after results</t>
  </si>
  <si>
    <t>Save/compare rental options</t>
  </si>
  <si>
    <t>Scenario persistence</t>
  </si>
  <si>
    <t>save_clicked</t>
  </si>
  <si>
    <t>Existing account/privacy</t>
  </si>
  <si>
    <t>Retention</t>
  </si>
  <si>
    <t>Keyboard accessible</t>
  </si>
  <si>
    <t>Anonymous full results</t>
  </si>
  <si>
    <t>Basket / collection</t>
  </si>
  <si>
    <t>Saved users can collect multiple rental scenarios</t>
  </si>
  <si>
    <t>Compare options; do not simply sum alternatives unless user selects a portfolio use</t>
  </si>
  <si>
    <t>Structured scenario collection</t>
  </si>
  <si>
    <t>Later</t>
  </si>
  <si>
    <t>scenario_added</t>
  </si>
  <si>
    <t>User-owned data</t>
  </si>
  <si>
    <t>Engagement</t>
  </si>
  <si>
    <t>Accessible list</t>
  </si>
  <si>
    <t>Clear comparison vs sum behavior</t>
  </si>
  <si>
    <t>Future</t>
  </si>
  <si>
    <t>Three-part composition</t>
  </si>
  <si>
    <t>Transparent provenance</t>
  </si>
  <si>
    <t>Dynamic based on overrides</t>
  </si>
  <si>
    <t>composition_viewed</t>
  </si>
  <si>
    <t>Trust differentiator</t>
  </si>
  <si>
    <t>Not color-only</t>
  </si>
  <si>
    <t>Totals 100%</t>
  </si>
  <si>
    <t>Jaspen CTA</t>
  </si>
  <si>
    <t>Take this rental scenario into Jaspen</t>
  </si>
  <si>
    <t>Compare neighborhoods, lease terms, rent increases, commute, mortgage scenarios</t>
  </si>
  <si>
    <t>Structured handoff</t>
  </si>
  <si>
    <t>jaspen_cta</t>
  </si>
  <si>
    <t>No recommendation claim</t>
  </si>
  <si>
    <t>Product bridge</t>
  </si>
  <si>
    <t>Descriptive CTA</t>
  </si>
  <si>
    <t>After value</t>
  </si>
  <si>
    <t>Rent Methodology Validation Checklist</t>
  </si>
  <si>
    <t>Validate lease math, deposits, concessions, future growth, and saved-scenario behavior.</t>
  </si>
  <si>
    <t>Question</t>
  </si>
  <si>
    <t>Why</t>
  </si>
  <si>
    <t>Evidence</t>
  </si>
  <si>
    <t>Severity</t>
  </si>
  <si>
    <t>Owner</t>
  </si>
  <si>
    <t>Resolution</t>
  </si>
  <si>
    <t>Sign-off</t>
  </si>
  <si>
    <t>Concession</t>
  </si>
  <si>
    <t>Does effective-rent math handle free months and dollar discounts correctly?</t>
  </si>
  <si>
    <t>Core differentiator</t>
  </si>
  <si>
    <t>Formula tests</t>
  </si>
  <si>
    <t>Critical</t>
  </si>
  <si>
    <t>Open</t>
  </si>
  <si>
    <t>Deposits</t>
  </si>
  <si>
    <t>Are refundable deposits excluded from net cost but included in move-in cash?</t>
  </si>
  <si>
    <t>Avoid overstating cost</t>
  </si>
  <si>
    <t>Formula audit</t>
  </si>
  <si>
    <t>Fees</t>
  </si>
  <si>
    <t>Can users add recurring and one-time fees without double count?</t>
  </si>
  <si>
    <t>Real lease complexity</t>
  </si>
  <si>
    <t>UX tests</t>
  </si>
  <si>
    <t>Prepaid rent</t>
  </si>
  <si>
    <t>Is last month's rent counted as cash timing and as rent over horizon only once?</t>
  </si>
  <si>
    <t>Double-count risk</t>
  </si>
  <si>
    <t>Rent growth</t>
  </si>
  <si>
    <t>Are future increases clearly scenarios, not forecasts?</t>
  </si>
  <si>
    <t>Copy review</t>
  </si>
  <si>
    <t>Affordability</t>
  </si>
  <si>
    <t>Does ratio include utilities and avoid telling user what they can afford?</t>
  </si>
  <si>
    <t>HUD alignment</t>
  </si>
  <si>
    <t>Methodology review</t>
  </si>
  <si>
    <t>Local data</t>
  </si>
  <si>
    <t>Should local ZORI/FMR context be postponed until exact matching is designed?</t>
  </si>
  <si>
    <t>Avoid apples-to-oranges benchmark</t>
  </si>
  <si>
    <t>Product decision</t>
  </si>
  <si>
    <t>Composition</t>
  </si>
  <si>
    <t>Does Estimate Built Using update with overrides and total 100%?</t>
  </si>
  <si>
    <t>Save basket</t>
  </si>
  <si>
    <t>Should multiple rentals be compared rather than summed by default?</t>
  </si>
  <si>
    <t>Alternatives are not additive</t>
  </si>
  <si>
    <t>Product design</t>
  </si>
  <si>
    <t>Rent Research Sources</t>
  </si>
  <si>
    <t>Authoritative sources and market examples used to define the model.</t>
  </si>
  <si>
    <t>Authority</t>
  </si>
  <si>
    <t>Metric / Use</t>
  </si>
  <si>
    <t>Value / Treatment</t>
  </si>
  <si>
    <t>Production Use</t>
  </si>
  <si>
    <t>Caveat</t>
  </si>
  <si>
    <t>U.S. HUD</t>
  </si>
  <si>
    <t>Cost burden and severe burden including utilities</t>
  </si>
  <si>
    <t>30% / 50% context</t>
  </si>
  <si>
    <t>Not a personalized budget recommendation</t>
  </si>
  <si>
    <t>HUD HOME Rent Limits</t>
  </si>
  <si>
    <t>Gross-rent concept and 30% income framework</t>
  </si>
  <si>
    <t>Context only</t>
  </si>
  <si>
    <t>https://www.huduser.gov/portal/datasets/HOME-Rent-limits.html</t>
  </si>
  <si>
    <t>2026</t>
  </si>
  <si>
    <t>Program rent limits are not market rent quotes</t>
  </si>
  <si>
    <t>Zillow Rent Affordability Calculator</t>
  </si>
  <si>
    <t>Zillow</t>
  </si>
  <si>
    <t>Market baseline: rent budget plus expenses/savings context</t>
  </si>
  <si>
    <t>Competitor baseline</t>
  </si>
  <si>
    <t>https://www.zillow.com/rent-affordability-calculator</t>
  </si>
  <si>
    <t>Competitor research</t>
  </si>
  <si>
    <t>Does not replace lease-specific cost model</t>
  </si>
  <si>
    <t>RentCafe Calculator</t>
  </si>
  <si>
    <t>20/30/40% gross-income display and remaining-money approach</t>
  </si>
  <si>
    <t>Rule-of-thumb framework</t>
  </si>
  <si>
    <t>Zillow Research Data</t>
  </si>
  <si>
    <t>Future local rent-growth and market-rent context</t>
  </si>
  <si>
    <t>Potential dynamic benchmark</t>
  </si>
  <si>
    <t>Index matching and licensing/use must be reviewed</t>
  </si>
  <si>
    <t>Rent Refinement Notes</t>
  </si>
  <si>
    <t>Open methodology decisions and future enhancements.</t>
  </si>
  <si>
    <t>Item</t>
  </si>
  <si>
    <t>Current Direction</t>
  </si>
  <si>
    <t>Primary utility type</t>
  </si>
  <si>
    <t>True cost of a specific rental scenario, not only 'how much rent can I afford.'</t>
  </si>
  <si>
    <t>Route decision</t>
  </si>
  <si>
    <t>Validate whether /tools/rent-calculator or /tools/true-cost-of-rent has the strongest search intent; keep one canonical route.</t>
  </si>
  <si>
    <t>Local rent comparison</t>
  </si>
  <si>
    <t>Future enhancement only after unit type, bedroom count, geography, and index methodology are defined.</t>
  </si>
  <si>
    <t>Concessions, all recurring fees, move-in cash, refundable vs nonrefundable, multi-year cost, renewal exposure, provenance.</t>
  </si>
  <si>
    <t>Rent-vs-buy</t>
  </si>
  <si>
    <t>Do not merge into this utility. Preserve structured outputs for a separate comparison scenario in Jaspen.</t>
  </si>
  <si>
    <t>Scenario collection</t>
  </si>
  <si>
    <t>Saved rental options should be compared, not automatically added together. Summing is only valid for actual multiple simultaneous leases.</t>
  </si>
  <si>
    <t>AI</t>
  </si>
  <si>
    <t>No AI in formulas or results. Deterministic math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</si>
</sst>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\$#,##0.00"/>
    <numFmt numFmtId="166" formatCode="0.0%"/>
  </numFmts>
  <fonts count="7">
    <font>
      <sz val="11"/>
      <name val="Carlito"/>
    </font>
    <font>
      <b/>
      <sz val="18"/>
      <color rgb="FFFFFFFF"/>
      <name val="Aptos Display"/>
    </font>
    <font>
      <i/>
      <sz val="10"/>
      <color rgb="FF161F3B"/>
      <name val="Carlito"/>
    </font>
    <font>
      <sz val="10"/>
      <color rgb="FF161F3B"/>
      <name val="Aptos"/>
    </font>
    <font>
      <b/>
      <sz val="10"/>
      <color rgb="FF161F3B"/>
      <name val="Aptos"/>
    </font>
    <font>
      <b/>
      <sz val="11"/>
      <color rgb="FF161F3B"/>
      <name val="Carlito"/>
    </font>
    <font>
      <b/>
      <sz val="11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61F3B"/>
      </patternFill>
    </fill>
    <fill>
      <patternFill patternType="solid">
        <fgColor rgb="FFEFF9FC"/>
      </patternFill>
    </fill>
    <fill>
      <patternFill patternType="solid">
        <fgColor rgb="FFF8F5F0"/>
      </patternFill>
    </fill>
    <fill>
      <patternFill patternType="solid">
        <fgColor rgb="FFE9B57B"/>
      </patternFill>
    </fill>
    <fill>
      <patternFill patternType="solid">
        <fgColor rgb="FFA0036C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6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top" wrapText="1"/>
    </xf>
    <xf numFmtId="164" fontId="3" fillId="7" borderId="0" xfId="0" applyNumberFormat="1" applyFont="1" applyFill="1" applyAlignment="1">
      <alignment vertical="top" wrapText="1"/>
    </xf>
    <xf numFmtId="10" fontId="3" fillId="7" borderId="0" xfId="0" applyNumberFormat="1" applyFont="1" applyFill="1" applyAlignment="1">
      <alignment vertical="top" wrapText="1"/>
    </xf>
    <xf numFmtId="165" fontId="3" fillId="0" borderId="0" xfId="0" applyNumberFormat="1" applyFont="1" applyAlignment="1">
      <alignment vertical="top" wrapText="1"/>
    </xf>
    <xf numFmtId="166" fontId="3" fillId="0" borderId="0" xfId="0" applyNumberFormat="1" applyFont="1" applyAlignment="1">
      <alignment vertical="top" wrapText="1"/>
    </xf>
    <xf numFmtId="164" fontId="3" fillId="0" borderId="0" xfId="0" applyNumberFormat="1" applyFont="1" applyAlignment="1">
      <alignment vertical="top" wrapText="1"/>
    </xf>
    <xf numFmtId="9" fontId="3" fillId="0" borderId="0" xfId="0" applyNumberFormat="1" applyFont="1" applyAlignment="1">
      <alignment vertical="top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orkbookViewId="0">
      <selection sqref="A1:J1"/>
    </sheetView>
  </sheetViews>
  <sheetFormatPr baseColWidth="10" defaultColWidth="8.83203125" defaultRowHeight="14"/>
  <cols>
    <col min="1" max="1" width="22" customWidth="1"/>
    <col min="2" max="2" width="95" customWidth="1"/>
    <col min="3" max="10" width="12" customWidth="1"/>
  </cols>
  <sheetData>
    <row r="1" spans="1:10" ht="42.75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40" customHeight="1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4" spans="1:10" ht="30">
      <c r="A4" s="2" t="s">
        <v>2</v>
      </c>
      <c r="B4" s="1" t="s">
        <v>3</v>
      </c>
    </row>
    <row r="5" spans="1:10" ht="30">
      <c r="A5" s="2" t="s">
        <v>4</v>
      </c>
      <c r="B5" s="1" t="s">
        <v>3</v>
      </c>
    </row>
    <row r="6" spans="1:10" ht="30">
      <c r="A6" s="2" t="s">
        <v>5</v>
      </c>
      <c r="B6" s="1" t="s">
        <v>6</v>
      </c>
    </row>
    <row r="7" spans="1:10" ht="30">
      <c r="A7" s="2" t="s">
        <v>7</v>
      </c>
      <c r="B7" s="1" t="s">
        <v>8</v>
      </c>
    </row>
    <row r="8" spans="1:10" ht="30">
      <c r="A8" s="2" t="s">
        <v>9</v>
      </c>
      <c r="B8" s="1" t="s">
        <v>10</v>
      </c>
    </row>
    <row r="9" spans="1:10" ht="30">
      <c r="A9" s="2" t="s">
        <v>11</v>
      </c>
      <c r="B9" s="1" t="s">
        <v>12</v>
      </c>
    </row>
    <row r="10" spans="1:10" ht="30">
      <c r="A10" s="2" t="s">
        <v>13</v>
      </c>
      <c r="B10" s="1" t="s">
        <v>14</v>
      </c>
    </row>
    <row r="11" spans="1:10" ht="30">
      <c r="A11" s="2" t="s">
        <v>15</v>
      </c>
      <c r="B11" s="1" t="s">
        <v>16</v>
      </c>
    </row>
    <row r="12" spans="1:10" ht="30">
      <c r="A12" s="2" t="s">
        <v>17</v>
      </c>
      <c r="B12" s="1" t="s">
        <v>18</v>
      </c>
    </row>
    <row r="13" spans="1:10" ht="15">
      <c r="A13" s="2" t="s">
        <v>19</v>
      </c>
      <c r="B13" s="1" t="s">
        <v>20</v>
      </c>
    </row>
    <row r="15" spans="1:10" ht="15">
      <c r="A15" s="13" t="s">
        <v>21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ht="15">
      <c r="A16" s="1" t="s">
        <v>22</v>
      </c>
      <c r="B16" s="1" t="s">
        <v>23</v>
      </c>
    </row>
    <row r="17" spans="1:2" ht="15">
      <c r="A17" s="1" t="s">
        <v>24</v>
      </c>
      <c r="B17" s="1" t="s">
        <v>25</v>
      </c>
    </row>
    <row r="18" spans="1:2" ht="15">
      <c r="A18" s="1" t="s">
        <v>26</v>
      </c>
      <c r="B18" s="1" t="s">
        <v>27</v>
      </c>
    </row>
    <row r="19" spans="1:2" ht="15">
      <c r="A19" s="1" t="s">
        <v>28</v>
      </c>
      <c r="B19" s="1" t="s">
        <v>29</v>
      </c>
    </row>
    <row r="20" spans="1:2" ht="15">
      <c r="A20" s="1" t="s">
        <v>30</v>
      </c>
      <c r="B20" s="1" t="s">
        <v>31</v>
      </c>
    </row>
    <row r="21" spans="1:2" ht="15">
      <c r="A21" s="1" t="s">
        <v>32</v>
      </c>
      <c r="B21" s="1" t="s">
        <v>33</v>
      </c>
    </row>
  </sheetData>
  <mergeCells count="3">
    <mergeCell ref="A1:J1"/>
    <mergeCell ref="A2:J2"/>
    <mergeCell ref="A15:J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workbookViewId="0"/>
  </sheetViews>
  <sheetFormatPr baseColWidth="10" defaultColWidth="8.83203125" defaultRowHeight="14"/>
  <cols>
    <col min="1" max="1" width="28" customWidth="1"/>
    <col min="2" max="2" width="16" customWidth="1"/>
    <col min="3" max="3" width="32" customWidth="1"/>
    <col min="4" max="4" width="28" customWidth="1"/>
    <col min="5" max="5" width="12" customWidth="1"/>
    <col min="6" max="6" width="45" customWidth="1"/>
    <col min="7" max="7" width="38" customWidth="1"/>
    <col min="8" max="8" width="24" customWidth="1"/>
    <col min="9" max="9" width="38" customWidth="1"/>
    <col min="10" max="10" width="16" customWidth="1"/>
    <col min="11" max="11" width="24" customWidth="1"/>
  </cols>
  <sheetData>
    <row r="1" spans="1:11" ht="42.75" customHeight="1">
      <c r="A1" s="11" t="s">
        <v>34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40" customHeight="1">
      <c r="A2" s="12" t="s">
        <v>35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4" spans="1:11" ht="16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46</v>
      </c>
    </row>
    <row r="5" spans="1:11" ht="30">
      <c r="A5" s="1" t="s">
        <v>47</v>
      </c>
      <c r="B5" s="1" t="s">
        <v>48</v>
      </c>
      <c r="C5" s="1" t="s">
        <v>49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54</v>
      </c>
      <c r="I5" s="1" t="s">
        <v>55</v>
      </c>
      <c r="J5" s="1" t="s">
        <v>56</v>
      </c>
      <c r="K5" s="1"/>
    </row>
    <row r="6" spans="1:11" ht="15">
      <c r="A6" s="1" t="s">
        <v>57</v>
      </c>
      <c r="B6" s="1" t="s">
        <v>58</v>
      </c>
      <c r="C6" s="1" t="s">
        <v>59</v>
      </c>
      <c r="D6" s="1" t="s">
        <v>60</v>
      </c>
      <c r="E6" s="1" t="s">
        <v>61</v>
      </c>
      <c r="F6" s="1" t="s">
        <v>62</v>
      </c>
      <c r="G6" s="1" t="s">
        <v>63</v>
      </c>
      <c r="H6" s="1" t="s">
        <v>64</v>
      </c>
      <c r="I6" s="1" t="s">
        <v>65</v>
      </c>
      <c r="J6" s="1" t="s">
        <v>56</v>
      </c>
      <c r="K6" s="1"/>
    </row>
    <row r="7" spans="1:11" ht="15">
      <c r="A7" s="1" t="s">
        <v>66</v>
      </c>
      <c r="B7" s="1" t="s">
        <v>67</v>
      </c>
      <c r="C7" s="1" t="s">
        <v>68</v>
      </c>
      <c r="D7" s="1" t="s">
        <v>69</v>
      </c>
      <c r="E7" s="1" t="s">
        <v>61</v>
      </c>
      <c r="F7" s="1" t="s">
        <v>70</v>
      </c>
      <c r="G7" s="1" t="s">
        <v>71</v>
      </c>
      <c r="H7" s="1" t="s">
        <v>72</v>
      </c>
      <c r="I7" s="1" t="s">
        <v>73</v>
      </c>
      <c r="J7" s="1" t="s">
        <v>74</v>
      </c>
      <c r="K7" s="1"/>
    </row>
    <row r="8" spans="1:11" ht="30">
      <c r="A8" s="1" t="s">
        <v>75</v>
      </c>
      <c r="B8" s="1" t="s">
        <v>76</v>
      </c>
      <c r="C8" s="1" t="s">
        <v>77</v>
      </c>
      <c r="D8" s="1" t="s">
        <v>78</v>
      </c>
      <c r="E8" s="1" t="s">
        <v>61</v>
      </c>
      <c r="F8" s="1" t="s">
        <v>79</v>
      </c>
      <c r="G8" s="1" t="s">
        <v>80</v>
      </c>
      <c r="H8" s="1" t="s">
        <v>81</v>
      </c>
      <c r="I8" s="1" t="s">
        <v>82</v>
      </c>
      <c r="J8" s="1" t="s">
        <v>74</v>
      </c>
      <c r="K8" s="1"/>
    </row>
    <row r="9" spans="1:11" ht="15">
      <c r="A9" s="1" t="s">
        <v>83</v>
      </c>
      <c r="B9" s="1" t="s">
        <v>67</v>
      </c>
      <c r="C9" s="1" t="s">
        <v>84</v>
      </c>
      <c r="D9" s="1" t="s">
        <v>85</v>
      </c>
      <c r="E9" s="1" t="s">
        <v>61</v>
      </c>
      <c r="F9" s="1" t="s">
        <v>86</v>
      </c>
      <c r="G9" s="1" t="s">
        <v>87</v>
      </c>
      <c r="H9" s="1" t="s">
        <v>88</v>
      </c>
      <c r="I9" s="1" t="s">
        <v>89</v>
      </c>
      <c r="J9" s="1" t="s">
        <v>74</v>
      </c>
      <c r="K9" s="1"/>
    </row>
    <row r="10" spans="1:11" ht="15">
      <c r="A10" s="1" t="s">
        <v>90</v>
      </c>
      <c r="B10" s="1" t="s">
        <v>76</v>
      </c>
      <c r="C10" s="1" t="s">
        <v>91</v>
      </c>
      <c r="D10" s="1" t="s">
        <v>92</v>
      </c>
      <c r="E10" s="1" t="s">
        <v>61</v>
      </c>
      <c r="F10" s="1" t="s">
        <v>93</v>
      </c>
      <c r="G10" s="1" t="s">
        <v>94</v>
      </c>
      <c r="H10" s="1" t="s">
        <v>95</v>
      </c>
      <c r="I10" s="1" t="s">
        <v>96</v>
      </c>
      <c r="J10" s="1" t="s">
        <v>74</v>
      </c>
      <c r="K10" s="1"/>
    </row>
    <row r="11" spans="1:11" ht="15">
      <c r="A11" s="1" t="s">
        <v>97</v>
      </c>
      <c r="B11" s="1" t="s">
        <v>76</v>
      </c>
      <c r="C11" s="1" t="s">
        <v>98</v>
      </c>
      <c r="D11" s="1" t="s">
        <v>99</v>
      </c>
      <c r="E11" s="1" t="s">
        <v>61</v>
      </c>
      <c r="F11" s="1" t="s">
        <v>100</v>
      </c>
      <c r="G11" s="1" t="s">
        <v>101</v>
      </c>
      <c r="H11" s="1" t="s">
        <v>102</v>
      </c>
      <c r="I11" s="1" t="s">
        <v>103</v>
      </c>
      <c r="J11" s="1" t="s">
        <v>74</v>
      </c>
      <c r="K11" s="1"/>
    </row>
    <row r="12" spans="1:11" ht="15">
      <c r="A12" s="1" t="s">
        <v>104</v>
      </c>
      <c r="B12" s="1" t="s">
        <v>105</v>
      </c>
      <c r="C12" s="1" t="s">
        <v>106</v>
      </c>
      <c r="D12" s="1" t="s">
        <v>107</v>
      </c>
      <c r="E12" s="1" t="s">
        <v>61</v>
      </c>
      <c r="F12" s="1" t="s">
        <v>108</v>
      </c>
      <c r="G12" s="1" t="s">
        <v>109</v>
      </c>
      <c r="H12" s="1" t="s">
        <v>110</v>
      </c>
      <c r="I12" s="1" t="s">
        <v>111</v>
      </c>
      <c r="J12" s="1" t="s">
        <v>74</v>
      </c>
      <c r="K12" s="1"/>
    </row>
    <row r="13" spans="1:11" ht="15">
      <c r="A13" s="1" t="s">
        <v>112</v>
      </c>
      <c r="B13" s="1" t="s">
        <v>113</v>
      </c>
      <c r="C13" s="1" t="s">
        <v>114</v>
      </c>
      <c r="D13" s="1" t="s">
        <v>115</v>
      </c>
      <c r="E13" s="1" t="s">
        <v>61</v>
      </c>
      <c r="F13" s="1" t="s">
        <v>116</v>
      </c>
      <c r="G13" s="1" t="s">
        <v>117</v>
      </c>
      <c r="H13" s="1" t="s">
        <v>118</v>
      </c>
      <c r="I13" s="1" t="s">
        <v>119</v>
      </c>
      <c r="J13" s="1" t="s">
        <v>74</v>
      </c>
      <c r="K13" s="1"/>
    </row>
    <row r="14" spans="1:11" ht="30">
      <c r="A14" s="1" t="s">
        <v>120</v>
      </c>
      <c r="B14" s="1" t="s">
        <v>105</v>
      </c>
      <c r="C14" s="1" t="s">
        <v>121</v>
      </c>
      <c r="D14" s="1" t="s">
        <v>122</v>
      </c>
      <c r="E14" s="1" t="s">
        <v>123</v>
      </c>
      <c r="F14" s="1" t="s">
        <v>124</v>
      </c>
      <c r="G14" s="1" t="s">
        <v>125</v>
      </c>
      <c r="H14" s="1" t="s">
        <v>110</v>
      </c>
      <c r="I14" s="1" t="s">
        <v>126</v>
      </c>
      <c r="J14" s="1" t="s">
        <v>123</v>
      </c>
      <c r="K14" s="1"/>
    </row>
    <row r="15" spans="1:11" ht="15">
      <c r="A15" s="1" t="s">
        <v>127</v>
      </c>
      <c r="B15" s="1" t="s">
        <v>128</v>
      </c>
      <c r="C15" s="1" t="s">
        <v>129</v>
      </c>
      <c r="D15" s="1" t="s">
        <v>130</v>
      </c>
      <c r="E15" s="1" t="s">
        <v>61</v>
      </c>
      <c r="F15" s="1" t="s">
        <v>131</v>
      </c>
      <c r="G15" s="1" t="s">
        <v>132</v>
      </c>
      <c r="H15" s="1" t="s">
        <v>133</v>
      </c>
      <c r="I15" s="1" t="s">
        <v>134</v>
      </c>
      <c r="J15" s="1" t="s">
        <v>74</v>
      </c>
      <c r="K15" s="1"/>
    </row>
    <row r="16" spans="1:11" ht="15">
      <c r="A16" s="1" t="s">
        <v>135</v>
      </c>
      <c r="B16" s="1" t="s">
        <v>128</v>
      </c>
      <c r="C16" s="1" t="s">
        <v>136</v>
      </c>
      <c r="D16" s="1" t="s">
        <v>137</v>
      </c>
      <c r="E16" s="1" t="s">
        <v>61</v>
      </c>
      <c r="F16" s="1" t="s">
        <v>138</v>
      </c>
      <c r="G16" s="1" t="s">
        <v>139</v>
      </c>
      <c r="H16" s="1" t="s">
        <v>133</v>
      </c>
      <c r="I16" s="1" t="s">
        <v>140</v>
      </c>
      <c r="J16" s="1" t="s">
        <v>74</v>
      </c>
      <c r="K16" s="1"/>
    </row>
  </sheetData>
  <mergeCells count="2">
    <mergeCell ref="A1:K1"/>
    <mergeCell ref="A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workbookViewId="0">
      <selection sqref="A1:J1"/>
    </sheetView>
  </sheetViews>
  <sheetFormatPr baseColWidth="10" defaultColWidth="8.83203125" defaultRowHeight="14"/>
  <cols>
    <col min="1" max="1" width="18" customWidth="1"/>
    <col min="2" max="2" width="34" customWidth="1"/>
    <col min="3" max="3" width="55" customWidth="1"/>
    <col min="4" max="4" width="16" customWidth="1"/>
    <col min="5" max="5" width="20" customWidth="1"/>
    <col min="6" max="6" width="32" customWidth="1"/>
    <col min="7" max="7" width="36" customWidth="1"/>
    <col min="8" max="8" width="38" customWidth="1"/>
    <col min="9" max="9" width="12" customWidth="1"/>
    <col min="10" max="10" width="26" customWidth="1"/>
  </cols>
  <sheetData>
    <row r="1" spans="1:10" ht="42.75" customHeight="1">
      <c r="A1" s="11" t="s">
        <v>141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40" customHeight="1">
      <c r="A2" s="12" t="s">
        <v>142</v>
      </c>
      <c r="B2" s="12"/>
      <c r="C2" s="12"/>
      <c r="D2" s="12"/>
      <c r="E2" s="12"/>
      <c r="F2" s="12"/>
      <c r="G2" s="12"/>
      <c r="H2" s="12"/>
      <c r="I2" s="12"/>
      <c r="J2" s="12"/>
    </row>
    <row r="4" spans="1:10" ht="16">
      <c r="A4" s="3" t="s">
        <v>143</v>
      </c>
      <c r="B4" s="3" t="s">
        <v>144</v>
      </c>
      <c r="C4" s="3" t="s">
        <v>145</v>
      </c>
      <c r="D4" s="3" t="s">
        <v>146</v>
      </c>
      <c r="E4" s="3" t="s">
        <v>147</v>
      </c>
      <c r="F4" s="3" t="s">
        <v>148</v>
      </c>
      <c r="G4" s="3" t="s">
        <v>149</v>
      </c>
      <c r="H4" s="3" t="s">
        <v>150</v>
      </c>
      <c r="I4" s="3" t="s">
        <v>151</v>
      </c>
      <c r="J4" s="3" t="s">
        <v>46</v>
      </c>
    </row>
    <row r="5" spans="1:10" ht="30">
      <c r="A5" s="1" t="s">
        <v>152</v>
      </c>
      <c r="B5" s="1" t="s">
        <v>153</v>
      </c>
      <c r="C5" s="1" t="s">
        <v>154</v>
      </c>
      <c r="D5" s="1" t="s">
        <v>61</v>
      </c>
      <c r="E5" s="1" t="s">
        <v>155</v>
      </c>
      <c r="F5" s="1" t="s">
        <v>156</v>
      </c>
      <c r="G5" s="1" t="s">
        <v>157</v>
      </c>
      <c r="H5" s="1" t="s">
        <v>158</v>
      </c>
      <c r="I5" s="1" t="s">
        <v>61</v>
      </c>
      <c r="J5" s="1"/>
    </row>
    <row r="6" spans="1:10" ht="30">
      <c r="A6" s="1" t="s">
        <v>152</v>
      </c>
      <c r="B6" s="1" t="s">
        <v>159</v>
      </c>
      <c r="C6" s="1" t="s">
        <v>160</v>
      </c>
      <c r="D6" s="1" t="s">
        <v>161</v>
      </c>
      <c r="E6" s="1" t="s">
        <v>162</v>
      </c>
      <c r="F6" s="1" t="s">
        <v>163</v>
      </c>
      <c r="G6" s="1" t="s">
        <v>164</v>
      </c>
      <c r="H6" s="1" t="s">
        <v>165</v>
      </c>
      <c r="I6" s="1" t="s">
        <v>61</v>
      </c>
      <c r="J6" s="1"/>
    </row>
    <row r="7" spans="1:10" ht="15">
      <c r="A7" s="1" t="s">
        <v>166</v>
      </c>
      <c r="B7" s="1" t="s">
        <v>59</v>
      </c>
      <c r="C7" s="1" t="s">
        <v>167</v>
      </c>
      <c r="D7" s="1" t="s">
        <v>168</v>
      </c>
      <c r="E7" s="1" t="s">
        <v>162</v>
      </c>
      <c r="F7" s="1" t="s">
        <v>110</v>
      </c>
      <c r="G7" s="1" t="s">
        <v>169</v>
      </c>
      <c r="H7" s="1" t="s">
        <v>65</v>
      </c>
      <c r="I7" s="1" t="s">
        <v>61</v>
      </c>
      <c r="J7" s="1"/>
    </row>
    <row r="8" spans="1:10" ht="15">
      <c r="A8" s="1" t="s">
        <v>166</v>
      </c>
      <c r="B8" s="1" t="s">
        <v>170</v>
      </c>
      <c r="C8" s="1" t="s">
        <v>171</v>
      </c>
      <c r="D8" s="1" t="s">
        <v>168</v>
      </c>
      <c r="E8" s="1" t="s">
        <v>172</v>
      </c>
      <c r="F8" s="1" t="s">
        <v>173</v>
      </c>
      <c r="G8" s="1" t="s">
        <v>174</v>
      </c>
      <c r="H8" s="1" t="s">
        <v>175</v>
      </c>
      <c r="I8" s="1" t="s">
        <v>61</v>
      </c>
      <c r="J8" s="1"/>
    </row>
    <row r="9" spans="1:10" ht="15">
      <c r="A9" s="1" t="s">
        <v>166</v>
      </c>
      <c r="B9" s="1" t="s">
        <v>176</v>
      </c>
      <c r="C9" s="1" t="s">
        <v>177</v>
      </c>
      <c r="D9" s="1" t="s">
        <v>168</v>
      </c>
      <c r="E9" s="1" t="s">
        <v>172</v>
      </c>
      <c r="F9" s="1" t="s">
        <v>156</v>
      </c>
      <c r="G9" s="1" t="s">
        <v>178</v>
      </c>
      <c r="H9" s="1" t="s">
        <v>179</v>
      </c>
      <c r="I9" s="1" t="s">
        <v>61</v>
      </c>
      <c r="J9" s="1"/>
    </row>
    <row r="10" spans="1:10" ht="30">
      <c r="A10" s="1" t="s">
        <v>180</v>
      </c>
      <c r="B10" s="1" t="s">
        <v>181</v>
      </c>
      <c r="C10" s="1" t="s">
        <v>182</v>
      </c>
      <c r="D10" s="1" t="s">
        <v>183</v>
      </c>
      <c r="E10" s="1" t="s">
        <v>162</v>
      </c>
      <c r="F10" s="1" t="s">
        <v>163</v>
      </c>
      <c r="G10" s="1" t="s">
        <v>184</v>
      </c>
      <c r="H10" s="1" t="s">
        <v>185</v>
      </c>
      <c r="I10" s="1" t="s">
        <v>61</v>
      </c>
      <c r="J10" s="1"/>
    </row>
    <row r="11" spans="1:10" ht="15">
      <c r="A11" s="1" t="s">
        <v>180</v>
      </c>
      <c r="B11" s="1" t="s">
        <v>186</v>
      </c>
      <c r="C11" s="1" t="s">
        <v>187</v>
      </c>
      <c r="D11" s="1" t="s">
        <v>61</v>
      </c>
      <c r="E11" s="1" t="s">
        <v>162</v>
      </c>
      <c r="F11" s="1" t="s">
        <v>163</v>
      </c>
      <c r="G11" s="1" t="s">
        <v>188</v>
      </c>
      <c r="H11" s="1" t="s">
        <v>189</v>
      </c>
      <c r="I11" s="1" t="s">
        <v>61</v>
      </c>
      <c r="J11" s="1"/>
    </row>
    <row r="12" spans="1:10" ht="30">
      <c r="A12" s="1" t="s">
        <v>190</v>
      </c>
      <c r="B12" s="1" t="s">
        <v>191</v>
      </c>
      <c r="C12" s="1" t="s">
        <v>192</v>
      </c>
      <c r="D12" s="1" t="s">
        <v>193</v>
      </c>
      <c r="E12" s="1" t="s">
        <v>162</v>
      </c>
      <c r="F12" s="1" t="s">
        <v>194</v>
      </c>
      <c r="G12" s="1" t="s">
        <v>195</v>
      </c>
      <c r="H12" s="1" t="s">
        <v>196</v>
      </c>
      <c r="I12" s="1" t="s">
        <v>61</v>
      </c>
      <c r="J12" s="1"/>
    </row>
    <row r="13" spans="1:10" ht="15">
      <c r="A13" s="1" t="s">
        <v>197</v>
      </c>
      <c r="B13" s="1" t="s">
        <v>198</v>
      </c>
      <c r="C13" s="1" t="s">
        <v>199</v>
      </c>
      <c r="D13" s="1" t="s">
        <v>200</v>
      </c>
      <c r="E13" s="1" t="s">
        <v>201</v>
      </c>
      <c r="F13" s="1" t="s">
        <v>202</v>
      </c>
      <c r="G13" s="1" t="s">
        <v>203</v>
      </c>
      <c r="H13" s="1" t="s">
        <v>204</v>
      </c>
      <c r="I13" s="1" t="s">
        <v>61</v>
      </c>
      <c r="J13" s="1"/>
    </row>
    <row r="14" spans="1:10" ht="15">
      <c r="A14" s="1" t="s">
        <v>205</v>
      </c>
      <c r="B14" s="1" t="s">
        <v>206</v>
      </c>
      <c r="C14" s="1" t="s">
        <v>207</v>
      </c>
      <c r="D14" s="1" t="s">
        <v>200</v>
      </c>
      <c r="E14" s="1" t="s">
        <v>208</v>
      </c>
      <c r="F14" s="1" t="s">
        <v>209</v>
      </c>
      <c r="G14" s="1" t="s">
        <v>210</v>
      </c>
      <c r="H14" s="1" t="s">
        <v>211</v>
      </c>
      <c r="I14" s="1" t="s">
        <v>61</v>
      </c>
      <c r="J14" s="1"/>
    </row>
    <row r="15" spans="1:10" ht="15">
      <c r="A15" s="1" t="s">
        <v>212</v>
      </c>
      <c r="B15" s="1" t="s">
        <v>213</v>
      </c>
      <c r="C15" s="1" t="s">
        <v>214</v>
      </c>
      <c r="D15" s="1" t="s">
        <v>200</v>
      </c>
      <c r="E15" s="1" t="s">
        <v>215</v>
      </c>
      <c r="F15" s="1" t="s">
        <v>216</v>
      </c>
      <c r="G15" s="1" t="s">
        <v>217</v>
      </c>
      <c r="H15" s="1" t="s">
        <v>218</v>
      </c>
      <c r="I15" s="1" t="s">
        <v>61</v>
      </c>
      <c r="J15" s="1"/>
    </row>
    <row r="16" spans="1:10" ht="15">
      <c r="A16" s="1" t="s">
        <v>219</v>
      </c>
      <c r="B16" s="1" t="s">
        <v>135</v>
      </c>
      <c r="C16" s="1" t="s">
        <v>220</v>
      </c>
      <c r="D16" s="1" t="s">
        <v>200</v>
      </c>
      <c r="E16" s="1" t="s">
        <v>221</v>
      </c>
      <c r="F16" s="1" t="s">
        <v>222</v>
      </c>
      <c r="G16" s="1" t="s">
        <v>223</v>
      </c>
      <c r="H16" s="1" t="s">
        <v>224</v>
      </c>
      <c r="I16" s="1" t="s">
        <v>61</v>
      </c>
      <c r="J16" s="1"/>
    </row>
  </sheetData>
  <mergeCells count="2">
    <mergeCell ref="A1:J1"/>
    <mergeCell ref="A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3"/>
  <sheetViews>
    <sheetView workbookViewId="0">
      <selection sqref="A1:L1"/>
    </sheetView>
  </sheetViews>
  <sheetFormatPr baseColWidth="10" defaultColWidth="8.83203125" defaultRowHeight="14"/>
  <cols>
    <col min="1" max="1" width="18" customWidth="1"/>
    <col min="2" max="2" width="43" customWidth="1"/>
    <col min="3" max="3" width="34" customWidth="1"/>
    <col min="4" max="4" width="16" customWidth="1"/>
    <col min="5" max="5" width="20" customWidth="1"/>
    <col min="6" max="6" width="24" customWidth="1"/>
    <col min="7" max="7" width="34" customWidth="1"/>
    <col min="8" max="8" width="30" customWidth="1"/>
    <col min="9" max="9" width="27" customWidth="1"/>
    <col min="10" max="10" width="16" customWidth="1"/>
    <col min="11" max="11" width="14" customWidth="1"/>
    <col min="12" max="12" width="24" customWidth="1"/>
  </cols>
  <sheetData>
    <row r="1" spans="1:12" ht="42.75" customHeight="1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40" customHeight="1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4" spans="1:12" ht="16">
      <c r="A4" s="3" t="s">
        <v>227</v>
      </c>
      <c r="B4" s="3" t="s">
        <v>228</v>
      </c>
      <c r="C4" s="3" t="s">
        <v>229</v>
      </c>
      <c r="D4" s="3" t="s">
        <v>230</v>
      </c>
      <c r="E4" s="3" t="s">
        <v>231</v>
      </c>
      <c r="F4" s="3" t="s">
        <v>232</v>
      </c>
      <c r="G4" s="3" t="s">
        <v>233</v>
      </c>
      <c r="H4" s="3" t="s">
        <v>234</v>
      </c>
      <c r="I4" s="3" t="s">
        <v>235</v>
      </c>
      <c r="J4" s="3" t="s">
        <v>236</v>
      </c>
      <c r="K4" s="3" t="s">
        <v>237</v>
      </c>
      <c r="L4" s="3" t="s">
        <v>46</v>
      </c>
    </row>
    <row r="5" spans="1:12" ht="15">
      <c r="A5" s="1" t="s">
        <v>238</v>
      </c>
      <c r="B5" s="1" t="s">
        <v>239</v>
      </c>
      <c r="C5" s="1" t="s">
        <v>240</v>
      </c>
      <c r="D5" s="1" t="s">
        <v>61</v>
      </c>
      <c r="E5" s="1" t="s">
        <v>241</v>
      </c>
      <c r="F5" s="1" t="s">
        <v>242</v>
      </c>
      <c r="G5" s="1" t="s">
        <v>243</v>
      </c>
      <c r="H5" s="1" t="s">
        <v>65</v>
      </c>
      <c r="I5" s="1" t="s">
        <v>244</v>
      </c>
      <c r="J5" s="1" t="s">
        <v>200</v>
      </c>
      <c r="K5" s="1" t="s">
        <v>245</v>
      </c>
      <c r="L5" s="1"/>
    </row>
    <row r="6" spans="1:12" ht="15">
      <c r="A6" s="1" t="s">
        <v>238</v>
      </c>
      <c r="B6" s="1" t="s">
        <v>246</v>
      </c>
      <c r="C6" s="1" t="s">
        <v>247</v>
      </c>
      <c r="D6" s="1" t="s">
        <v>61</v>
      </c>
      <c r="E6" s="1" t="s">
        <v>248</v>
      </c>
      <c r="F6" s="1" t="s">
        <v>249</v>
      </c>
      <c r="G6" s="1" t="s">
        <v>250</v>
      </c>
      <c r="H6" s="1" t="s">
        <v>65</v>
      </c>
      <c r="I6" s="1" t="s">
        <v>69</v>
      </c>
      <c r="J6" s="1" t="s">
        <v>200</v>
      </c>
      <c r="K6" s="1" t="s">
        <v>245</v>
      </c>
      <c r="L6" s="1"/>
    </row>
    <row r="7" spans="1:12" ht="15">
      <c r="A7" s="1" t="s">
        <v>238</v>
      </c>
      <c r="B7" s="1" t="s">
        <v>251</v>
      </c>
      <c r="C7" s="1" t="s">
        <v>252</v>
      </c>
      <c r="D7" s="1" t="s">
        <v>200</v>
      </c>
      <c r="E7" s="1" t="s">
        <v>253</v>
      </c>
      <c r="F7" s="1" t="s">
        <v>254</v>
      </c>
      <c r="G7" s="1" t="s">
        <v>255</v>
      </c>
      <c r="H7" s="1" t="s">
        <v>65</v>
      </c>
      <c r="I7" s="1" t="s">
        <v>69</v>
      </c>
      <c r="J7" s="1" t="s">
        <v>200</v>
      </c>
      <c r="K7" s="1" t="s">
        <v>245</v>
      </c>
      <c r="L7" s="1"/>
    </row>
    <row r="8" spans="1:12" ht="15">
      <c r="A8" s="1" t="s">
        <v>238</v>
      </c>
      <c r="B8" s="1" t="s">
        <v>256</v>
      </c>
      <c r="C8" s="1" t="s">
        <v>257</v>
      </c>
      <c r="D8" s="1" t="s">
        <v>200</v>
      </c>
      <c r="E8" s="1" t="s">
        <v>241</v>
      </c>
      <c r="F8" s="1" t="s">
        <v>242</v>
      </c>
      <c r="G8" s="1" t="s">
        <v>258</v>
      </c>
      <c r="H8" s="1" t="s">
        <v>65</v>
      </c>
      <c r="I8" s="1" t="s">
        <v>259</v>
      </c>
      <c r="J8" s="1" t="s">
        <v>200</v>
      </c>
      <c r="K8" s="1" t="s">
        <v>245</v>
      </c>
      <c r="L8" s="1"/>
    </row>
    <row r="9" spans="1:12" ht="15">
      <c r="A9" s="1" t="s">
        <v>238</v>
      </c>
      <c r="B9" s="1" t="s">
        <v>260</v>
      </c>
      <c r="C9" s="1" t="s">
        <v>261</v>
      </c>
      <c r="D9" s="1" t="s">
        <v>200</v>
      </c>
      <c r="E9" s="1" t="s">
        <v>262</v>
      </c>
      <c r="F9" s="1" t="s">
        <v>263</v>
      </c>
      <c r="G9" s="1" t="s">
        <v>258</v>
      </c>
      <c r="H9" s="1" t="s">
        <v>264</v>
      </c>
      <c r="I9" s="1" t="s">
        <v>265</v>
      </c>
      <c r="J9" s="1" t="s">
        <v>61</v>
      </c>
      <c r="K9" s="1" t="s">
        <v>245</v>
      </c>
      <c r="L9" s="1"/>
    </row>
    <row r="10" spans="1:12" ht="15">
      <c r="A10" s="1" t="s">
        <v>266</v>
      </c>
      <c r="B10" s="1" t="s">
        <v>267</v>
      </c>
      <c r="C10" s="1" t="s">
        <v>268</v>
      </c>
      <c r="D10" s="1" t="s">
        <v>200</v>
      </c>
      <c r="E10" s="1" t="s">
        <v>241</v>
      </c>
      <c r="F10" s="1" t="s">
        <v>242</v>
      </c>
      <c r="G10" s="1" t="s">
        <v>269</v>
      </c>
      <c r="H10" s="1" t="s">
        <v>65</v>
      </c>
      <c r="I10" s="1" t="s">
        <v>92</v>
      </c>
      <c r="J10" s="1" t="s">
        <v>200</v>
      </c>
      <c r="K10" s="1" t="s">
        <v>245</v>
      </c>
      <c r="L10" s="1"/>
    </row>
    <row r="11" spans="1:12" ht="15">
      <c r="A11" s="1" t="s">
        <v>266</v>
      </c>
      <c r="B11" s="1" t="s">
        <v>270</v>
      </c>
      <c r="C11" s="1" t="s">
        <v>268</v>
      </c>
      <c r="D11" s="1" t="s">
        <v>200</v>
      </c>
      <c r="E11" s="1" t="s">
        <v>241</v>
      </c>
      <c r="F11" s="1" t="s">
        <v>242</v>
      </c>
      <c r="G11" s="1" t="s">
        <v>269</v>
      </c>
      <c r="H11" s="1" t="s">
        <v>65</v>
      </c>
      <c r="I11" s="1" t="s">
        <v>92</v>
      </c>
      <c r="J11" s="1" t="s">
        <v>200</v>
      </c>
      <c r="K11" s="1" t="s">
        <v>245</v>
      </c>
      <c r="L11" s="1"/>
    </row>
    <row r="12" spans="1:12" ht="15">
      <c r="A12" s="1" t="s">
        <v>266</v>
      </c>
      <c r="B12" s="1" t="s">
        <v>271</v>
      </c>
      <c r="C12" s="1" t="s">
        <v>272</v>
      </c>
      <c r="D12" s="1" t="s">
        <v>200</v>
      </c>
      <c r="E12" s="1" t="s">
        <v>241</v>
      </c>
      <c r="F12" s="1" t="s">
        <v>242</v>
      </c>
      <c r="G12" s="1" t="s">
        <v>269</v>
      </c>
      <c r="H12" s="1" t="s">
        <v>65</v>
      </c>
      <c r="I12" s="1" t="s">
        <v>92</v>
      </c>
      <c r="J12" s="1" t="s">
        <v>200</v>
      </c>
      <c r="K12" s="1" t="s">
        <v>245</v>
      </c>
      <c r="L12" s="1"/>
    </row>
    <row r="13" spans="1:12" ht="15">
      <c r="A13" s="1" t="s">
        <v>266</v>
      </c>
      <c r="B13" s="1" t="s">
        <v>90</v>
      </c>
      <c r="C13" s="1" t="s">
        <v>273</v>
      </c>
      <c r="D13" s="1" t="s">
        <v>200</v>
      </c>
      <c r="E13" s="1" t="s">
        <v>241</v>
      </c>
      <c r="F13" s="1" t="s">
        <v>242</v>
      </c>
      <c r="G13" s="1" t="s">
        <v>274</v>
      </c>
      <c r="H13" s="1" t="s">
        <v>110</v>
      </c>
      <c r="I13" s="1" t="s">
        <v>92</v>
      </c>
      <c r="J13" s="1" t="s">
        <v>200</v>
      </c>
      <c r="K13" s="1" t="s">
        <v>245</v>
      </c>
      <c r="L13" s="1"/>
    </row>
    <row r="14" spans="1:12" ht="15">
      <c r="A14" s="1" t="s">
        <v>266</v>
      </c>
      <c r="B14" s="1" t="s">
        <v>275</v>
      </c>
      <c r="C14" s="1" t="s">
        <v>276</v>
      </c>
      <c r="D14" s="1" t="s">
        <v>200</v>
      </c>
      <c r="E14" s="1" t="s">
        <v>241</v>
      </c>
      <c r="F14" s="1" t="s">
        <v>242</v>
      </c>
      <c r="G14" s="1" t="s">
        <v>277</v>
      </c>
      <c r="H14" s="1" t="s">
        <v>110</v>
      </c>
      <c r="I14" s="1" t="s">
        <v>92</v>
      </c>
      <c r="J14" s="1" t="s">
        <v>200</v>
      </c>
      <c r="K14" s="1" t="s">
        <v>245</v>
      </c>
      <c r="L14" s="1"/>
    </row>
    <row r="15" spans="1:12" ht="15">
      <c r="A15" s="1" t="s">
        <v>278</v>
      </c>
      <c r="B15" s="1" t="s">
        <v>279</v>
      </c>
      <c r="C15" s="1" t="s">
        <v>181</v>
      </c>
      <c r="D15" s="1" t="s">
        <v>200</v>
      </c>
      <c r="E15" s="1" t="s">
        <v>241</v>
      </c>
      <c r="F15" s="1" t="s">
        <v>280</v>
      </c>
      <c r="G15" s="1" t="s">
        <v>281</v>
      </c>
      <c r="H15" s="1" t="s">
        <v>282</v>
      </c>
      <c r="I15" s="1" t="s">
        <v>97</v>
      </c>
      <c r="J15" s="1" t="s">
        <v>61</v>
      </c>
      <c r="K15" s="1" t="s">
        <v>245</v>
      </c>
      <c r="L15" s="1"/>
    </row>
    <row r="16" spans="1:12" ht="15">
      <c r="A16" s="1" t="s">
        <v>278</v>
      </c>
      <c r="B16" s="1" t="s">
        <v>283</v>
      </c>
      <c r="C16" s="1" t="s">
        <v>284</v>
      </c>
      <c r="D16" s="1" t="s">
        <v>200</v>
      </c>
      <c r="E16" s="1" t="s">
        <v>241</v>
      </c>
      <c r="F16" s="1" t="s">
        <v>280</v>
      </c>
      <c r="G16" s="1" t="s">
        <v>269</v>
      </c>
      <c r="H16" s="1" t="s">
        <v>285</v>
      </c>
      <c r="I16" s="1" t="s">
        <v>97</v>
      </c>
      <c r="J16" s="1" t="s">
        <v>200</v>
      </c>
      <c r="K16" s="1" t="s">
        <v>245</v>
      </c>
      <c r="L16" s="1"/>
    </row>
    <row r="17" spans="1:12" ht="15">
      <c r="A17" s="1" t="s">
        <v>278</v>
      </c>
      <c r="B17" s="1" t="s">
        <v>286</v>
      </c>
      <c r="C17" s="1" t="s">
        <v>287</v>
      </c>
      <c r="D17" s="1" t="s">
        <v>200</v>
      </c>
      <c r="E17" s="1" t="s">
        <v>241</v>
      </c>
      <c r="F17" s="1" t="s">
        <v>280</v>
      </c>
      <c r="G17" s="1" t="s">
        <v>269</v>
      </c>
      <c r="H17" s="1" t="s">
        <v>285</v>
      </c>
      <c r="I17" s="1" t="s">
        <v>97</v>
      </c>
      <c r="J17" s="1" t="s">
        <v>200</v>
      </c>
      <c r="K17" s="1" t="s">
        <v>245</v>
      </c>
      <c r="L17" s="1"/>
    </row>
    <row r="18" spans="1:12" ht="15">
      <c r="A18" s="1" t="s">
        <v>278</v>
      </c>
      <c r="B18" s="1" t="s">
        <v>288</v>
      </c>
      <c r="C18" s="1" t="s">
        <v>289</v>
      </c>
      <c r="D18" s="1" t="s">
        <v>200</v>
      </c>
      <c r="E18" s="1" t="s">
        <v>290</v>
      </c>
      <c r="F18" s="1" t="s">
        <v>280</v>
      </c>
      <c r="G18" s="1" t="s">
        <v>269</v>
      </c>
      <c r="H18" s="1" t="s">
        <v>285</v>
      </c>
      <c r="I18" s="1" t="s">
        <v>97</v>
      </c>
      <c r="J18" s="1" t="s">
        <v>200</v>
      </c>
      <c r="K18" s="1" t="s">
        <v>245</v>
      </c>
      <c r="L18" s="1"/>
    </row>
    <row r="19" spans="1:12" ht="15">
      <c r="A19" s="1" t="s">
        <v>278</v>
      </c>
      <c r="B19" s="1" t="s">
        <v>291</v>
      </c>
      <c r="C19" s="1" t="s">
        <v>292</v>
      </c>
      <c r="D19" s="1" t="s">
        <v>200</v>
      </c>
      <c r="E19" s="1" t="s">
        <v>241</v>
      </c>
      <c r="F19" s="1" t="s">
        <v>280</v>
      </c>
      <c r="G19" s="1" t="s">
        <v>269</v>
      </c>
      <c r="H19" s="1" t="s">
        <v>110</v>
      </c>
      <c r="I19" s="1" t="s">
        <v>293</v>
      </c>
      <c r="J19" s="1" t="s">
        <v>200</v>
      </c>
      <c r="K19" s="1" t="s">
        <v>294</v>
      </c>
      <c r="L19" s="1"/>
    </row>
    <row r="20" spans="1:12" ht="15">
      <c r="A20" s="1" t="s">
        <v>295</v>
      </c>
      <c r="B20" s="1" t="s">
        <v>296</v>
      </c>
      <c r="C20" s="1" t="s">
        <v>297</v>
      </c>
      <c r="D20" s="1" t="s">
        <v>298</v>
      </c>
      <c r="E20" s="1" t="s">
        <v>208</v>
      </c>
      <c r="F20" s="1" t="s">
        <v>299</v>
      </c>
      <c r="G20" s="1" t="s">
        <v>300</v>
      </c>
      <c r="H20" s="1" t="s">
        <v>301</v>
      </c>
      <c r="I20" s="1" t="s">
        <v>302</v>
      </c>
      <c r="J20" s="1" t="s">
        <v>61</v>
      </c>
      <c r="K20" s="1" t="s">
        <v>245</v>
      </c>
      <c r="L20" s="1"/>
    </row>
    <row r="21" spans="1:12" ht="15">
      <c r="A21" s="1" t="s">
        <v>295</v>
      </c>
      <c r="B21" s="1" t="s">
        <v>303</v>
      </c>
      <c r="C21" s="1" t="s">
        <v>304</v>
      </c>
      <c r="D21" s="1" t="s">
        <v>200</v>
      </c>
      <c r="E21" s="1" t="s">
        <v>208</v>
      </c>
      <c r="F21" s="1" t="s">
        <v>299</v>
      </c>
      <c r="G21" s="1" t="s">
        <v>305</v>
      </c>
      <c r="H21" s="1" t="s">
        <v>110</v>
      </c>
      <c r="I21" s="1" t="s">
        <v>302</v>
      </c>
      <c r="J21" s="1" t="s">
        <v>61</v>
      </c>
      <c r="K21" s="1" t="s">
        <v>245</v>
      </c>
      <c r="L21" s="1"/>
    </row>
    <row r="22" spans="1:12" ht="15">
      <c r="A22" s="1" t="s">
        <v>295</v>
      </c>
      <c r="B22" s="1" t="s">
        <v>306</v>
      </c>
      <c r="C22" s="1" t="s">
        <v>304</v>
      </c>
      <c r="D22" s="1" t="s">
        <v>200</v>
      </c>
      <c r="E22" s="1" t="s">
        <v>208</v>
      </c>
      <c r="F22" s="1" t="s">
        <v>299</v>
      </c>
      <c r="G22" s="1" t="s">
        <v>305</v>
      </c>
      <c r="H22" s="1" t="s">
        <v>110</v>
      </c>
      <c r="I22" s="1" t="s">
        <v>302</v>
      </c>
      <c r="J22" s="1" t="s">
        <v>61</v>
      </c>
      <c r="K22" s="1" t="s">
        <v>245</v>
      </c>
      <c r="L22" s="1"/>
    </row>
    <row r="23" spans="1:12" ht="30">
      <c r="A23" s="1" t="s">
        <v>123</v>
      </c>
      <c r="B23" s="1" t="s">
        <v>307</v>
      </c>
      <c r="C23" s="1" t="s">
        <v>308</v>
      </c>
      <c r="D23" s="1" t="s">
        <v>200</v>
      </c>
      <c r="E23" s="1" t="s">
        <v>241</v>
      </c>
      <c r="F23" s="1" t="s">
        <v>242</v>
      </c>
      <c r="G23" s="1" t="s">
        <v>269</v>
      </c>
      <c r="H23" s="1" t="s">
        <v>110</v>
      </c>
      <c r="I23" s="1" t="s">
        <v>309</v>
      </c>
      <c r="J23" s="1" t="s">
        <v>200</v>
      </c>
      <c r="K23" s="1" t="s">
        <v>294</v>
      </c>
      <c r="L23" s="1"/>
    </row>
  </sheetData>
  <mergeCells count="2">
    <mergeCell ref="A1:L1"/>
    <mergeCell ref="A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8"/>
  <sheetViews>
    <sheetView tabSelected="1" workbookViewId="0">
      <selection activeCell="F15" sqref="F15"/>
    </sheetView>
  </sheetViews>
  <sheetFormatPr baseColWidth="10" defaultColWidth="8.83203125" defaultRowHeight="14"/>
  <cols>
    <col min="1" max="1" width="28" customWidth="1"/>
    <col min="2" max="2" width="20" customWidth="1"/>
    <col min="3" max="3" width="52" customWidth="1"/>
    <col min="4" max="5" width="34" customWidth="1"/>
    <col min="6" max="8" width="18" customWidth="1"/>
    <col min="9" max="9" width="40" customWidth="1"/>
    <col min="10" max="10" width="24" customWidth="1"/>
    <col min="11" max="11" width="45" customWidth="1"/>
    <col min="12" max="12" width="18" customWidth="1"/>
    <col min="13" max="13" width="28" customWidth="1"/>
  </cols>
  <sheetData>
    <row r="1" spans="1:13" ht="42.75" customHeight="1">
      <c r="A1" s="11" t="s">
        <v>310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40" customHeight="1">
      <c r="A2" s="12" t="s">
        <v>311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4" spans="1:13" ht="16">
      <c r="A4" s="3" t="s">
        <v>312</v>
      </c>
      <c r="B4" s="3" t="s">
        <v>146</v>
      </c>
      <c r="C4" s="3" t="s">
        <v>313</v>
      </c>
      <c r="D4" s="3" t="s">
        <v>314</v>
      </c>
      <c r="E4" s="3" t="s">
        <v>315</v>
      </c>
      <c r="F4" s="3" t="s">
        <v>245</v>
      </c>
      <c r="G4" s="3" t="s">
        <v>316</v>
      </c>
      <c r="H4" s="3" t="s">
        <v>317</v>
      </c>
      <c r="I4" s="3" t="s">
        <v>318</v>
      </c>
      <c r="J4" s="3" t="s">
        <v>319</v>
      </c>
      <c r="K4" s="3" t="s">
        <v>320</v>
      </c>
      <c r="L4" s="3" t="s">
        <v>321</v>
      </c>
      <c r="M4" s="3" t="s">
        <v>322</v>
      </c>
    </row>
    <row r="5" spans="1:13" ht="15">
      <c r="A5" s="1" t="s">
        <v>59</v>
      </c>
      <c r="B5" s="1" t="s">
        <v>61</v>
      </c>
      <c r="C5" s="1" t="s">
        <v>323</v>
      </c>
      <c r="D5" s="1" t="s">
        <v>110</v>
      </c>
      <c r="E5" s="1" t="s">
        <v>65</v>
      </c>
      <c r="F5" s="1" t="s">
        <v>324</v>
      </c>
      <c r="G5" s="1" t="s">
        <v>324</v>
      </c>
      <c r="H5" s="1" t="s">
        <v>324</v>
      </c>
      <c r="I5" s="1" t="s">
        <v>325</v>
      </c>
      <c r="J5" s="1" t="s">
        <v>326</v>
      </c>
      <c r="K5" s="1" t="s">
        <v>327</v>
      </c>
      <c r="L5" s="1" t="s">
        <v>200</v>
      </c>
      <c r="M5" s="1"/>
    </row>
    <row r="6" spans="1:13" ht="30">
      <c r="A6" s="1" t="s">
        <v>328</v>
      </c>
      <c r="B6" s="1" t="s">
        <v>329</v>
      </c>
      <c r="C6" s="1" t="s">
        <v>330</v>
      </c>
      <c r="D6" s="1" t="s">
        <v>331</v>
      </c>
      <c r="E6" s="1" t="s">
        <v>65</v>
      </c>
      <c r="F6" s="1" t="s">
        <v>324</v>
      </c>
      <c r="G6" s="1" t="s">
        <v>324</v>
      </c>
      <c r="H6" s="1" t="s">
        <v>324</v>
      </c>
      <c r="I6" s="1" t="s">
        <v>332</v>
      </c>
      <c r="J6" s="1" t="s">
        <v>326</v>
      </c>
      <c r="K6" s="1" t="s">
        <v>333</v>
      </c>
      <c r="L6" s="1" t="s">
        <v>61</v>
      </c>
      <c r="M6" s="1"/>
    </row>
    <row r="7" spans="1:13" ht="15">
      <c r="A7" s="1" t="s">
        <v>170</v>
      </c>
      <c r="B7" s="1" t="s">
        <v>334</v>
      </c>
      <c r="C7" s="1" t="s">
        <v>335</v>
      </c>
      <c r="D7" s="1" t="s">
        <v>336</v>
      </c>
      <c r="E7" s="1" t="s">
        <v>65</v>
      </c>
      <c r="F7" s="1" t="s">
        <v>324</v>
      </c>
      <c r="G7" s="1" t="s">
        <v>324</v>
      </c>
      <c r="H7" s="1" t="s">
        <v>324</v>
      </c>
      <c r="I7" s="1" t="s">
        <v>337</v>
      </c>
      <c r="J7" s="1" t="s">
        <v>326</v>
      </c>
      <c r="K7" s="1" t="s">
        <v>338</v>
      </c>
      <c r="L7" s="1" t="s">
        <v>61</v>
      </c>
      <c r="M7" s="1"/>
    </row>
    <row r="8" spans="1:13" ht="30">
      <c r="A8" s="1" t="s">
        <v>75</v>
      </c>
      <c r="B8" s="1" t="s">
        <v>61</v>
      </c>
      <c r="C8" s="1" t="s">
        <v>339</v>
      </c>
      <c r="D8" s="1" t="s">
        <v>340</v>
      </c>
      <c r="E8" s="1" t="s">
        <v>269</v>
      </c>
      <c r="F8" s="1" t="s">
        <v>324</v>
      </c>
      <c r="G8" s="1" t="s">
        <v>324</v>
      </c>
      <c r="H8" s="1" t="s">
        <v>324</v>
      </c>
      <c r="I8" s="1" t="s">
        <v>341</v>
      </c>
      <c r="J8" s="1" t="s">
        <v>326</v>
      </c>
      <c r="K8" s="1" t="s">
        <v>342</v>
      </c>
      <c r="L8" s="1" t="s">
        <v>61</v>
      </c>
      <c r="M8" s="1"/>
    </row>
    <row r="9" spans="1:13" ht="15">
      <c r="A9" s="1" t="s">
        <v>83</v>
      </c>
      <c r="B9" s="1" t="s">
        <v>61</v>
      </c>
      <c r="C9" s="1" t="s">
        <v>343</v>
      </c>
      <c r="D9" s="1" t="s">
        <v>110</v>
      </c>
      <c r="E9" s="1" t="s">
        <v>269</v>
      </c>
      <c r="F9" s="1" t="s">
        <v>344</v>
      </c>
      <c r="G9" s="1" t="s">
        <v>344</v>
      </c>
      <c r="H9" s="1" t="s">
        <v>344</v>
      </c>
      <c r="I9" s="1" t="s">
        <v>345</v>
      </c>
      <c r="J9" s="1" t="s">
        <v>326</v>
      </c>
      <c r="K9" s="1" t="s">
        <v>346</v>
      </c>
      <c r="L9" s="1" t="s">
        <v>61</v>
      </c>
      <c r="M9" s="1"/>
    </row>
    <row r="10" spans="1:13" ht="15">
      <c r="A10" s="1" t="s">
        <v>90</v>
      </c>
      <c r="B10" s="1" t="s">
        <v>61</v>
      </c>
      <c r="C10" s="1" t="s">
        <v>91</v>
      </c>
      <c r="D10" s="1" t="s">
        <v>110</v>
      </c>
      <c r="E10" s="1" t="s">
        <v>269</v>
      </c>
      <c r="F10" s="1" t="s">
        <v>344</v>
      </c>
      <c r="G10" s="1" t="s">
        <v>344</v>
      </c>
      <c r="H10" s="1" t="s">
        <v>344</v>
      </c>
      <c r="I10" s="1" t="s">
        <v>347</v>
      </c>
      <c r="J10" s="1" t="s">
        <v>326</v>
      </c>
      <c r="K10" s="1" t="s">
        <v>348</v>
      </c>
      <c r="L10" s="1" t="s">
        <v>61</v>
      </c>
      <c r="M10" s="1"/>
    </row>
    <row r="11" spans="1:13" ht="15">
      <c r="A11" s="1" t="s">
        <v>153</v>
      </c>
      <c r="B11" s="1" t="s">
        <v>168</v>
      </c>
      <c r="C11" s="1" t="s">
        <v>349</v>
      </c>
      <c r="D11" s="1" t="s">
        <v>350</v>
      </c>
      <c r="E11" s="1" t="s">
        <v>65</v>
      </c>
      <c r="F11" s="1" t="s">
        <v>351</v>
      </c>
      <c r="G11" s="1" t="s">
        <v>344</v>
      </c>
      <c r="H11" s="1" t="s">
        <v>352</v>
      </c>
      <c r="I11" s="1" t="s">
        <v>353</v>
      </c>
      <c r="J11" s="1" t="s">
        <v>354</v>
      </c>
      <c r="K11" s="1" t="s">
        <v>355</v>
      </c>
      <c r="L11" s="1" t="s">
        <v>61</v>
      </c>
      <c r="M11" s="1"/>
    </row>
    <row r="12" spans="1:13" ht="15">
      <c r="A12" s="1" t="s">
        <v>181</v>
      </c>
      <c r="B12" s="1" t="s">
        <v>356</v>
      </c>
      <c r="C12" s="1" t="s">
        <v>357</v>
      </c>
      <c r="D12" s="1" t="s">
        <v>314</v>
      </c>
      <c r="E12" s="1" t="s">
        <v>358</v>
      </c>
      <c r="F12" s="1" t="s">
        <v>324</v>
      </c>
      <c r="G12" s="1" t="s">
        <v>324</v>
      </c>
      <c r="H12" s="1" t="s">
        <v>324</v>
      </c>
      <c r="I12" s="1" t="s">
        <v>359</v>
      </c>
      <c r="J12" s="1" t="s">
        <v>326</v>
      </c>
      <c r="K12" s="1" t="s">
        <v>360</v>
      </c>
      <c r="L12" s="1" t="s">
        <v>61</v>
      </c>
      <c r="M12" s="1"/>
    </row>
    <row r="13" spans="1:13" ht="15">
      <c r="A13" s="1" t="s">
        <v>186</v>
      </c>
      <c r="B13" s="1" t="s">
        <v>61</v>
      </c>
      <c r="C13" s="1" t="s">
        <v>361</v>
      </c>
      <c r="D13" s="1" t="s">
        <v>314</v>
      </c>
      <c r="E13" s="1" t="s">
        <v>269</v>
      </c>
      <c r="F13" s="1" t="s">
        <v>324</v>
      </c>
      <c r="G13" s="1" t="s">
        <v>324</v>
      </c>
      <c r="H13" s="1" t="s">
        <v>324</v>
      </c>
      <c r="I13" s="1" t="s">
        <v>362</v>
      </c>
      <c r="J13" s="1" t="s">
        <v>354</v>
      </c>
      <c r="K13" s="1" t="s">
        <v>363</v>
      </c>
      <c r="L13" s="1" t="s">
        <v>61</v>
      </c>
      <c r="M13" s="1"/>
    </row>
    <row r="14" spans="1:13" ht="30">
      <c r="A14" s="1" t="s">
        <v>159</v>
      </c>
      <c r="B14" s="1" t="s">
        <v>364</v>
      </c>
      <c r="C14" s="1" t="s">
        <v>365</v>
      </c>
      <c r="D14" s="1" t="s">
        <v>314</v>
      </c>
      <c r="E14" s="1" t="s">
        <v>65</v>
      </c>
      <c r="F14" s="1" t="s">
        <v>324</v>
      </c>
      <c r="G14" s="1" t="s">
        <v>324</v>
      </c>
      <c r="H14" s="1" t="s">
        <v>324</v>
      </c>
      <c r="I14" s="1" t="s">
        <v>366</v>
      </c>
      <c r="J14" s="1" t="s">
        <v>354</v>
      </c>
      <c r="K14" s="1" t="s">
        <v>367</v>
      </c>
      <c r="L14" s="1" t="s">
        <v>61</v>
      </c>
      <c r="M14" s="1"/>
    </row>
    <row r="15" spans="1:13" ht="15">
      <c r="A15" s="1" t="s">
        <v>115</v>
      </c>
      <c r="B15" s="1" t="s">
        <v>368</v>
      </c>
      <c r="C15" s="1" t="s">
        <v>369</v>
      </c>
      <c r="D15" s="1" t="s">
        <v>370</v>
      </c>
      <c r="E15" s="1" t="s">
        <v>371</v>
      </c>
      <c r="F15" s="1" t="s">
        <v>372</v>
      </c>
      <c r="G15" s="1" t="s">
        <v>373</v>
      </c>
      <c r="H15" s="1" t="s">
        <v>374</v>
      </c>
      <c r="I15" s="1" t="s">
        <v>375</v>
      </c>
      <c r="J15" s="1" t="s">
        <v>376</v>
      </c>
      <c r="K15" s="1" t="s">
        <v>377</v>
      </c>
      <c r="L15" s="1" t="s">
        <v>61</v>
      </c>
      <c r="M15" s="1"/>
    </row>
    <row r="16" spans="1:13" ht="15">
      <c r="A16" s="1" t="s">
        <v>378</v>
      </c>
      <c r="B16" s="1" t="s">
        <v>379</v>
      </c>
      <c r="C16" s="1" t="s">
        <v>380</v>
      </c>
      <c r="D16" s="1" t="s">
        <v>381</v>
      </c>
      <c r="E16" s="1" t="s">
        <v>65</v>
      </c>
      <c r="F16" s="1" t="s">
        <v>245</v>
      </c>
      <c r="G16" s="1" t="s">
        <v>316</v>
      </c>
      <c r="H16" s="1" t="s">
        <v>317</v>
      </c>
      <c r="I16" s="1" t="s">
        <v>382</v>
      </c>
      <c r="J16" s="1" t="s">
        <v>354</v>
      </c>
      <c r="K16" s="1" t="s">
        <v>383</v>
      </c>
      <c r="L16" s="1" t="s">
        <v>61</v>
      </c>
      <c r="M16" s="1"/>
    </row>
    <row r="17" spans="1:13" ht="15">
      <c r="A17" s="1" t="s">
        <v>206</v>
      </c>
      <c r="B17" s="1" t="s">
        <v>200</v>
      </c>
      <c r="C17" s="1" t="s">
        <v>384</v>
      </c>
      <c r="D17" s="1" t="s">
        <v>385</v>
      </c>
      <c r="E17" s="1" t="s">
        <v>386</v>
      </c>
      <c r="F17" s="1" t="s">
        <v>324</v>
      </c>
      <c r="G17" s="1" t="s">
        <v>324</v>
      </c>
      <c r="H17" s="1" t="s">
        <v>324</v>
      </c>
      <c r="I17" s="1" t="s">
        <v>387</v>
      </c>
      <c r="J17" s="1" t="s">
        <v>388</v>
      </c>
      <c r="K17" s="1" t="s">
        <v>389</v>
      </c>
      <c r="L17" s="1" t="s">
        <v>61</v>
      </c>
      <c r="M17" s="1"/>
    </row>
    <row r="18" spans="1:13" ht="15">
      <c r="A18" s="1" t="s">
        <v>135</v>
      </c>
      <c r="B18" s="1" t="s">
        <v>200</v>
      </c>
      <c r="C18" s="1" t="s">
        <v>220</v>
      </c>
      <c r="D18" s="1" t="s">
        <v>390</v>
      </c>
      <c r="E18" s="1" t="s">
        <v>65</v>
      </c>
      <c r="F18" s="1" t="s">
        <v>391</v>
      </c>
      <c r="G18" s="1" t="s">
        <v>391</v>
      </c>
      <c r="H18" s="1" t="s">
        <v>391</v>
      </c>
      <c r="I18" s="1" t="s">
        <v>392</v>
      </c>
      <c r="J18" s="1" t="s">
        <v>354</v>
      </c>
      <c r="K18" s="1" t="s">
        <v>393</v>
      </c>
      <c r="L18" s="1" t="s">
        <v>61</v>
      </c>
      <c r="M18" s="1" t="s">
        <v>394</v>
      </c>
    </row>
  </sheetData>
  <mergeCells count="2">
    <mergeCell ref="A1:M1"/>
    <mergeCell ref="A2:M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1"/>
  <sheetViews>
    <sheetView workbookViewId="0"/>
  </sheetViews>
  <sheetFormatPr baseColWidth="10" defaultColWidth="8.83203125" defaultRowHeight="14"/>
  <cols>
    <col min="1" max="1" width="12" customWidth="1"/>
    <col min="2" max="2" width="30" customWidth="1"/>
    <col min="3" max="3" width="28" customWidth="1"/>
    <col min="4" max="5" width="20" customWidth="1"/>
    <col min="6" max="6" width="25" customWidth="1"/>
    <col min="7" max="7" width="24" customWidth="1"/>
    <col min="8" max="8" width="18" customWidth="1"/>
    <col min="9" max="9" width="30" customWidth="1"/>
    <col min="10" max="10" width="62" customWidth="1"/>
    <col min="11" max="11" width="18" customWidth="1"/>
    <col min="12" max="12" width="50" customWidth="1"/>
    <col min="13" max="13" width="48" customWidth="1"/>
    <col min="14" max="14" width="42" customWidth="1"/>
  </cols>
  <sheetData>
    <row r="1" spans="1:14" ht="42.75" customHeight="1">
      <c r="A1" s="11" t="s">
        <v>395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40" customHeight="1">
      <c r="A2" s="12" t="s">
        <v>396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4" spans="1:14" ht="16">
      <c r="A4" s="3" t="s">
        <v>397</v>
      </c>
      <c r="B4" s="3" t="s">
        <v>398</v>
      </c>
      <c r="C4" s="3" t="s">
        <v>399</v>
      </c>
      <c r="D4" s="3" t="s">
        <v>400</v>
      </c>
      <c r="E4" s="3" t="s">
        <v>401</v>
      </c>
      <c r="F4" s="3" t="s">
        <v>402</v>
      </c>
      <c r="G4" s="3" t="s">
        <v>403</v>
      </c>
      <c r="H4" s="3" t="s">
        <v>319</v>
      </c>
      <c r="I4" s="3" t="s">
        <v>404</v>
      </c>
      <c r="J4" s="3" t="s">
        <v>405</v>
      </c>
      <c r="K4" s="3" t="s">
        <v>406</v>
      </c>
      <c r="L4" s="3" t="s">
        <v>407</v>
      </c>
      <c r="M4" s="3" t="s">
        <v>408</v>
      </c>
      <c r="N4" s="3" t="s">
        <v>409</v>
      </c>
    </row>
    <row r="5" spans="1:14" ht="15">
      <c r="A5" s="1" t="s">
        <v>410</v>
      </c>
      <c r="B5" s="1" t="s">
        <v>411</v>
      </c>
      <c r="C5" s="1" t="s">
        <v>412</v>
      </c>
      <c r="D5" s="1" t="s">
        <v>413</v>
      </c>
      <c r="E5" s="1" t="s">
        <v>414</v>
      </c>
      <c r="F5" s="1" t="s">
        <v>415</v>
      </c>
      <c r="G5" s="1" t="s">
        <v>416</v>
      </c>
      <c r="H5" s="1" t="s">
        <v>417</v>
      </c>
      <c r="I5" s="1" t="s">
        <v>418</v>
      </c>
      <c r="J5" s="1" t="s">
        <v>419</v>
      </c>
      <c r="K5" s="1" t="s">
        <v>420</v>
      </c>
      <c r="L5" s="1" t="s">
        <v>421</v>
      </c>
      <c r="M5" s="1" t="s">
        <v>422</v>
      </c>
      <c r="N5" s="1" t="s">
        <v>423</v>
      </c>
    </row>
    <row r="6" spans="1:14" ht="15">
      <c r="A6" s="1" t="s">
        <v>424</v>
      </c>
      <c r="B6" s="1" t="s">
        <v>425</v>
      </c>
      <c r="C6" s="1" t="s">
        <v>412</v>
      </c>
      <c r="D6" s="1" t="s">
        <v>426</v>
      </c>
      <c r="E6" s="1" t="s">
        <v>414</v>
      </c>
      <c r="F6" s="1" t="s">
        <v>415</v>
      </c>
      <c r="G6" s="1" t="s">
        <v>416</v>
      </c>
      <c r="H6" s="1" t="s">
        <v>417</v>
      </c>
      <c r="I6" s="1" t="s">
        <v>418</v>
      </c>
      <c r="J6" s="1" t="s">
        <v>419</v>
      </c>
      <c r="K6" s="1" t="s">
        <v>420</v>
      </c>
      <c r="L6" s="1" t="s">
        <v>427</v>
      </c>
      <c r="M6" s="1" t="s">
        <v>428</v>
      </c>
      <c r="N6" s="1" t="s">
        <v>429</v>
      </c>
    </row>
    <row r="7" spans="1:14" ht="30">
      <c r="A7" s="1" t="s">
        <v>430</v>
      </c>
      <c r="B7" s="1" t="s">
        <v>431</v>
      </c>
      <c r="C7" s="1" t="s">
        <v>432</v>
      </c>
      <c r="D7" s="1" t="s">
        <v>433</v>
      </c>
      <c r="E7" s="1" t="s">
        <v>414</v>
      </c>
      <c r="F7" s="1" t="s">
        <v>434</v>
      </c>
      <c r="G7" s="1" t="s">
        <v>435</v>
      </c>
      <c r="H7" s="1" t="s">
        <v>417</v>
      </c>
      <c r="I7" s="1" t="s">
        <v>436</v>
      </c>
      <c r="J7" s="1" t="s">
        <v>437</v>
      </c>
      <c r="K7" s="1" t="s">
        <v>420</v>
      </c>
      <c r="L7" s="1" t="s">
        <v>438</v>
      </c>
      <c r="M7" s="1" t="s">
        <v>439</v>
      </c>
      <c r="N7" s="1" t="s">
        <v>440</v>
      </c>
    </row>
    <row r="8" spans="1:14" ht="30">
      <c r="A8" s="1" t="s">
        <v>441</v>
      </c>
      <c r="B8" s="1" t="s">
        <v>442</v>
      </c>
      <c r="C8" s="1" t="s">
        <v>443</v>
      </c>
      <c r="D8" s="1" t="s">
        <v>444</v>
      </c>
      <c r="E8" s="1" t="s">
        <v>242</v>
      </c>
      <c r="F8" s="1" t="s">
        <v>445</v>
      </c>
      <c r="G8" s="1" t="s">
        <v>416</v>
      </c>
      <c r="H8" s="1" t="s">
        <v>446</v>
      </c>
      <c r="I8" s="1" t="s">
        <v>447</v>
      </c>
      <c r="J8" s="1" t="s">
        <v>448</v>
      </c>
      <c r="K8" s="1" t="s">
        <v>420</v>
      </c>
      <c r="L8" s="1" t="s">
        <v>449</v>
      </c>
      <c r="M8" s="1" t="s">
        <v>450</v>
      </c>
      <c r="N8" s="1" t="s">
        <v>451</v>
      </c>
    </row>
    <row r="9" spans="1:14" ht="30">
      <c r="A9" s="1" t="s">
        <v>452</v>
      </c>
      <c r="B9" s="1" t="s">
        <v>453</v>
      </c>
      <c r="C9" s="1" t="s">
        <v>454</v>
      </c>
      <c r="D9" s="1" t="s">
        <v>455</v>
      </c>
      <c r="E9" s="1" t="s">
        <v>299</v>
      </c>
      <c r="F9" s="1" t="s">
        <v>456</v>
      </c>
      <c r="G9" s="1" t="s">
        <v>435</v>
      </c>
      <c r="H9" s="1" t="s">
        <v>457</v>
      </c>
      <c r="I9" s="1" t="s">
        <v>458</v>
      </c>
      <c r="J9" s="1" t="s">
        <v>448</v>
      </c>
      <c r="K9" s="1" t="s">
        <v>459</v>
      </c>
      <c r="L9" s="1" t="s">
        <v>460</v>
      </c>
      <c r="M9" s="1" t="s">
        <v>461</v>
      </c>
      <c r="N9" s="1" t="s">
        <v>462</v>
      </c>
    </row>
    <row r="10" spans="1:14" ht="15">
      <c r="A10" s="1" t="s">
        <v>463</v>
      </c>
      <c r="B10" s="1" t="s">
        <v>464</v>
      </c>
      <c r="C10" s="1" t="s">
        <v>432</v>
      </c>
      <c r="D10" s="1" t="s">
        <v>465</v>
      </c>
      <c r="E10" s="1" t="s">
        <v>280</v>
      </c>
      <c r="F10" s="1" t="s">
        <v>456</v>
      </c>
      <c r="G10" s="1" t="s">
        <v>435</v>
      </c>
      <c r="H10" s="1" t="s">
        <v>457</v>
      </c>
      <c r="I10" s="1" t="s">
        <v>466</v>
      </c>
      <c r="J10" s="1"/>
      <c r="K10" s="1" t="s">
        <v>459</v>
      </c>
      <c r="L10" s="1" t="s">
        <v>467</v>
      </c>
      <c r="M10" s="1" t="s">
        <v>468</v>
      </c>
      <c r="N10" s="1" t="s">
        <v>469</v>
      </c>
    </row>
    <row r="11" spans="1:14" ht="30">
      <c r="A11" s="1" t="s">
        <v>470</v>
      </c>
      <c r="B11" s="1" t="s">
        <v>471</v>
      </c>
      <c r="C11" s="1" t="s">
        <v>412</v>
      </c>
      <c r="D11" s="1" t="s">
        <v>472</v>
      </c>
      <c r="E11" s="1" t="s">
        <v>145</v>
      </c>
      <c r="F11" s="1" t="s">
        <v>415</v>
      </c>
      <c r="G11" s="1" t="s">
        <v>416</v>
      </c>
      <c r="H11" s="1" t="s">
        <v>417</v>
      </c>
      <c r="I11" s="1" t="s">
        <v>88</v>
      </c>
      <c r="J11" s="1" t="s">
        <v>419</v>
      </c>
      <c r="K11" s="1" t="s">
        <v>420</v>
      </c>
      <c r="L11" s="1" t="s">
        <v>473</v>
      </c>
      <c r="M11" s="1" t="s">
        <v>474</v>
      </c>
      <c r="N11" s="1" t="s">
        <v>475</v>
      </c>
    </row>
  </sheetData>
  <mergeCells count="2">
    <mergeCell ref="A1:N1"/>
    <mergeCell ref="A2:N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"/>
  <sheetViews>
    <sheetView workbookViewId="0"/>
  </sheetViews>
  <sheetFormatPr baseColWidth="10" defaultColWidth="8.83203125" defaultRowHeight="14"/>
  <cols>
    <col min="1" max="1" width="30" customWidth="1"/>
    <col min="2" max="2" width="100" customWidth="1"/>
  </cols>
  <sheetData>
    <row r="1" spans="1:8" ht="42.75" customHeight="1">
      <c r="A1" s="11" t="s">
        <v>476</v>
      </c>
      <c r="B1" s="11"/>
      <c r="C1" s="11"/>
      <c r="D1" s="11"/>
      <c r="E1" s="11"/>
      <c r="F1" s="11"/>
      <c r="G1" s="11"/>
      <c r="H1" s="11"/>
    </row>
    <row r="2" spans="1:8" ht="40" customHeight="1">
      <c r="A2" s="12" t="s">
        <v>477</v>
      </c>
      <c r="B2" s="12"/>
      <c r="C2" s="12"/>
      <c r="D2" s="12"/>
      <c r="E2" s="12"/>
      <c r="F2" s="12"/>
      <c r="G2" s="12"/>
      <c r="H2" s="12"/>
    </row>
    <row r="4" spans="1:8" ht="16">
      <c r="A4" s="3" t="s">
        <v>478</v>
      </c>
      <c r="B4" s="3" t="s">
        <v>479</v>
      </c>
    </row>
    <row r="5" spans="1:8" ht="30">
      <c r="A5" s="1" t="s">
        <v>480</v>
      </c>
      <c r="B5" s="1" t="s">
        <v>481</v>
      </c>
    </row>
    <row r="6" spans="1:8" ht="15">
      <c r="A6" s="1" t="s">
        <v>482</v>
      </c>
      <c r="B6" s="1" t="s">
        <v>483</v>
      </c>
    </row>
    <row r="7" spans="1:8" ht="15">
      <c r="A7" s="1" t="s">
        <v>484</v>
      </c>
      <c r="B7" s="1" t="s">
        <v>485</v>
      </c>
    </row>
    <row r="8" spans="1:8" ht="15">
      <c r="A8" s="1" t="s">
        <v>289</v>
      </c>
      <c r="B8" s="1" t="s">
        <v>486</v>
      </c>
    </row>
    <row r="9" spans="1:8" ht="15">
      <c r="A9" s="1" t="s">
        <v>487</v>
      </c>
      <c r="B9" s="1" t="s">
        <v>488</v>
      </c>
    </row>
    <row r="10" spans="1:8" ht="15">
      <c r="A10" s="1" t="s">
        <v>489</v>
      </c>
      <c r="B10" s="1" t="s">
        <v>490</v>
      </c>
    </row>
    <row r="11" spans="1:8" ht="15">
      <c r="A11" s="1" t="s">
        <v>135</v>
      </c>
      <c r="B11" s="1" t="s">
        <v>491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0"/>
  <sheetViews>
    <sheetView workbookViewId="0"/>
  </sheetViews>
  <sheetFormatPr baseColWidth="10" defaultColWidth="8.83203125" defaultRowHeight="14"/>
  <cols>
    <col min="1" max="1" width="30" customWidth="1"/>
    <col min="2" max="2" width="16" customWidth="1"/>
    <col min="3" max="3" width="24" customWidth="1"/>
    <col min="4" max="4" width="36" customWidth="1"/>
    <col min="5" max="5" width="15" customWidth="1"/>
    <col min="6" max="6" width="28" customWidth="1"/>
    <col min="7" max="7" width="18" customWidth="1"/>
    <col min="8" max="8" width="42" customWidth="1"/>
    <col min="9" max="9" width="18" customWidth="1"/>
    <col min="10" max="10" width="20" customWidth="1"/>
    <col min="11" max="11" width="24" customWidth="1"/>
    <col min="12" max="13" width="20" customWidth="1"/>
    <col min="14" max="14" width="18" customWidth="1"/>
    <col min="15" max="15" width="22" customWidth="1"/>
  </cols>
  <sheetData>
    <row r="1" spans="1:15" ht="42.75" customHeight="1">
      <c r="A1" s="11" t="s">
        <v>492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40" customHeight="1">
      <c r="A2" s="12" t="s">
        <v>493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4" spans="1:15" ht="16">
      <c r="A4" s="3" t="s">
        <v>494</v>
      </c>
      <c r="B4" s="3" t="s">
        <v>400</v>
      </c>
      <c r="C4" s="3" t="s">
        <v>136</v>
      </c>
      <c r="D4" s="3" t="s">
        <v>495</v>
      </c>
      <c r="F4" s="3" t="s">
        <v>496</v>
      </c>
      <c r="G4" s="3" t="s">
        <v>400</v>
      </c>
      <c r="H4" s="3" t="s">
        <v>497</v>
      </c>
    </row>
    <row r="5" spans="1:15" ht="15">
      <c r="A5" s="1" t="s">
        <v>239</v>
      </c>
      <c r="B5" s="5">
        <v>2200</v>
      </c>
      <c r="C5" s="1" t="s">
        <v>498</v>
      </c>
      <c r="D5" s="1"/>
      <c r="F5" s="1" t="s">
        <v>328</v>
      </c>
      <c r="G5" s="7">
        <f>B5*B7</f>
        <v>2200</v>
      </c>
      <c r="H5" s="1" t="s">
        <v>499</v>
      </c>
    </row>
    <row r="6" spans="1:15" ht="15">
      <c r="A6" s="1" t="s">
        <v>500</v>
      </c>
      <c r="B6" s="4">
        <v>12</v>
      </c>
      <c r="C6" s="1" t="s">
        <v>498</v>
      </c>
      <c r="D6" s="1"/>
      <c r="F6" s="1" t="s">
        <v>170</v>
      </c>
      <c r="G6" s="7">
        <f>(B5*B6-G5)/B6</f>
        <v>2016.6666666666667</v>
      </c>
      <c r="H6" s="1" t="s">
        <v>501</v>
      </c>
    </row>
    <row r="7" spans="1:15" ht="15">
      <c r="A7" s="1" t="s">
        <v>502</v>
      </c>
      <c r="B7" s="4">
        <v>1</v>
      </c>
      <c r="C7" s="1" t="s">
        <v>498</v>
      </c>
      <c r="D7" s="1"/>
      <c r="F7" s="1" t="s">
        <v>75</v>
      </c>
      <c r="G7" s="7">
        <f>SUM(B8:B10)</f>
        <v>210</v>
      </c>
      <c r="H7" s="1" t="s">
        <v>503</v>
      </c>
    </row>
    <row r="8" spans="1:15" ht="15">
      <c r="A8" s="1" t="s">
        <v>504</v>
      </c>
      <c r="B8" s="5">
        <v>100</v>
      </c>
      <c r="C8" s="1" t="s">
        <v>498</v>
      </c>
      <c r="D8" s="1"/>
      <c r="F8" s="1" t="s">
        <v>153</v>
      </c>
      <c r="G8" s="7">
        <f>G6+G7+B11+B12</f>
        <v>2496.666666666667</v>
      </c>
      <c r="H8" s="1" t="s">
        <v>505</v>
      </c>
    </row>
    <row r="9" spans="1:15" ht="15">
      <c r="A9" s="1" t="s">
        <v>506</v>
      </c>
      <c r="B9" s="5">
        <v>35</v>
      </c>
      <c r="C9" s="1" t="s">
        <v>498</v>
      </c>
      <c r="D9" s="1"/>
      <c r="F9" s="1" t="s">
        <v>181</v>
      </c>
      <c r="G9" s="7">
        <f>B13+B14</f>
        <v>2200</v>
      </c>
      <c r="H9" s="1" t="s">
        <v>357</v>
      </c>
    </row>
    <row r="10" spans="1:15" ht="15">
      <c r="A10" s="1" t="s">
        <v>507</v>
      </c>
      <c r="B10" s="5">
        <v>75</v>
      </c>
      <c r="C10" s="1" t="s">
        <v>498</v>
      </c>
      <c r="D10" s="1" t="s">
        <v>508</v>
      </c>
      <c r="F10" s="1" t="s">
        <v>186</v>
      </c>
      <c r="G10" s="7">
        <f>SUM(B15:B17)</f>
        <v>1750</v>
      </c>
      <c r="H10" s="1" t="s">
        <v>509</v>
      </c>
    </row>
    <row r="11" spans="1:15" ht="30">
      <c r="A11" s="1" t="s">
        <v>510</v>
      </c>
      <c r="B11" s="5">
        <v>20</v>
      </c>
      <c r="C11" s="1" t="s">
        <v>498</v>
      </c>
      <c r="D11" s="1"/>
      <c r="F11" s="1" t="s">
        <v>159</v>
      </c>
      <c r="G11" s="7">
        <f>B5+B18+G9+G10-MIN(G5,B5)</f>
        <v>3950</v>
      </c>
      <c r="H11" s="1" t="s">
        <v>511</v>
      </c>
    </row>
    <row r="12" spans="1:15" ht="15">
      <c r="A12" s="1" t="s">
        <v>512</v>
      </c>
      <c r="B12" s="5">
        <v>250</v>
      </c>
      <c r="C12" s="1" t="s">
        <v>498</v>
      </c>
      <c r="D12" s="1" t="s">
        <v>513</v>
      </c>
      <c r="F12" s="1" t="s">
        <v>514</v>
      </c>
      <c r="G12" s="8">
        <f>IF(B19=0,0,G8/B19)</f>
        <v>0.35666666666666669</v>
      </c>
      <c r="H12" s="1" t="s">
        <v>515</v>
      </c>
    </row>
    <row r="13" spans="1:15" ht="15">
      <c r="A13" s="1" t="s">
        <v>279</v>
      </c>
      <c r="B13" s="5">
        <v>2200</v>
      </c>
      <c r="C13" s="1" t="s">
        <v>456</v>
      </c>
      <c r="D13" s="1" t="s">
        <v>516</v>
      </c>
    </row>
    <row r="14" spans="1:15" ht="15">
      <c r="A14" s="1" t="s">
        <v>517</v>
      </c>
      <c r="B14" s="5">
        <v>0</v>
      </c>
      <c r="C14" s="1" t="s">
        <v>498</v>
      </c>
      <c r="D14" s="1"/>
    </row>
    <row r="15" spans="1:15" ht="30">
      <c r="A15" s="1" t="s">
        <v>518</v>
      </c>
      <c r="B15" s="5">
        <v>300</v>
      </c>
      <c r="C15" s="1" t="s">
        <v>498</v>
      </c>
      <c r="D15" s="1"/>
      <c r="F15" s="3" t="s">
        <v>135</v>
      </c>
      <c r="G15" s="3" t="s">
        <v>519</v>
      </c>
      <c r="H15" s="3" t="s">
        <v>145</v>
      </c>
    </row>
    <row r="16" spans="1:15" ht="15">
      <c r="A16" s="1" t="s">
        <v>520</v>
      </c>
      <c r="B16" s="5">
        <v>250</v>
      </c>
      <c r="C16" s="1" t="s">
        <v>498</v>
      </c>
      <c r="D16" s="1"/>
      <c r="F16" s="1" t="s">
        <v>521</v>
      </c>
      <c r="G16" s="10">
        <v>0.02</v>
      </c>
      <c r="H16" s="1" t="s">
        <v>522</v>
      </c>
    </row>
    <row r="17" spans="1:15" ht="30">
      <c r="A17" s="1" t="s">
        <v>523</v>
      </c>
      <c r="B17" s="4">
        <v>1200</v>
      </c>
      <c r="C17" s="1" t="s">
        <v>498</v>
      </c>
      <c r="D17" s="1"/>
      <c r="F17" s="1" t="s">
        <v>484</v>
      </c>
      <c r="G17" s="10">
        <v>0.1</v>
      </c>
      <c r="H17" s="1" t="s">
        <v>524</v>
      </c>
    </row>
    <row r="18" spans="1:15" ht="30">
      <c r="A18" s="1" t="s">
        <v>525</v>
      </c>
      <c r="B18" s="5">
        <v>0</v>
      </c>
      <c r="C18" s="1" t="s">
        <v>498</v>
      </c>
      <c r="D18" s="1"/>
      <c r="F18" s="1" t="s">
        <v>526</v>
      </c>
      <c r="G18" s="10">
        <v>0.88</v>
      </c>
      <c r="H18" s="1" t="s">
        <v>527</v>
      </c>
    </row>
    <row r="19" spans="1:15" ht="15">
      <c r="A19" s="1" t="s">
        <v>528</v>
      </c>
      <c r="B19" s="5">
        <v>7000</v>
      </c>
      <c r="C19" s="1" t="s">
        <v>498</v>
      </c>
      <c r="D19" s="1" t="s">
        <v>123</v>
      </c>
    </row>
    <row r="20" spans="1:15" ht="15">
      <c r="A20" s="1" t="s">
        <v>529</v>
      </c>
      <c r="B20" s="6">
        <v>0.03</v>
      </c>
      <c r="C20" s="1" t="s">
        <v>456</v>
      </c>
      <c r="D20" s="1" t="s">
        <v>454</v>
      </c>
    </row>
    <row r="21" spans="1:15" ht="15">
      <c r="A21" s="1" t="s">
        <v>530</v>
      </c>
      <c r="B21" s="6">
        <v>2.5000000000000001E-2</v>
      </c>
      <c r="C21" s="1" t="s">
        <v>456</v>
      </c>
      <c r="D21" s="1" t="s">
        <v>454</v>
      </c>
    </row>
    <row r="22" spans="1:15" ht="15">
      <c r="A22" s="1" t="s">
        <v>531</v>
      </c>
      <c r="B22" s="6">
        <v>2.5000000000000001E-2</v>
      </c>
      <c r="C22" s="1" t="s">
        <v>456</v>
      </c>
      <c r="D22" s="1" t="s">
        <v>454</v>
      </c>
    </row>
    <row r="23" spans="1:15" ht="15">
      <c r="A23" s="1" t="s">
        <v>532</v>
      </c>
      <c r="B23" s="5">
        <v>0</v>
      </c>
      <c r="C23" s="1" t="s">
        <v>498</v>
      </c>
      <c r="D23" s="1" t="s">
        <v>533</v>
      </c>
    </row>
    <row r="27" spans="1:15" ht="32">
      <c r="A27" s="3" t="s">
        <v>534</v>
      </c>
      <c r="B27" s="3" t="s">
        <v>535</v>
      </c>
      <c r="C27" s="3" t="s">
        <v>536</v>
      </c>
      <c r="D27" s="3" t="s">
        <v>537</v>
      </c>
      <c r="E27" s="3" t="s">
        <v>538</v>
      </c>
      <c r="F27" s="3" t="s">
        <v>539</v>
      </c>
      <c r="G27" s="3" t="s">
        <v>83</v>
      </c>
      <c r="H27" s="3" t="s">
        <v>540</v>
      </c>
      <c r="I27" s="3" t="s">
        <v>541</v>
      </c>
      <c r="J27" s="3" t="s">
        <v>542</v>
      </c>
      <c r="K27" s="3" t="s">
        <v>543</v>
      </c>
      <c r="L27" s="3" t="s">
        <v>544</v>
      </c>
      <c r="M27" s="3" t="s">
        <v>545</v>
      </c>
      <c r="N27" s="3" t="s">
        <v>546</v>
      </c>
      <c r="O27" s="3" t="s">
        <v>547</v>
      </c>
    </row>
    <row r="28" spans="1:15" ht="15">
      <c r="A28" s="1" t="s">
        <v>548</v>
      </c>
      <c r="B28" s="1">
        <v>12</v>
      </c>
      <c r="C28" s="9">
        <f>B5*12-B5*B7</f>
        <v>24200</v>
      </c>
      <c r="D28" s="9">
        <f>$G$5</f>
        <v>2200</v>
      </c>
      <c r="E28" s="9">
        <f>$G$7*12*(1+$B$21)^0</f>
        <v>2520</v>
      </c>
      <c r="F28" s="9">
        <f>$B$11*12*(1+$B$21)^0</f>
        <v>240</v>
      </c>
      <c r="G28" s="9">
        <f>$B$12*12*(1+$B$22)^0</f>
        <v>3000</v>
      </c>
      <c r="H28" s="9">
        <f>$G$10</f>
        <v>1750</v>
      </c>
      <c r="I28" s="9">
        <f>$G$9</f>
        <v>2200</v>
      </c>
      <c r="J28" s="9">
        <f>SUM(C28,E28:I28)</f>
        <v>33910</v>
      </c>
      <c r="K28" s="9">
        <f>J28-I28</f>
        <v>31710</v>
      </c>
      <c r="L28" s="9">
        <f>K28/B28</f>
        <v>2642.5</v>
      </c>
      <c r="M28" s="9">
        <f>$B$5*(1+$B$20)^0</f>
        <v>2200</v>
      </c>
      <c r="N28" s="8">
        <f>IF($B$19=0,0,(M28+$G$7*(1+$B$21)^0+$B$11*(1+$B$21)^0+$B$12*(1+$B$22)^0)/$B$19)</f>
        <v>0.38285714285714284</v>
      </c>
      <c r="O28" s="9">
        <f>$B$23*B28</f>
        <v>0</v>
      </c>
    </row>
    <row r="29" spans="1:15" ht="15">
      <c r="A29" s="1" t="s">
        <v>549</v>
      </c>
      <c r="B29" s="1">
        <v>36</v>
      </c>
      <c r="C29" s="9">
        <f>(B5*12-B5*B7)+B5*12*(1+B20)+B5*12*(1+B20)^2</f>
        <v>79399.759999999995</v>
      </c>
      <c r="D29" s="9">
        <f>$G$5</f>
        <v>2200</v>
      </c>
      <c r="E29" s="9">
        <f>$G$7*12*(1+$B$21)^0+$G$7*12*(1+$B$21)^1+$G$7*12*(1+$B$21)^2</f>
        <v>7750.5749999999998</v>
      </c>
      <c r="F29" s="9">
        <f>$B$11*12*(1+$B$21)^0+$B$11*12*(1+$B$21)^1+$B$11*12*(1+$B$21)^2</f>
        <v>738.15</v>
      </c>
      <c r="G29" s="9">
        <f>$B$12*12*(1+$B$22)^0+$B$12*12*(1+$B$22)^1+$B$12*12*(1+$B$22)^2</f>
        <v>9226.875</v>
      </c>
      <c r="H29" s="9">
        <f>$G$10</f>
        <v>1750</v>
      </c>
      <c r="I29" s="9">
        <f>$G$9</f>
        <v>2200</v>
      </c>
      <c r="J29" s="9">
        <f>SUM(C29,E29:I29)</f>
        <v>101065.35999999999</v>
      </c>
      <c r="K29" s="9">
        <f>J29-I29</f>
        <v>98865.359999999986</v>
      </c>
      <c r="L29" s="9">
        <f>K29/B29</f>
        <v>2746.2599999999998</v>
      </c>
      <c r="M29" s="9">
        <f>$B$5*(1+$B$20)^2</f>
        <v>2333.98</v>
      </c>
      <c r="N29" s="8">
        <f>IF($B$19=0,0,(M29+$G$7*(1+$B$21)^2+$B$11*(1+$B$21)^2+$B$12*(1+$B$22)^2)/$B$19)</f>
        <v>0.4054685714285714</v>
      </c>
      <c r="O29" s="9">
        <f>$B$23*B29</f>
        <v>0</v>
      </c>
    </row>
    <row r="30" spans="1:15" ht="15">
      <c r="A30" s="1" t="s">
        <v>550</v>
      </c>
      <c r="B30" s="1">
        <v>60</v>
      </c>
      <c r="C30" s="9">
        <f>(B5*12-B5*B7)+B5*12*(1+B20)+B5*12*(1+B20)^2+B5*12*(1+B20)^3+B5*12*(1+B20)^4</f>
        <v>137961.18538399998</v>
      </c>
      <c r="D30" s="9">
        <f>$G$5</f>
        <v>2200</v>
      </c>
      <c r="E30" s="9">
        <f>$G$7*12*(1+$B$21)^0+$G$7*12*(1+$B$21)^1+$G$7*12*(1+$B$21)^2+$G$7*12*(1+$B$21)^3+$G$7*12*(1+$B$21)^4</f>
        <v>13245.947859374999</v>
      </c>
      <c r="F30" s="9">
        <f>$B$11*12*(1+$B$21)^0+$B$11*12*(1+$B$21)^1+$B$11*12*(1+$B$21)^2+$B$11*12*(1+$B$21)^3+$B$11*12*(1+$B$21)^4</f>
        <v>1261.5188437499999</v>
      </c>
      <c r="G30" s="9">
        <f>$B$12*12*(1+$B$22)^0+$B$12*12*(1+$B$22)^1+$B$12*12*(1+$B$22)^2+$B$12*12*(1+$B$22)^3+$B$12*12*(1+$B$22)^4</f>
        <v>15768.985546874999</v>
      </c>
      <c r="H30" s="9">
        <f>$G$10</f>
        <v>1750</v>
      </c>
      <c r="I30" s="9">
        <f>$G$9</f>
        <v>2200</v>
      </c>
      <c r="J30" s="9">
        <f>SUM(C30,E30:I30)</f>
        <v>172187.63763399998</v>
      </c>
      <c r="K30" s="9">
        <f>J30-I30</f>
        <v>169987.63763399998</v>
      </c>
      <c r="L30" s="9">
        <f>K30/B30</f>
        <v>2833.1272938999996</v>
      </c>
      <c r="M30" s="9">
        <f>$B$5*(1+$B$20)^4</f>
        <v>2476.1193819999999</v>
      </c>
      <c r="N30" s="8">
        <f>IF($B$19=0,0,(M30+$G$7*(1+$B$21)^4+$B$11*(1+$B$21)^4+$B$12*(1+$B$22)^4)/$B$19)</f>
        <v>0.42942136707142858</v>
      </c>
      <c r="O30" s="9">
        <f>$B$23*B30</f>
        <v>0</v>
      </c>
    </row>
  </sheetData>
  <mergeCells count="2">
    <mergeCell ref="A1:O1"/>
    <mergeCell ref="A2:O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2"/>
  <sheetViews>
    <sheetView workbookViewId="0"/>
  </sheetViews>
  <sheetFormatPr baseColWidth="10" defaultColWidth="8.83203125" defaultRowHeight="14"/>
  <cols>
    <col min="1" max="1" width="20" customWidth="1"/>
    <col min="2" max="3" width="40" customWidth="1"/>
    <col min="4" max="4" width="38" customWidth="1"/>
    <col min="5" max="5" width="14" customWidth="1"/>
    <col min="6" max="6" width="22" customWidth="1"/>
    <col min="7" max="7" width="34" customWidth="1"/>
    <col min="8" max="8" width="36" customWidth="1"/>
    <col min="9" max="9" width="25" customWidth="1"/>
    <col min="10" max="10" width="45" customWidth="1"/>
    <col min="11" max="11" width="16" customWidth="1"/>
  </cols>
  <sheetData>
    <row r="1" spans="1:11" ht="42.75" customHeight="1">
      <c r="A1" s="11" t="s">
        <v>551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40" customHeight="1">
      <c r="A2" s="12" t="s">
        <v>552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4" spans="1:11" ht="16">
      <c r="A4" s="3" t="s">
        <v>36</v>
      </c>
      <c r="B4" s="3" t="s">
        <v>553</v>
      </c>
      <c r="C4" s="3" t="s">
        <v>554</v>
      </c>
      <c r="D4" s="3" t="s">
        <v>555</v>
      </c>
      <c r="E4" s="3" t="s">
        <v>230</v>
      </c>
      <c r="F4" s="3" t="s">
        <v>556</v>
      </c>
      <c r="G4" s="3" t="s">
        <v>557</v>
      </c>
      <c r="H4" s="3" t="s">
        <v>558</v>
      </c>
      <c r="I4" s="3" t="s">
        <v>559</v>
      </c>
      <c r="J4" s="3" t="s">
        <v>560</v>
      </c>
      <c r="K4" s="3" t="s">
        <v>319</v>
      </c>
    </row>
    <row r="5" spans="1:11" ht="30">
      <c r="A5" s="1" t="s">
        <v>561</v>
      </c>
      <c r="B5" s="1" t="s">
        <v>562</v>
      </c>
      <c r="C5" s="1" t="s">
        <v>563</v>
      </c>
      <c r="D5" s="1" t="s">
        <v>564</v>
      </c>
      <c r="E5" s="1" t="s">
        <v>61</v>
      </c>
      <c r="F5" s="1" t="s">
        <v>565</v>
      </c>
      <c r="G5" s="1" t="s">
        <v>566</v>
      </c>
      <c r="H5" s="1" t="s">
        <v>567</v>
      </c>
      <c r="I5" s="1" t="s">
        <v>568</v>
      </c>
      <c r="J5" s="1" t="s">
        <v>569</v>
      </c>
      <c r="K5" s="1" t="s">
        <v>570</v>
      </c>
    </row>
    <row r="6" spans="1:11" ht="15">
      <c r="A6" s="1" t="s">
        <v>571</v>
      </c>
      <c r="B6" s="1" t="s">
        <v>572</v>
      </c>
      <c r="C6" s="1" t="s">
        <v>573</v>
      </c>
      <c r="D6" s="1" t="s">
        <v>574</v>
      </c>
      <c r="E6" s="1" t="s">
        <v>61</v>
      </c>
      <c r="F6" s="1" t="s">
        <v>575</v>
      </c>
      <c r="G6" s="1" t="s">
        <v>576</v>
      </c>
      <c r="H6" s="1" t="s">
        <v>577</v>
      </c>
      <c r="I6" s="1" t="s">
        <v>578</v>
      </c>
      <c r="J6" s="1" t="s">
        <v>579</v>
      </c>
      <c r="K6" s="1" t="s">
        <v>570</v>
      </c>
    </row>
    <row r="7" spans="1:11" ht="15">
      <c r="A7" s="1" t="s">
        <v>537</v>
      </c>
      <c r="B7" s="1" t="s">
        <v>580</v>
      </c>
      <c r="C7" s="1" t="s">
        <v>581</v>
      </c>
      <c r="D7" s="1" t="s">
        <v>582</v>
      </c>
      <c r="E7" s="1" t="s">
        <v>61</v>
      </c>
      <c r="F7" s="1" t="s">
        <v>583</v>
      </c>
      <c r="G7" s="1" t="s">
        <v>584</v>
      </c>
      <c r="H7" s="1" t="s">
        <v>74</v>
      </c>
      <c r="I7" s="1" t="s">
        <v>585</v>
      </c>
      <c r="J7" s="1" t="s">
        <v>586</v>
      </c>
      <c r="K7" s="1" t="s">
        <v>570</v>
      </c>
    </row>
    <row r="8" spans="1:11" ht="30">
      <c r="A8" s="1" t="s">
        <v>587</v>
      </c>
      <c r="B8" s="1" t="s">
        <v>588</v>
      </c>
      <c r="C8" s="1" t="s">
        <v>589</v>
      </c>
      <c r="D8" s="1" t="s">
        <v>590</v>
      </c>
      <c r="E8" s="1" t="s">
        <v>61</v>
      </c>
      <c r="F8" s="1" t="s">
        <v>591</v>
      </c>
      <c r="G8" s="1" t="s">
        <v>592</v>
      </c>
      <c r="H8" s="1" t="s">
        <v>593</v>
      </c>
      <c r="I8" s="1" t="s">
        <v>594</v>
      </c>
      <c r="J8" s="1" t="s">
        <v>595</v>
      </c>
      <c r="K8" s="1" t="s">
        <v>570</v>
      </c>
    </row>
    <row r="9" spans="1:11" ht="15">
      <c r="A9" s="1" t="s">
        <v>596</v>
      </c>
      <c r="B9" s="1" t="s">
        <v>597</v>
      </c>
      <c r="C9" s="1" t="s">
        <v>598</v>
      </c>
      <c r="D9" s="1" t="s">
        <v>599</v>
      </c>
      <c r="E9" s="1" t="s">
        <v>123</v>
      </c>
      <c r="F9" s="1" t="s">
        <v>600</v>
      </c>
      <c r="G9" s="1" t="s">
        <v>601</v>
      </c>
      <c r="H9" s="1" t="s">
        <v>602</v>
      </c>
      <c r="I9" s="1" t="s">
        <v>603</v>
      </c>
      <c r="J9" s="1" t="s">
        <v>604</v>
      </c>
      <c r="K9" s="1" t="s">
        <v>570</v>
      </c>
    </row>
    <row r="10" spans="1:11" ht="30">
      <c r="A10" s="1" t="s">
        <v>605</v>
      </c>
      <c r="B10" s="1" t="s">
        <v>606</v>
      </c>
      <c r="C10" s="1" t="s">
        <v>607</v>
      </c>
      <c r="D10" s="1" t="s">
        <v>608</v>
      </c>
      <c r="E10" s="1" t="s">
        <v>609</v>
      </c>
      <c r="F10" s="1" t="s">
        <v>610</v>
      </c>
      <c r="G10" s="1" t="s">
        <v>611</v>
      </c>
      <c r="H10" s="1" t="s">
        <v>612</v>
      </c>
      <c r="I10" s="1" t="s">
        <v>613</v>
      </c>
      <c r="J10" s="1" t="s">
        <v>614</v>
      </c>
      <c r="K10" s="1" t="s">
        <v>615</v>
      </c>
    </row>
    <row r="11" spans="1:11" ht="15">
      <c r="A11" s="1" t="s">
        <v>135</v>
      </c>
      <c r="B11" s="1" t="s">
        <v>616</v>
      </c>
      <c r="C11" s="1" t="s">
        <v>617</v>
      </c>
      <c r="D11" s="1" t="s">
        <v>618</v>
      </c>
      <c r="E11" s="1" t="s">
        <v>61</v>
      </c>
      <c r="F11" s="1" t="s">
        <v>619</v>
      </c>
      <c r="G11" s="1" t="s">
        <v>392</v>
      </c>
      <c r="H11" s="1" t="s">
        <v>620</v>
      </c>
      <c r="I11" s="1" t="s">
        <v>621</v>
      </c>
      <c r="J11" s="1" t="s">
        <v>622</v>
      </c>
      <c r="K11" s="1" t="s">
        <v>570</v>
      </c>
    </row>
    <row r="12" spans="1:11" ht="30">
      <c r="A12" s="1" t="s">
        <v>623</v>
      </c>
      <c r="B12" s="1" t="s">
        <v>624</v>
      </c>
      <c r="C12" s="1" t="s">
        <v>625</v>
      </c>
      <c r="D12" s="1" t="s">
        <v>626</v>
      </c>
      <c r="E12" s="1" t="s">
        <v>61</v>
      </c>
      <c r="F12" s="1" t="s">
        <v>627</v>
      </c>
      <c r="G12" s="1" t="s">
        <v>628</v>
      </c>
      <c r="H12" s="1" t="s">
        <v>629</v>
      </c>
      <c r="I12" s="1" t="s">
        <v>630</v>
      </c>
      <c r="J12" s="1" t="s">
        <v>631</v>
      </c>
      <c r="K12" s="1" t="s">
        <v>570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3"/>
  <sheetViews>
    <sheetView workbookViewId="0"/>
  </sheetViews>
  <sheetFormatPr baseColWidth="10" defaultColWidth="8.83203125" defaultRowHeight="14"/>
  <cols>
    <col min="1" max="1" width="22" customWidth="1"/>
    <col min="2" max="2" width="58" customWidth="1"/>
    <col min="3" max="3" width="40" customWidth="1"/>
    <col min="4" max="4" width="34" customWidth="1"/>
    <col min="5" max="5" width="15" customWidth="1"/>
    <col min="6" max="7" width="18" customWidth="1"/>
    <col min="8" max="8" width="42" customWidth="1"/>
    <col min="9" max="9" width="18" customWidth="1"/>
  </cols>
  <sheetData>
    <row r="1" spans="1:9" ht="42.75" customHeight="1">
      <c r="A1" s="11" t="s">
        <v>632</v>
      </c>
      <c r="B1" s="11"/>
      <c r="C1" s="11"/>
      <c r="D1" s="11"/>
      <c r="E1" s="11"/>
      <c r="F1" s="11"/>
      <c r="G1" s="11"/>
      <c r="H1" s="11"/>
      <c r="I1" s="11"/>
    </row>
    <row r="2" spans="1:9" ht="40" customHeight="1">
      <c r="A2" s="12" t="s">
        <v>633</v>
      </c>
      <c r="B2" s="12"/>
      <c r="C2" s="12"/>
      <c r="D2" s="12"/>
      <c r="E2" s="12"/>
      <c r="F2" s="12"/>
      <c r="G2" s="12"/>
      <c r="H2" s="12"/>
      <c r="I2" s="12"/>
    </row>
    <row r="4" spans="1:9" ht="16">
      <c r="A4" s="3" t="s">
        <v>36</v>
      </c>
      <c r="B4" s="3" t="s">
        <v>634</v>
      </c>
      <c r="C4" s="3" t="s">
        <v>635</v>
      </c>
      <c r="D4" s="3" t="s">
        <v>636</v>
      </c>
      <c r="E4" s="3" t="s">
        <v>637</v>
      </c>
      <c r="F4" s="3" t="s">
        <v>638</v>
      </c>
      <c r="G4" s="3" t="s">
        <v>319</v>
      </c>
      <c r="H4" s="3" t="s">
        <v>639</v>
      </c>
      <c r="I4" s="3" t="s">
        <v>640</v>
      </c>
    </row>
    <row r="5" spans="1:9" ht="15">
      <c r="A5" s="1" t="s">
        <v>641</v>
      </c>
      <c r="B5" s="1" t="s">
        <v>642</v>
      </c>
      <c r="C5" s="1" t="s">
        <v>643</v>
      </c>
      <c r="D5" s="1" t="s">
        <v>644</v>
      </c>
      <c r="E5" s="1" t="s">
        <v>645</v>
      </c>
      <c r="F5" s="1"/>
      <c r="G5" s="1" t="s">
        <v>646</v>
      </c>
      <c r="H5" s="1"/>
      <c r="I5" s="1"/>
    </row>
    <row r="6" spans="1:9" ht="30">
      <c r="A6" s="1" t="s">
        <v>647</v>
      </c>
      <c r="B6" s="1" t="s">
        <v>648</v>
      </c>
      <c r="C6" s="1" t="s">
        <v>649</v>
      </c>
      <c r="D6" s="1" t="s">
        <v>650</v>
      </c>
      <c r="E6" s="1" t="s">
        <v>645</v>
      </c>
      <c r="F6" s="1"/>
      <c r="G6" s="1" t="s">
        <v>646</v>
      </c>
      <c r="H6" s="1"/>
      <c r="I6" s="1"/>
    </row>
    <row r="7" spans="1:9" ht="15">
      <c r="A7" s="1" t="s">
        <v>651</v>
      </c>
      <c r="B7" s="1" t="s">
        <v>652</v>
      </c>
      <c r="C7" s="1" t="s">
        <v>653</v>
      </c>
      <c r="D7" s="1" t="s">
        <v>654</v>
      </c>
      <c r="E7" s="1" t="s">
        <v>645</v>
      </c>
      <c r="F7" s="1"/>
      <c r="G7" s="1" t="s">
        <v>646</v>
      </c>
      <c r="H7" s="1"/>
      <c r="I7" s="1"/>
    </row>
    <row r="8" spans="1:9" ht="30">
      <c r="A8" s="1" t="s">
        <v>655</v>
      </c>
      <c r="B8" s="1" t="s">
        <v>656</v>
      </c>
      <c r="C8" s="1" t="s">
        <v>657</v>
      </c>
      <c r="D8" s="1" t="s">
        <v>650</v>
      </c>
      <c r="E8" s="1" t="s">
        <v>645</v>
      </c>
      <c r="F8" s="1"/>
      <c r="G8" s="1" t="s">
        <v>646</v>
      </c>
      <c r="H8" s="1"/>
      <c r="I8" s="1"/>
    </row>
    <row r="9" spans="1:9" ht="15">
      <c r="A9" s="1" t="s">
        <v>658</v>
      </c>
      <c r="B9" s="1" t="s">
        <v>659</v>
      </c>
      <c r="C9" s="1" t="s">
        <v>139</v>
      </c>
      <c r="D9" s="1" t="s">
        <v>660</v>
      </c>
      <c r="E9" s="1" t="s">
        <v>317</v>
      </c>
      <c r="F9" s="1"/>
      <c r="G9" s="1" t="s">
        <v>646</v>
      </c>
      <c r="H9" s="1"/>
      <c r="I9" s="1"/>
    </row>
    <row r="10" spans="1:9" ht="15">
      <c r="A10" s="1" t="s">
        <v>661</v>
      </c>
      <c r="B10" s="1" t="s">
        <v>662</v>
      </c>
      <c r="C10" s="1" t="s">
        <v>663</v>
      </c>
      <c r="D10" s="1" t="s">
        <v>664</v>
      </c>
      <c r="E10" s="1" t="s">
        <v>317</v>
      </c>
      <c r="F10" s="1"/>
      <c r="G10" s="1" t="s">
        <v>646</v>
      </c>
      <c r="H10" s="1"/>
      <c r="I10" s="1"/>
    </row>
    <row r="11" spans="1:9" ht="30">
      <c r="A11" s="1" t="s">
        <v>665</v>
      </c>
      <c r="B11" s="1" t="s">
        <v>666</v>
      </c>
      <c r="C11" s="1" t="s">
        <v>667</v>
      </c>
      <c r="D11" s="1" t="s">
        <v>668</v>
      </c>
      <c r="E11" s="1" t="s">
        <v>317</v>
      </c>
      <c r="F11" s="1"/>
      <c r="G11" s="1" t="s">
        <v>646</v>
      </c>
      <c r="H11" s="1"/>
      <c r="I11" s="1"/>
    </row>
    <row r="12" spans="1:9" ht="15">
      <c r="A12" s="1" t="s">
        <v>669</v>
      </c>
      <c r="B12" s="1" t="s">
        <v>670</v>
      </c>
      <c r="C12" s="1" t="s">
        <v>219</v>
      </c>
      <c r="D12" s="1" t="s">
        <v>644</v>
      </c>
      <c r="E12" s="1" t="s">
        <v>317</v>
      </c>
      <c r="F12" s="1"/>
      <c r="G12" s="1" t="s">
        <v>646</v>
      </c>
      <c r="H12" s="1"/>
      <c r="I12" s="1"/>
    </row>
    <row r="13" spans="1:9" ht="15">
      <c r="A13" s="1" t="s">
        <v>671</v>
      </c>
      <c r="B13" s="1" t="s">
        <v>672</v>
      </c>
      <c r="C13" s="1" t="s">
        <v>673</v>
      </c>
      <c r="D13" s="1" t="s">
        <v>674</v>
      </c>
      <c r="E13" s="1" t="s">
        <v>645</v>
      </c>
      <c r="F13" s="1"/>
      <c r="G13" s="1" t="s">
        <v>646</v>
      </c>
      <c r="H13" s="1"/>
      <c r="I13" s="1"/>
    </row>
  </sheetData>
  <mergeCells count="2">
    <mergeCell ref="A1:I1"/>
    <mergeCell ref="A2:I2"/>
  </mergeCells>
  <dataValidations count="1">
    <dataValidation type="list" sqref="G5:G13" xr:uid="{00000000-0002-0000-0900-000000000000}">
      <formula1>"Open,In Review,Validated,Rejected,Deferred"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9"/>
  <sheetViews>
    <sheetView workbookViewId="0"/>
  </sheetViews>
  <sheetFormatPr baseColWidth="10" defaultColWidth="8.83203125" defaultRowHeight="14"/>
  <cols>
    <col min="1" max="1" width="30" customWidth="1"/>
    <col min="2" max="2" width="34" customWidth="1"/>
    <col min="3" max="3" width="42" customWidth="1"/>
    <col min="4" max="4" width="40" customWidth="1"/>
    <col min="5" max="5" width="65" customWidth="1"/>
    <col min="6" max="7" width="18" customWidth="1"/>
    <col min="8" max="8" width="45" customWidth="1"/>
  </cols>
  <sheetData>
    <row r="1" spans="1:8" ht="42.75" customHeight="1">
      <c r="A1" s="11" t="s">
        <v>675</v>
      </c>
      <c r="B1" s="11"/>
      <c r="C1" s="11"/>
      <c r="D1" s="11"/>
      <c r="E1" s="11"/>
      <c r="F1" s="11"/>
      <c r="G1" s="11"/>
      <c r="H1" s="11"/>
    </row>
    <row r="2" spans="1:8" ht="40" customHeight="1">
      <c r="A2" s="12" t="s">
        <v>676</v>
      </c>
      <c r="B2" s="12"/>
      <c r="C2" s="12"/>
      <c r="D2" s="12"/>
      <c r="E2" s="12"/>
      <c r="F2" s="12"/>
      <c r="G2" s="12"/>
      <c r="H2" s="12"/>
    </row>
    <row r="4" spans="1:8" ht="16">
      <c r="A4" s="3" t="s">
        <v>404</v>
      </c>
      <c r="B4" s="3" t="s">
        <v>677</v>
      </c>
      <c r="C4" s="3" t="s">
        <v>678</v>
      </c>
      <c r="D4" s="3" t="s">
        <v>679</v>
      </c>
      <c r="E4" s="3" t="s">
        <v>405</v>
      </c>
      <c r="F4" s="3" t="s">
        <v>406</v>
      </c>
      <c r="G4" s="3" t="s">
        <v>680</v>
      </c>
      <c r="H4" s="3" t="s">
        <v>681</v>
      </c>
    </row>
    <row r="5" spans="1:8" ht="15">
      <c r="A5" s="1" t="s">
        <v>418</v>
      </c>
      <c r="B5" s="1" t="s">
        <v>682</v>
      </c>
      <c r="C5" s="1" t="s">
        <v>683</v>
      </c>
      <c r="D5" s="1" t="s">
        <v>684</v>
      </c>
      <c r="E5" s="1" t="s">
        <v>419</v>
      </c>
      <c r="F5" s="1" t="s">
        <v>420</v>
      </c>
      <c r="G5" s="1" t="s">
        <v>61</v>
      </c>
      <c r="H5" s="1" t="s">
        <v>685</v>
      </c>
    </row>
    <row r="6" spans="1:8" ht="15">
      <c r="A6" s="1" t="s">
        <v>686</v>
      </c>
      <c r="B6" s="1" t="s">
        <v>682</v>
      </c>
      <c r="C6" s="1" t="s">
        <v>687</v>
      </c>
      <c r="D6" s="1" t="s">
        <v>688</v>
      </c>
      <c r="E6" s="1" t="s">
        <v>689</v>
      </c>
      <c r="F6" s="1" t="s">
        <v>690</v>
      </c>
      <c r="G6" s="1" t="s">
        <v>205</v>
      </c>
      <c r="H6" s="1" t="s">
        <v>691</v>
      </c>
    </row>
    <row r="7" spans="1:8" ht="30">
      <c r="A7" s="1" t="s">
        <v>692</v>
      </c>
      <c r="B7" s="1" t="s">
        <v>693</v>
      </c>
      <c r="C7" s="1" t="s">
        <v>694</v>
      </c>
      <c r="D7" s="1" t="s">
        <v>695</v>
      </c>
      <c r="E7" s="1" t="s">
        <v>696</v>
      </c>
      <c r="F7" s="1" t="s">
        <v>420</v>
      </c>
      <c r="G7" s="1" t="s">
        <v>697</v>
      </c>
      <c r="H7" s="1" t="s">
        <v>698</v>
      </c>
    </row>
    <row r="8" spans="1:8" ht="30">
      <c r="A8" s="1" t="s">
        <v>699</v>
      </c>
      <c r="B8" s="1" t="s">
        <v>436</v>
      </c>
      <c r="C8" s="1" t="s">
        <v>700</v>
      </c>
      <c r="D8" s="1" t="s">
        <v>695</v>
      </c>
      <c r="E8" s="1" t="s">
        <v>437</v>
      </c>
      <c r="F8" s="1" t="s">
        <v>420</v>
      </c>
      <c r="G8" s="1" t="s">
        <v>697</v>
      </c>
      <c r="H8" s="1" t="s">
        <v>701</v>
      </c>
    </row>
    <row r="9" spans="1:8" ht="15">
      <c r="A9" s="1" t="s">
        <v>702</v>
      </c>
      <c r="B9" s="1" t="s">
        <v>693</v>
      </c>
      <c r="C9" s="1" t="s">
        <v>703</v>
      </c>
      <c r="D9" s="1" t="s">
        <v>704</v>
      </c>
      <c r="E9" s="1" t="s">
        <v>448</v>
      </c>
      <c r="F9" s="1" t="s">
        <v>420</v>
      </c>
      <c r="G9" s="1" t="s">
        <v>615</v>
      </c>
      <c r="H9" s="1" t="s">
        <v>705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1"/>
  <sheetViews>
    <sheetView workbookViewId="0"/>
  </sheetViews>
  <sheetFormatPr baseColWidth="10" defaultColWidth="8.83203125" defaultRowHeight="14"/>
  <cols>
    <col min="1" max="1" width="28" customWidth="1"/>
    <col min="2" max="2" width="105" customWidth="1"/>
  </cols>
  <sheetData>
    <row r="1" spans="1:8" ht="42.75" customHeight="1">
      <c r="A1" s="11" t="s">
        <v>706</v>
      </c>
      <c r="B1" s="11"/>
      <c r="C1" s="11"/>
      <c r="D1" s="11"/>
      <c r="E1" s="11"/>
      <c r="F1" s="11"/>
      <c r="G1" s="11"/>
      <c r="H1" s="11"/>
    </row>
    <row r="2" spans="1:8" ht="40" customHeight="1">
      <c r="A2" s="12" t="s">
        <v>707</v>
      </c>
      <c r="B2" s="12"/>
      <c r="C2" s="12"/>
      <c r="D2" s="12"/>
      <c r="E2" s="12"/>
      <c r="F2" s="12"/>
      <c r="G2" s="12"/>
      <c r="H2" s="12"/>
    </row>
    <row r="4" spans="1:8" ht="16">
      <c r="A4" s="3" t="s">
        <v>708</v>
      </c>
      <c r="B4" s="3" t="s">
        <v>709</v>
      </c>
    </row>
    <row r="5" spans="1:8" ht="15">
      <c r="A5" s="1" t="s">
        <v>710</v>
      </c>
      <c r="B5" s="1" t="s">
        <v>711</v>
      </c>
    </row>
    <row r="6" spans="1:8" ht="15">
      <c r="A6" s="1" t="s">
        <v>712</v>
      </c>
      <c r="B6" s="1" t="s">
        <v>713</v>
      </c>
    </row>
    <row r="7" spans="1:8" ht="15">
      <c r="A7" s="1" t="s">
        <v>714</v>
      </c>
      <c r="B7" s="1" t="s">
        <v>715</v>
      </c>
    </row>
    <row r="8" spans="1:8" ht="15">
      <c r="A8" s="1" t="s">
        <v>17</v>
      </c>
      <c r="B8" s="1" t="s">
        <v>716</v>
      </c>
    </row>
    <row r="9" spans="1:8" ht="15">
      <c r="A9" s="1" t="s">
        <v>717</v>
      </c>
      <c r="B9" s="1" t="s">
        <v>718</v>
      </c>
    </row>
    <row r="10" spans="1:8" ht="30">
      <c r="A10" s="1" t="s">
        <v>719</v>
      </c>
      <c r="B10" s="1" t="s">
        <v>720</v>
      </c>
    </row>
    <row r="11" spans="1:8" ht="15">
      <c r="A11" s="1" t="s">
        <v>721</v>
      </c>
      <c r="B11" s="1" t="s">
        <v>722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 Read Me</vt:lpstr>
      <vt:lpstr>01 Competitor Baseline</vt:lpstr>
      <vt:lpstr>02 Results Design</vt:lpstr>
      <vt:lpstr>03 User Questions</vt:lpstr>
      <vt:lpstr>04 Calculation Model</vt:lpstr>
      <vt:lpstr>05 Benchmark Library</vt:lpstr>
      <vt:lpstr>How We Built These Estimates</vt:lpstr>
      <vt:lpstr>06 Sample Scenario</vt:lpstr>
      <vt:lpstr>07 Web App Spec</vt:lpstr>
      <vt:lpstr>08 Validation Checklist</vt:lpstr>
      <vt:lpstr>09 Sources</vt:lpstr>
      <vt:lpstr>10 Refinement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Lydia Bailey</cp:lastModifiedBy>
  <dcterms:created xsi:type="dcterms:W3CDTF">2026-07-16T21:46:47Z</dcterms:created>
  <dcterms:modified xsi:type="dcterms:W3CDTF">2026-07-16T21:46:47Z</dcterms:modified>
</cp:coreProperties>
</file>