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0240" windowHeight="18980" tabRatio="600" firstSheet="1" activeTab="8" autoFilterDateGrouping="1"/>
  </bookViews>
  <sheets>
    <sheet xmlns:r="http://schemas.openxmlformats.org/officeDocument/2006/relationships" name="00 Read Me" sheetId="1" state="visible" r:id="rId1"/>
    <sheet xmlns:r="http://schemas.openxmlformats.org/officeDocument/2006/relationships" name="01 Competitor Baseline" sheetId="2" state="visible" r:id="rId2"/>
    <sheet xmlns:r="http://schemas.openxmlformats.org/officeDocument/2006/relationships" name="02 Results Design" sheetId="3" state="visible" r:id="rId3"/>
    <sheet xmlns:r="http://schemas.openxmlformats.org/officeDocument/2006/relationships" name="03 User Questions" sheetId="4" state="visible" r:id="rId4"/>
    <sheet xmlns:r="http://schemas.openxmlformats.org/officeDocument/2006/relationships" name="04 Calculation Model" sheetId="5" state="visible" r:id="rId5"/>
    <sheet xmlns:r="http://schemas.openxmlformats.org/officeDocument/2006/relationships" name="05 Benchmark Library" sheetId="6" state="visible" r:id="rId6"/>
    <sheet xmlns:r="http://schemas.openxmlformats.org/officeDocument/2006/relationships" name="How We Built These Estimates" sheetId="7" state="visible" r:id="rId7"/>
    <sheet xmlns:r="http://schemas.openxmlformats.org/officeDocument/2006/relationships" name="06 Sample Scenario" sheetId="8" state="visible" r:id="rId8"/>
    <sheet xmlns:r="http://schemas.openxmlformats.org/officeDocument/2006/relationships" name="07 Web App Spec" sheetId="9" state="visible" r:id="rId9"/>
    <sheet xmlns:r="http://schemas.openxmlformats.org/officeDocument/2006/relationships" name="08 Validation Checklist" sheetId="10" state="visible" r:id="rId10"/>
    <sheet xmlns:r="http://schemas.openxmlformats.org/officeDocument/2006/relationships" name="09 Sources" sheetId="11" state="visible" r:id="rId11"/>
    <sheet xmlns:r="http://schemas.openxmlformats.org/officeDocument/2006/relationships" name="10 Refinement Notes" sheetId="12" state="visible" r:id="rId12"/>
  </sheets>
  <definedNames/>
  <calcPr calcId="191029" fullCalcOnLoad="1"/>
</workbook>
</file>

<file path=xl/styles.xml><?xml version="1.0" encoding="utf-8"?>
<styleSheet xmlns="http://schemas.openxmlformats.org/spreadsheetml/2006/main">
  <numFmts count="6">
    <numFmt numFmtId="164" formatCode="#,##0.000"/>
    <numFmt numFmtId="165" formatCode="\$#,##0.00"/>
    <numFmt numFmtId="166" formatCode="\$#,##0"/>
    <numFmt numFmtId="167" formatCode="0.000"/>
    <numFmt numFmtId="168" formatCode="0.0%"/>
    <numFmt numFmtId="169" formatCode="0.0"/>
  </numFmts>
  <fonts count="12">
    <font>
      <name val="Carlito"/>
      <sz val="11"/>
    </font>
    <font>
      <name val="Aptos"/>
      <b val="1"/>
      <color rgb="FF161F3B"/>
      <sz val="10"/>
    </font>
    <font>
      <name val="Aptos"/>
      <color rgb="FF161F3B"/>
      <sz val="10"/>
    </font>
    <font>
      <name val="Aptos"/>
      <i val="1"/>
      <color rgb="FF161F3B"/>
      <sz val="10"/>
    </font>
    <font>
      <name val="Aptos Display"/>
      <b val="1"/>
      <color rgb="FFFFFFFF"/>
      <sz val="18"/>
    </font>
    <font>
      <name val="Aptos"/>
      <b val="1"/>
      <color rgb="FF161F3B"/>
      <sz val="14"/>
    </font>
    <font>
      <name val="Aptos"/>
      <color rgb="FF161F3B"/>
      <sz val="14"/>
    </font>
    <font>
      <name val="Aptos"/>
      <b val="1"/>
      <color rgb="FFFFFFFF"/>
      <sz val="14"/>
    </font>
    <font>
      <name val="Aptos"/>
      <b val="1"/>
      <color rgb="FFFFFFFF"/>
      <sz val="15"/>
    </font>
    <font>
      <name val="Aptos"/>
      <b val="1"/>
      <color rgb="FF161F3B"/>
      <sz val="11"/>
    </font>
    <font>
      <name val="Aptos"/>
      <b val="1"/>
      <color rgb="FFFFFFFF"/>
      <sz val="10"/>
    </font>
    <font>
      <name val="Aptos"/>
      <i val="1"/>
      <color rgb="FF555555"/>
      <sz val="9"/>
    </font>
  </fonts>
  <fills count="9">
    <fill>
      <patternFill/>
    </fill>
    <fill>
      <patternFill patternType="gray125"/>
    </fill>
    <fill>
      <patternFill patternType="solid">
        <fgColor rgb="FF161F3B"/>
      </patternFill>
    </fill>
    <fill>
      <patternFill patternType="solid">
        <fgColor rgb="FFEFF9FC"/>
      </patternFill>
    </fill>
    <fill>
      <patternFill patternType="solid">
        <fgColor rgb="FFF8F5F0"/>
      </patternFill>
    </fill>
    <fill>
      <patternFill patternType="solid">
        <fgColor rgb="FFE9B57B"/>
      </patternFill>
    </fill>
    <fill>
      <patternFill patternType="solid">
        <fgColor rgb="FFA0036C"/>
      </patternFill>
    </fill>
    <fill>
      <patternFill patternType="solid">
        <fgColor rgb="FFFFF3CD"/>
      </patternFill>
    </fill>
    <fill>
      <patternFill patternType="solid">
        <fgColor rgb="FF7A7A7A"/>
      </patternFill>
    </fill>
  </fills>
  <borders count="1">
    <border>
      <left/>
      <right/>
      <top/>
      <bottom/>
      <diagonal/>
    </border>
  </borders>
  <cellStyleXfs count="1">
    <xf numFmtId="0" fontId="0" fillId="0" borderId="0"/>
  </cellStyleXfs>
  <cellXfs count="37">
    <xf numFmtId="0" fontId="0" fillId="0" borderId="0" pivotButton="0" quotePrefix="0" xfId="0"/>
    <xf numFmtId="0" fontId="2" fillId="0" borderId="0" pivotButton="0" quotePrefix="0" xfId="0"/>
    <xf numFmtId="0" fontId="1" fillId="4" borderId="0" applyAlignment="1" pivotButton="0" quotePrefix="0" xfId="0">
      <alignment vertical="top" wrapText="1"/>
    </xf>
    <xf numFmtId="0" fontId="2" fillId="0" borderId="0" applyAlignment="1" pivotButton="0" quotePrefix="0" xfId="0">
      <alignment vertical="top" wrapText="1"/>
    </xf>
    <xf numFmtId="0" fontId="1" fillId="6" borderId="0" applyAlignment="1" pivotButton="0" quotePrefix="0" xfId="0">
      <alignment horizontal="center" vertical="center" wrapText="1"/>
    </xf>
    <xf numFmtId="164" fontId="2" fillId="0" borderId="0" applyAlignment="1" pivotButton="0" quotePrefix="0" xfId="0">
      <alignment vertical="top" wrapText="1"/>
    </xf>
    <xf numFmtId="0" fontId="2" fillId="7" borderId="0" applyAlignment="1" pivotButton="0" quotePrefix="0" xfId="0">
      <alignment vertical="top" wrapText="1"/>
    </xf>
    <xf numFmtId="165" fontId="2" fillId="0" borderId="0" applyAlignment="1" pivotButton="0" quotePrefix="0" xfId="0">
      <alignment vertical="top" wrapText="1"/>
    </xf>
    <xf numFmtId="166" fontId="2" fillId="7" borderId="0" applyAlignment="1" pivotButton="0" quotePrefix="0" xfId="0">
      <alignment vertical="top" wrapText="1"/>
    </xf>
    <xf numFmtId="167" fontId="2" fillId="7" borderId="0" applyAlignment="1" pivotButton="0" quotePrefix="0" xfId="0">
      <alignment vertical="top" wrapText="1"/>
    </xf>
    <xf numFmtId="9" fontId="2" fillId="7" borderId="0" applyAlignment="1" pivotButton="0" quotePrefix="0" xfId="0">
      <alignment vertical="top" wrapText="1"/>
    </xf>
    <xf numFmtId="9" fontId="2" fillId="0" borderId="0" applyAlignment="1" pivotButton="0" quotePrefix="0" xfId="0">
      <alignment vertical="top" wrapText="1"/>
    </xf>
    <xf numFmtId="166" fontId="2" fillId="0" borderId="0" applyAlignment="1" pivotButton="0" quotePrefix="0" xfId="0">
      <alignment vertical="top" wrapText="1"/>
    </xf>
    <xf numFmtId="168" fontId="2" fillId="0" borderId="0" applyAlignment="1" pivotButton="0" quotePrefix="0" xfId="0">
      <alignment vertical="top" wrapText="1"/>
    </xf>
    <xf numFmtId="0" fontId="1" fillId="3" borderId="0" applyAlignment="1" pivotButton="0" quotePrefix="0" xfId="0">
      <alignment vertical="top" wrapText="1"/>
    </xf>
    <xf numFmtId="166" fontId="1" fillId="3" borderId="0" applyAlignment="1" pivotButton="0" quotePrefix="0" xfId="0">
      <alignment vertical="top" wrapText="1"/>
    </xf>
    <xf numFmtId="0" fontId="4" fillId="2" borderId="0" applyAlignment="1" pivotButton="0" quotePrefix="0" xfId="0">
      <alignment vertical="center"/>
    </xf>
    <xf numFmtId="0" fontId="3" fillId="3" borderId="0" applyAlignment="1" pivotButton="0" quotePrefix="0" xfId="0">
      <alignment wrapText="1"/>
    </xf>
    <xf numFmtId="0" fontId="1" fillId="5" borderId="0" pivotButton="0" quotePrefix="0" xfId="0"/>
    <xf numFmtId="0" fontId="5" fillId="6" borderId="0" applyAlignment="1" pivotButton="0" quotePrefix="0" xfId="0">
      <alignment horizontal="center" vertical="center" wrapText="1"/>
    </xf>
    <xf numFmtId="0" fontId="6" fillId="0" borderId="0" applyAlignment="1" pivotButton="0" quotePrefix="0" xfId="0">
      <alignment vertical="top" wrapText="1"/>
    </xf>
    <xf numFmtId="165" fontId="2" fillId="0" borderId="0" applyAlignment="1" pivotButton="0" quotePrefix="0" xfId="0">
      <alignment vertical="top" wrapText="1"/>
    </xf>
    <xf numFmtId="166" fontId="2" fillId="7" borderId="0" applyAlignment="1" pivotButton="0" quotePrefix="0" xfId="0">
      <alignment vertical="top" wrapText="1"/>
    </xf>
    <xf numFmtId="167" fontId="2" fillId="7" borderId="0" applyAlignment="1" pivotButton="0" quotePrefix="0" xfId="0">
      <alignment vertical="top" wrapText="1"/>
    </xf>
    <xf numFmtId="166" fontId="2" fillId="0" borderId="0" applyAlignment="1" pivotButton="0" quotePrefix="0" xfId="0">
      <alignment vertical="top" wrapText="1"/>
    </xf>
    <xf numFmtId="166" fontId="1" fillId="3" borderId="0" applyAlignment="1" pivotButton="0" quotePrefix="0" xfId="0">
      <alignment vertical="top" wrapText="1"/>
    </xf>
    <xf numFmtId="0" fontId="1" fillId="0" borderId="0" pivotButton="0" quotePrefix="0" xfId="0"/>
    <xf numFmtId="0" fontId="7" fillId="2" borderId="0" applyAlignment="1" pivotButton="0" quotePrefix="0" xfId="0">
      <alignment vertical="center"/>
    </xf>
    <xf numFmtId="0" fontId="1" fillId="6" borderId="0" pivotButton="0" quotePrefix="0" xfId="0"/>
    <xf numFmtId="0" fontId="1" fillId="0" borderId="0" applyAlignment="1" pivotButton="0" quotePrefix="0" xfId="0">
      <alignment vertical="top" wrapText="1"/>
    </xf>
    <xf numFmtId="0" fontId="8" fillId="2" borderId="0" applyAlignment="1" pivotButton="0" quotePrefix="0" xfId="0">
      <alignment vertical="center"/>
    </xf>
    <xf numFmtId="0" fontId="9" fillId="6" borderId="0" pivotButton="0" quotePrefix="0" xfId="0"/>
    <xf numFmtId="0" fontId="10" fillId="8" borderId="0" pivotButton="0" quotePrefix="0" xfId="0"/>
    <xf numFmtId="0" fontId="11" fillId="0" borderId="0" applyAlignment="1" pivotButton="0" quotePrefix="0" xfId="0">
      <alignment vertical="top" wrapText="1"/>
    </xf>
    <xf numFmtId="0" fontId="1" fillId="6" borderId="0" applyAlignment="1" pivotButton="0" quotePrefix="0" xfId="0">
      <alignment vertical="top" wrapText="1"/>
    </xf>
    <xf numFmtId="0" fontId="9" fillId="6" borderId="0" applyAlignment="1" pivotButton="0" quotePrefix="0" xfId="0">
      <alignment vertical="top" wrapText="1"/>
    </xf>
    <xf numFmtId="169" fontId="2" fillId="0" borderId="0" applyAlignment="1" pivotButton="0" quotePrefix="0" xfId="0">
      <alignment vertical="top" wrapText="1"/>
    </xf>
  </cellXfs>
  <cellStyles count="1">
    <cellStyle name="Normal" xfId="0" builtinId="0"/>
  </cellStyles>
  <dxfs count="7">
    <dxf>
      <fill>
        <patternFill patternType="solid">
          <bgColor rgb="FFFDE2E2"/>
        </patternFill>
      </fill>
    </dxf>
    <dxf>
      <fill>
        <patternFill patternType="solid">
          <bgColor rgb="FFDFF3E4"/>
        </patternFill>
      </fill>
    </dxf>
    <dxf>
      <fill>
        <patternFill patternType="solid">
          <bgColor rgb="FFFFF3CD"/>
        </patternFill>
      </fill>
    </dxf>
    <dxf>
      <fill>
        <patternFill patternType="solid">
          <bgColor rgb="FFFFF3CD"/>
        </patternFill>
      </fill>
    </dxf>
    <dxf>
      <fill>
        <patternFill patternType="solid">
          <bgColor rgb="FFDFF3E4"/>
        </patternFill>
      </fill>
    </dxf>
    <dxf>
      <fill>
        <patternFill patternType="solid">
          <bgColor rgb="FFFFF3CD"/>
        </patternFill>
      </fill>
    </dxf>
    <dxf>
      <fill>
        <patternFill patternType="solid">
          <bgColor rgb="FFDFF3E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J1"/>
    </sheetView>
  </sheetViews>
  <sheetFormatPr baseColWidth="10" defaultColWidth="8.83203125" defaultRowHeight="14"/>
  <cols>
    <col width="18" customWidth="1" min="1" max="1"/>
    <col width="95" customWidth="1" min="2" max="2"/>
    <col width="12" customWidth="1" min="3" max="10"/>
  </cols>
  <sheetData>
    <row r="1" ht="42.75" customHeight="1">
      <c r="A1" s="16" t="inlineStr">
        <is>
          <t>Jaspen Estimated Cost of Turnover + Institutional Memory Utility</t>
        </is>
      </c>
      <c r="K1" s="1" t="n"/>
      <c r="L1" s="1" t="n"/>
      <c r="M1" s="1" t="n"/>
    </row>
    <row r="2" ht="40" customHeight="1">
      <c r="A2" s="17" t="inlineStr">
        <is>
          <t>Comprehensive review workbook: competitor baseline, proposed user flow, benchmark defaults, calculation methodology, results design, and web-app build requirements.</t>
        </is>
      </c>
      <c r="K2" s="1" t="n"/>
      <c r="L2" s="1" t="n"/>
      <c r="M2" s="1" t="n"/>
    </row>
    <row r="3" ht="15" customHeight="1">
      <c r="A3" s="1" t="n"/>
      <c r="B3" s="1" t="n"/>
      <c r="C3" s="1" t="n"/>
      <c r="D3" s="1" t="n"/>
      <c r="E3" s="1" t="n"/>
      <c r="F3" s="1" t="n"/>
      <c r="G3" s="1" t="n"/>
      <c r="H3" s="1" t="n"/>
      <c r="I3" s="1" t="n"/>
      <c r="J3" s="1" t="n"/>
      <c r="K3" s="1" t="n"/>
      <c r="L3" s="1" t="n"/>
      <c r="M3" s="1" t="n"/>
    </row>
    <row r="4" ht="30" customHeight="1">
      <c r="A4" s="2" t="inlineStr">
        <is>
          <t>Workbook purpose</t>
        </is>
      </c>
      <c r="B4" s="3" t="inlineStr">
        <is>
          <t>Define a credible, transparent web utility that estimates the cost of employee turnover and extends standard calculators to include the cost of losing tacit knowledge, project context, lessons learned, and institutional memory.</t>
        </is>
      </c>
      <c r="C4" s="1" t="n"/>
      <c r="D4" s="1" t="n"/>
      <c r="E4" s="1" t="n"/>
      <c r="F4" s="1" t="n"/>
      <c r="G4" s="1" t="n"/>
      <c r="H4" s="1" t="n"/>
      <c r="I4" s="1" t="n"/>
      <c r="J4" s="1" t="n"/>
      <c r="K4" s="1" t="n"/>
      <c r="L4" s="1" t="n"/>
      <c r="M4" s="1" t="n"/>
    </row>
    <row r="5" ht="30" customHeight="1">
      <c r="A5" s="2" t="inlineStr">
        <is>
          <t>Primary user promise</t>
        </is>
      </c>
      <c r="B5" s="3" t="inlineStr">
        <is>
          <t>Estimate what losing a person in a specific role may cost your organization, including costs that traditional turnover calculators commonly omit.</t>
        </is>
      </c>
      <c r="C5" s="1" t="n"/>
      <c r="D5" s="1" t="n"/>
      <c r="E5" s="1" t="n"/>
      <c r="F5" s="1" t="n"/>
      <c r="G5" s="1" t="n"/>
      <c r="H5" s="1" t="n"/>
      <c r="I5" s="1" t="n"/>
      <c r="J5" s="1" t="n"/>
      <c r="K5" s="1" t="n"/>
      <c r="L5" s="1" t="n"/>
      <c r="M5" s="1" t="n"/>
    </row>
    <row r="6" ht="15" customHeight="1">
      <c r="A6" s="2" t="inlineStr">
        <is>
          <t>Utility boundary</t>
        </is>
      </c>
      <c r="B6" s="3" t="inlineStr">
        <is>
          <t>The utility does not predict whether a project will succeed, prevent turnover, or claim Jaspen eliminates the full estimated cost.</t>
        </is>
      </c>
      <c r="C6" s="1" t="n"/>
      <c r="D6" s="1" t="n"/>
      <c r="E6" s="1" t="n"/>
      <c r="F6" s="1" t="n"/>
      <c r="G6" s="1" t="n"/>
      <c r="H6" s="1" t="n"/>
      <c r="I6" s="1" t="n"/>
      <c r="J6" s="1" t="n"/>
      <c r="K6" s="1" t="n"/>
      <c r="L6" s="1" t="n"/>
      <c r="M6" s="1" t="n"/>
    </row>
    <row r="7" ht="30" customHeight="1">
      <c r="A7" s="2" t="inlineStr">
        <is>
          <t>Jaspen connection</t>
        </is>
      </c>
      <c r="B7" s="3" t="inlineStr">
        <is>
          <t>After the utility delivers standalone value, Jaspen is introduced as a contextual thought partner that can preserve project history, assumptions, lessons learned, and connected business context over time.</t>
        </is>
      </c>
      <c r="C7" s="1" t="n"/>
      <c r="D7" s="1" t="n"/>
      <c r="E7" s="1" t="n"/>
      <c r="F7" s="1" t="n"/>
      <c r="G7" s="1" t="n"/>
      <c r="H7" s="1" t="n"/>
      <c r="I7" s="1" t="n"/>
      <c r="J7" s="1" t="n"/>
      <c r="K7" s="1" t="n"/>
      <c r="L7" s="1" t="n"/>
      <c r="M7" s="1" t="n"/>
    </row>
    <row r="8" ht="30" customHeight="1">
      <c r="A8" s="2" t="inlineStr">
        <is>
          <t>Target experience</t>
        </is>
      </c>
      <c r="B8" s="3" t="inlineStr">
        <is>
          <t>Zillow-like: start with credible defaults, let the user review or replace them, show sources, calculate immediately, and disclose how much of the estimate used benchmarks versus customized inputs.</t>
        </is>
      </c>
      <c r="C8" s="1" t="n"/>
      <c r="D8" s="1" t="n"/>
      <c r="E8" s="1" t="n"/>
      <c r="F8" s="1" t="n"/>
      <c r="G8" s="1" t="n"/>
      <c r="H8" s="1" t="n"/>
      <c r="I8" s="1" t="n"/>
      <c r="J8" s="1" t="n"/>
      <c r="K8" s="1" t="n"/>
      <c r="L8" s="1" t="n"/>
      <c r="M8" s="1" t="n"/>
    </row>
    <row r="9" ht="30" customHeight="1">
      <c r="A9" s="2" t="inlineStr">
        <is>
          <t>Recommended launch geography</t>
        </is>
      </c>
      <c r="B9" s="3" t="inlineStr">
        <is>
          <t>United States first. Country defaults to United States and is hidden or lightly displayed in v1.</t>
        </is>
      </c>
      <c r="C9" s="1" t="n"/>
      <c r="D9" s="1" t="n"/>
      <c r="E9" s="1" t="n"/>
      <c r="F9" s="1" t="n"/>
      <c r="G9" s="1" t="n"/>
      <c r="H9" s="1" t="n"/>
      <c r="I9" s="1" t="n"/>
      <c r="J9" s="1" t="n"/>
      <c r="K9" s="1" t="n"/>
      <c r="L9" s="1" t="n"/>
      <c r="M9" s="1" t="n"/>
    </row>
    <row r="10" ht="15" customHeight="1">
      <c r="A10" s="2" t="inlineStr">
        <is>
          <t>Benchmark hierarchy</t>
        </is>
      </c>
      <c r="B10" s="3" t="inlineStr">
        <is>
          <t>1) Organization input, 2) occupation/role-level benchmark, 3) industry refinement when available, 4) national fallback.</t>
        </is>
      </c>
      <c r="C10" s="1" t="n"/>
      <c r="D10" s="1" t="n"/>
      <c r="E10" s="1" t="n"/>
      <c r="F10" s="1" t="n"/>
      <c r="G10" s="1" t="n"/>
      <c r="H10" s="1" t="n"/>
      <c r="I10" s="1" t="n"/>
      <c r="J10" s="1" t="n"/>
      <c r="K10" s="1" t="n"/>
      <c r="L10" s="1" t="n"/>
      <c r="M10" s="1" t="n"/>
    </row>
    <row r="11" ht="30" customHeight="1">
      <c r="A11" s="2" t="inlineStr">
        <is>
          <t>Key transparency element</t>
        </is>
      </c>
      <c r="B11" s="3" t="inlineStr">
        <is>
          <t>Built Using: percentage of calculation weight based on published benchmarks versus organization-specific inputs.</t>
        </is>
      </c>
      <c r="C11" s="1" t="n"/>
      <c r="D11" s="1" t="n"/>
      <c r="E11" s="1" t="n"/>
      <c r="F11" s="1" t="n"/>
      <c r="G11" s="1" t="n"/>
      <c r="H11" s="1" t="n"/>
      <c r="I11" s="1" t="n"/>
      <c r="J11" s="1" t="n"/>
      <c r="K11" s="1" t="n"/>
      <c r="L11" s="1" t="n"/>
      <c r="M11" s="1" t="n"/>
    </row>
    <row r="12" ht="30" customHeight="1">
      <c r="A12" s="2" t="inlineStr">
        <is>
          <t>Current status</t>
        </is>
      </c>
      <c r="B12" s="3" t="inlineStr">
        <is>
          <t>Methodology v1.0 (frozen). Traditional costs use published benchmarks; Jaspen-specific costs use documented research-based estimates. See "How We Built These Estimates" and sheet 10 Refinement Notes for provenance, the change log, and intentionally-unchanged placeholders.</t>
        </is>
      </c>
      <c r="C12" s="1" t="n"/>
      <c r="D12" s="1" t="n"/>
      <c r="E12" s="1" t="n"/>
      <c r="F12" s="1" t="n"/>
      <c r="G12" s="1" t="n"/>
      <c r="H12" s="1" t="n"/>
      <c r="I12" s="1" t="n"/>
      <c r="J12" s="1" t="n"/>
      <c r="K12" s="1" t="n"/>
      <c r="L12" s="1" t="n"/>
      <c r="M12" s="1" t="n"/>
    </row>
    <row r="13" ht="15" customHeight="1">
      <c r="A13" s="1" t="n"/>
      <c r="B13" s="1" t="n"/>
      <c r="C13" s="1" t="n"/>
      <c r="D13" s="1" t="n"/>
      <c r="E13" s="1" t="n"/>
      <c r="F13" s="1" t="n"/>
      <c r="G13" s="1" t="n"/>
      <c r="H13" s="1" t="n"/>
      <c r="I13" s="1" t="n"/>
      <c r="J13" s="1" t="n"/>
      <c r="K13" s="1" t="n"/>
      <c r="L13" s="1" t="n"/>
      <c r="M13" s="1" t="n"/>
    </row>
    <row r="14" ht="32" customHeight="1">
      <c r="A14" s="18" t="inlineStr">
        <is>
          <t>Recommended review order</t>
        </is>
      </c>
      <c r="K14" s="1" t="n"/>
      <c r="L14" s="1" t="n"/>
      <c r="M14" s="1" t="n"/>
    </row>
    <row r="15" ht="15" customHeight="1">
      <c r="A15" s="3" t="inlineStr">
        <is>
          <t>1</t>
        </is>
      </c>
      <c r="B15" s="3" t="inlineStr">
        <is>
          <t>Review 02 Results Design</t>
        </is>
      </c>
      <c r="C15" s="3" t="n"/>
      <c r="D15" s="3" t="n"/>
      <c r="E15" s="3" t="n"/>
      <c r="F15" s="3" t="n"/>
      <c r="G15" s="3" t="n"/>
      <c r="H15" s="3" t="n"/>
      <c r="I15" s="3" t="n"/>
      <c r="J15" s="3" t="n"/>
      <c r="K15" s="1" t="n"/>
      <c r="L15" s="1" t="n"/>
      <c r="M15" s="1" t="n"/>
    </row>
    <row r="16" ht="15" customHeight="1">
      <c r="A16" s="3" t="inlineStr">
        <is>
          <t>2</t>
        </is>
      </c>
      <c r="B16" s="3" t="inlineStr">
        <is>
          <t>Review 03 User Questions</t>
        </is>
      </c>
      <c r="C16" s="3" t="n"/>
      <c r="D16" s="3" t="n"/>
      <c r="E16" s="3" t="n"/>
      <c r="F16" s="3" t="n"/>
      <c r="G16" s="3" t="n"/>
      <c r="H16" s="3" t="n"/>
      <c r="I16" s="3" t="n"/>
      <c r="J16" s="3" t="n"/>
      <c r="K16" s="1" t="n"/>
      <c r="L16" s="1" t="n"/>
      <c r="M16" s="1" t="n"/>
    </row>
    <row r="17" ht="15" customHeight="1">
      <c r="A17" s="3" t="inlineStr">
        <is>
          <t>3</t>
        </is>
      </c>
      <c r="B17" s="3" t="inlineStr">
        <is>
          <t>Review 04 Calculation Model and double-counting rules</t>
        </is>
      </c>
      <c r="C17" s="3" t="n"/>
      <c r="D17" s="3" t="n"/>
      <c r="E17" s="3" t="n"/>
      <c r="F17" s="3" t="n"/>
      <c r="G17" s="3" t="n"/>
      <c r="H17" s="3" t="n"/>
      <c r="I17" s="3" t="n"/>
      <c r="J17" s="3" t="n"/>
      <c r="K17" s="1" t="n"/>
      <c r="L17" s="1" t="n"/>
      <c r="M17" s="1" t="n"/>
    </row>
    <row r="18" ht="15" customHeight="1">
      <c r="A18" s="3" t="inlineStr">
        <is>
          <t>4</t>
        </is>
      </c>
      <c r="B18" s="3" t="inlineStr">
        <is>
          <t>Review 05 Benchmark Library and identify missing licensed/proprietary data</t>
        </is>
      </c>
      <c r="C18" s="3" t="n"/>
      <c r="D18" s="3" t="n"/>
      <c r="E18" s="3" t="n"/>
      <c r="F18" s="3" t="n"/>
      <c r="G18" s="3" t="n"/>
      <c r="H18" s="3" t="n"/>
      <c r="I18" s="3" t="n"/>
      <c r="J18" s="3" t="n"/>
      <c r="K18" s="1" t="n"/>
      <c r="L18" s="1" t="n"/>
      <c r="M18" s="1" t="n"/>
    </row>
    <row r="19" ht="15" customHeight="1">
      <c r="A19" s="3" t="inlineStr">
        <is>
          <t>5</t>
        </is>
      </c>
      <c r="B19" s="3" t="inlineStr">
        <is>
          <t>Test formulas in 06 Sample Scenario</t>
        </is>
      </c>
      <c r="C19" s="3" t="n"/>
      <c r="D19" s="3" t="n"/>
      <c r="E19" s="3" t="n"/>
      <c r="F19" s="3" t="n"/>
      <c r="G19" s="3" t="n"/>
      <c r="H19" s="3" t="n"/>
      <c r="I19" s="3" t="n"/>
      <c r="J19" s="3" t="n"/>
      <c r="K19" s="1" t="n"/>
      <c r="L19" s="1" t="n"/>
      <c r="M19" s="1" t="n"/>
    </row>
    <row r="20" ht="15" customHeight="1">
      <c r="A20" s="3" t="inlineStr">
        <is>
          <t>6</t>
        </is>
      </c>
      <c r="B20" s="3" t="inlineStr">
        <is>
          <t>Use 07 Web App Spec to validate with Claude/Sonnet</t>
        </is>
      </c>
      <c r="C20" s="3" t="n"/>
      <c r="D20" s="3" t="n"/>
      <c r="E20" s="3" t="n"/>
      <c r="F20" s="3" t="n"/>
      <c r="G20" s="3" t="n"/>
      <c r="H20" s="3" t="n"/>
      <c r="I20" s="3" t="n"/>
      <c r="J20" s="3" t="n"/>
      <c r="K20" s="1" t="n"/>
      <c r="L20" s="1" t="n"/>
      <c r="M20" s="1" t="n"/>
    </row>
    <row r="21" ht="15" customHeight="1">
      <c r="A21" s="3" t="inlineStr">
        <is>
          <t>7</t>
        </is>
      </c>
      <c r="B21" s="3" t="inlineStr">
        <is>
          <t>Use 08 Validation Checklist before asking Codex to build</t>
        </is>
      </c>
      <c r="C21" s="3" t="n"/>
      <c r="D21" s="3" t="n"/>
      <c r="E21" s="3" t="n"/>
      <c r="F21" s="3" t="n"/>
      <c r="G21" s="3" t="n"/>
      <c r="H21" s="3" t="n"/>
      <c r="I21" s="3" t="n"/>
      <c r="J21" s="3" t="n"/>
      <c r="K21" s="1" t="n"/>
      <c r="L21" s="1" t="n"/>
      <c r="M21" s="1" t="n"/>
    </row>
    <row r="22" ht="15" customHeight="1">
      <c r="A22" s="1" t="n"/>
      <c r="B22" s="1" t="n"/>
      <c r="C22" s="1" t="n"/>
      <c r="D22" s="1" t="n"/>
      <c r="E22" s="1" t="n"/>
      <c r="F22" s="1" t="n"/>
      <c r="G22" s="1" t="n"/>
      <c r="H22" s="1" t="n"/>
      <c r="I22" s="1" t="n"/>
      <c r="J22" s="1" t="n"/>
      <c r="K22" s="1" t="n"/>
      <c r="L22" s="1" t="n"/>
      <c r="M22" s="1" t="n"/>
    </row>
    <row r="23" ht="15" customHeight="1">
      <c r="A23" s="1" t="n"/>
      <c r="B23" s="1" t="n"/>
      <c r="C23" s="1" t="n"/>
      <c r="D23" s="1" t="n"/>
      <c r="E23" s="1" t="n"/>
      <c r="F23" s="1" t="n"/>
      <c r="G23" s="1" t="n"/>
      <c r="H23" s="1" t="n"/>
      <c r="I23" s="1" t="n"/>
      <c r="J23" s="1" t="n"/>
      <c r="K23" s="1" t="n"/>
      <c r="L23" s="1" t="n"/>
      <c r="M23" s="1" t="n"/>
    </row>
    <row r="24" ht="15" customHeight="1">
      <c r="A24" s="1" t="n"/>
      <c r="B24" s="1" t="n"/>
      <c r="C24" s="1" t="n"/>
      <c r="D24" s="1" t="n"/>
      <c r="E24" s="1" t="n"/>
      <c r="F24" s="1" t="n"/>
      <c r="G24" s="1" t="n"/>
      <c r="H24" s="1" t="n"/>
      <c r="I24" s="1" t="n"/>
      <c r="J24" s="1" t="n"/>
      <c r="K24" s="1" t="n"/>
      <c r="L24" s="1" t="n"/>
      <c r="M24" s="1" t="n"/>
    </row>
    <row r="25" ht="15" customHeight="1">
      <c r="A25" s="1" t="n"/>
      <c r="B25" s="1" t="n"/>
      <c r="C25" s="1" t="n"/>
      <c r="D25" s="1" t="n"/>
      <c r="E25" s="1" t="n"/>
      <c r="F25" s="1" t="n"/>
      <c r="G25" s="1" t="n"/>
      <c r="H25" s="1" t="n"/>
      <c r="I25" s="1" t="n"/>
      <c r="J25" s="1" t="n"/>
      <c r="K25" s="1" t="n"/>
      <c r="L25" s="1" t="n"/>
      <c r="M25" s="1" t="n"/>
    </row>
    <row r="26" ht="15" customHeight="1">
      <c r="A26" s="1" t="n"/>
      <c r="B26" s="1" t="n"/>
      <c r="C26" s="1" t="n"/>
      <c r="D26" s="1" t="n"/>
      <c r="E26" s="1" t="n"/>
      <c r="F26" s="1" t="n"/>
      <c r="G26" s="1" t="n"/>
      <c r="H26" s="1" t="n"/>
      <c r="I26" s="1" t="n"/>
      <c r="J26" s="1" t="n"/>
      <c r="K26" s="1" t="n"/>
      <c r="L26" s="1" t="n"/>
      <c r="M26" s="1" t="n"/>
    </row>
    <row r="27" ht="15" customHeight="1">
      <c r="A27" s="1" t="n"/>
      <c r="B27" s="1" t="n"/>
      <c r="C27" s="1" t="n"/>
      <c r="D27" s="1" t="n"/>
      <c r="E27" s="1" t="n"/>
      <c r="F27" s="1" t="n"/>
      <c r="G27" s="1" t="n"/>
      <c r="H27" s="1" t="n"/>
      <c r="I27" s="1" t="n"/>
      <c r="J27" s="1" t="n"/>
      <c r="K27" s="1" t="n"/>
      <c r="L27" s="1" t="n"/>
      <c r="M27" s="1" t="n"/>
    </row>
    <row r="28" ht="15" customHeight="1">
      <c r="A28" s="1" t="n"/>
      <c r="B28" s="1" t="n"/>
      <c r="C28" s="1" t="n"/>
      <c r="D28" s="1" t="n"/>
      <c r="E28" s="1" t="n"/>
      <c r="F28" s="1" t="n"/>
      <c r="G28" s="1" t="n"/>
      <c r="H28" s="1" t="n"/>
      <c r="I28" s="1" t="n"/>
      <c r="J28" s="1" t="n"/>
      <c r="K28" s="1" t="n"/>
      <c r="L28" s="1" t="n"/>
      <c r="M28" s="1" t="n"/>
    </row>
    <row r="29" ht="15" customHeight="1">
      <c r="A29" s="1" t="n"/>
      <c r="B29" s="1" t="n"/>
      <c r="C29" s="1" t="n"/>
      <c r="D29" s="1" t="n"/>
      <c r="E29" s="1" t="n"/>
      <c r="F29" s="1" t="n"/>
      <c r="G29" s="1" t="n"/>
      <c r="H29" s="1" t="n"/>
      <c r="I29" s="1" t="n"/>
      <c r="J29" s="1" t="n"/>
      <c r="K29" s="1" t="n"/>
      <c r="L29" s="1" t="n"/>
      <c r="M29" s="1" t="n"/>
    </row>
    <row r="30" ht="15" customHeight="1">
      <c r="A30" s="1" t="n"/>
      <c r="B30" s="1" t="n"/>
      <c r="C30" s="1" t="n"/>
      <c r="D30" s="1" t="n"/>
      <c r="E30" s="1" t="n"/>
      <c r="F30" s="1" t="n"/>
      <c r="G30" s="1" t="n"/>
      <c r="H30" s="1" t="n"/>
      <c r="I30" s="1" t="n"/>
      <c r="J30" s="1" t="n"/>
      <c r="K30" s="1" t="n"/>
      <c r="L30" s="1" t="n"/>
      <c r="M30" s="1" t="n"/>
    </row>
    <row r="31" ht="15" customHeight="1">
      <c r="A31" s="1" t="n"/>
      <c r="B31" s="1" t="n"/>
      <c r="C31" s="1" t="n"/>
      <c r="D31" s="1" t="n"/>
      <c r="E31" s="1" t="n"/>
      <c r="F31" s="1" t="n"/>
      <c r="G31" s="1" t="n"/>
      <c r="H31" s="1" t="n"/>
      <c r="I31" s="1" t="n"/>
      <c r="J31" s="1" t="n"/>
      <c r="K31" s="1" t="n"/>
      <c r="L31" s="1" t="n"/>
      <c r="M31" s="1" t="n"/>
    </row>
    <row r="32" ht="15" customHeight="1">
      <c r="A32" s="1" t="n"/>
      <c r="B32" s="1" t="n"/>
      <c r="C32" s="1" t="n"/>
      <c r="D32" s="1" t="n"/>
      <c r="E32" s="1" t="n"/>
      <c r="F32" s="1" t="n"/>
      <c r="G32" s="1" t="n"/>
      <c r="H32" s="1" t="n"/>
      <c r="I32" s="1" t="n"/>
      <c r="J32" s="1" t="n"/>
      <c r="K32" s="1" t="n"/>
      <c r="L32" s="1" t="n"/>
      <c r="M32" s="1" t="n"/>
    </row>
    <row r="33" ht="15" customHeight="1">
      <c r="A33" s="1" t="n"/>
      <c r="B33" s="1" t="n"/>
      <c r="C33" s="1" t="n"/>
      <c r="D33" s="1" t="n"/>
      <c r="E33" s="1" t="n"/>
      <c r="F33" s="1" t="n"/>
      <c r="G33" s="1" t="n"/>
      <c r="H33" s="1" t="n"/>
      <c r="I33" s="1" t="n"/>
      <c r="J33" s="1" t="n"/>
      <c r="K33" s="1" t="n"/>
      <c r="L33" s="1" t="n"/>
      <c r="M33" s="1" t="n"/>
    </row>
    <row r="34" ht="15" customHeight="1">
      <c r="A34" s="1" t="n"/>
      <c r="B34" s="1" t="n"/>
      <c r="C34" s="1" t="n"/>
      <c r="D34" s="1" t="n"/>
      <c r="E34" s="1" t="n"/>
      <c r="F34" s="1" t="n"/>
      <c r="G34" s="1" t="n"/>
      <c r="H34" s="1" t="n"/>
      <c r="I34" s="1" t="n"/>
      <c r="J34" s="1" t="n"/>
      <c r="K34" s="1" t="n"/>
      <c r="L34" s="1" t="n"/>
      <c r="M34" s="1" t="n"/>
    </row>
    <row r="35" ht="15" customHeight="1">
      <c r="A35" s="1" t="n"/>
      <c r="B35" s="1" t="n"/>
      <c r="C35" s="1" t="n"/>
      <c r="D35" s="1" t="n"/>
      <c r="E35" s="1" t="n"/>
      <c r="F35" s="1" t="n"/>
      <c r="G35" s="1" t="n"/>
      <c r="H35" s="1" t="n"/>
      <c r="I35" s="1" t="n"/>
      <c r="J35" s="1" t="n"/>
      <c r="K35" s="1" t="n"/>
      <c r="L35" s="1" t="n"/>
      <c r="M35" s="1" t="n"/>
    </row>
    <row r="36" ht="15" customHeight="1">
      <c r="A36" s="1" t="n"/>
      <c r="B36" s="1" t="n"/>
      <c r="C36" s="1" t="n"/>
      <c r="D36" s="1" t="n"/>
      <c r="E36" s="1" t="n"/>
      <c r="F36" s="1" t="n"/>
      <c r="G36" s="1" t="n"/>
      <c r="H36" s="1" t="n"/>
      <c r="I36" s="1" t="n"/>
      <c r="J36" s="1" t="n"/>
      <c r="K36" s="1" t="n"/>
      <c r="L36" s="1" t="n"/>
      <c r="M36" s="1" t="n"/>
    </row>
    <row r="37" ht="15" customHeight="1">
      <c r="A37" s="1" t="n"/>
      <c r="B37" s="1" t="n"/>
      <c r="C37" s="1" t="n"/>
      <c r="D37" s="1" t="n"/>
      <c r="E37" s="1" t="n"/>
      <c r="F37" s="1" t="n"/>
      <c r="G37" s="1" t="n"/>
      <c r="H37" s="1" t="n"/>
      <c r="I37" s="1" t="n"/>
      <c r="J37" s="1" t="n"/>
      <c r="K37" s="1" t="n"/>
      <c r="L37" s="1" t="n"/>
      <c r="M37" s="1" t="n"/>
    </row>
    <row r="38" ht="15" customHeight="1">
      <c r="A38" s="1" t="n"/>
      <c r="B38" s="1" t="n"/>
      <c r="C38" s="1" t="n"/>
      <c r="D38" s="1" t="n"/>
      <c r="E38" s="1" t="n"/>
      <c r="F38" s="1" t="n"/>
      <c r="G38" s="1" t="n"/>
      <c r="H38" s="1" t="n"/>
      <c r="I38" s="1" t="n"/>
      <c r="J38" s="1" t="n"/>
      <c r="K38" s="1" t="n"/>
      <c r="L38" s="1" t="n"/>
      <c r="M38" s="1" t="n"/>
    </row>
    <row r="39" ht="15" customHeight="1">
      <c r="A39" s="1" t="n"/>
      <c r="B39" s="1" t="n"/>
      <c r="C39" s="1" t="n"/>
      <c r="D39" s="1" t="n"/>
      <c r="E39" s="1" t="n"/>
      <c r="F39" s="1" t="n"/>
      <c r="G39" s="1" t="n"/>
      <c r="H39" s="1" t="n"/>
      <c r="I39" s="1" t="n"/>
      <c r="J39" s="1" t="n"/>
      <c r="K39" s="1" t="n"/>
      <c r="L39" s="1" t="n"/>
      <c r="M39" s="1" t="n"/>
    </row>
    <row r="40" ht="15" customHeight="1">
      <c r="A40" s="1" t="n"/>
      <c r="B40" s="1" t="n"/>
      <c r="C40" s="1" t="n"/>
      <c r="D40" s="1" t="n"/>
      <c r="E40" s="1" t="n"/>
      <c r="F40" s="1" t="n"/>
      <c r="G40" s="1" t="n"/>
      <c r="H40" s="1" t="n"/>
      <c r="I40" s="1" t="n"/>
      <c r="J40" s="1" t="n"/>
      <c r="K40" s="1" t="n"/>
      <c r="L40" s="1" t="n"/>
      <c r="M40" s="1" t="n"/>
    </row>
    <row r="41" ht="15" customHeight="1">
      <c r="A41" s="1" t="n"/>
      <c r="B41" s="1" t="n"/>
      <c r="C41" s="1" t="n"/>
      <c r="D41" s="1" t="n"/>
      <c r="E41" s="1" t="n"/>
      <c r="F41" s="1" t="n"/>
      <c r="G41" s="1" t="n"/>
      <c r="H41" s="1" t="n"/>
      <c r="I41" s="1" t="n"/>
      <c r="J41" s="1" t="n"/>
      <c r="K41" s="1" t="n"/>
      <c r="L41" s="1" t="n"/>
      <c r="M41" s="1" t="n"/>
    </row>
    <row r="42" ht="15" customHeight="1">
      <c r="A42" s="1" t="n"/>
      <c r="B42" s="1" t="n"/>
      <c r="C42" s="1" t="n"/>
      <c r="D42" s="1" t="n"/>
      <c r="E42" s="1" t="n"/>
      <c r="F42" s="1" t="n"/>
      <c r="G42" s="1" t="n"/>
      <c r="H42" s="1" t="n"/>
      <c r="I42" s="1" t="n"/>
      <c r="J42" s="1" t="n"/>
      <c r="K42" s="1" t="n"/>
      <c r="L42" s="1" t="n"/>
      <c r="M42" s="1" t="n"/>
    </row>
    <row r="43" ht="15" customHeight="1">
      <c r="A43" s="1" t="n"/>
      <c r="B43" s="1" t="n"/>
      <c r="C43" s="1" t="n"/>
      <c r="D43" s="1" t="n"/>
      <c r="E43" s="1" t="n"/>
      <c r="F43" s="1" t="n"/>
      <c r="G43" s="1" t="n"/>
      <c r="H43" s="1" t="n"/>
      <c r="I43" s="1" t="n"/>
      <c r="J43" s="1" t="n"/>
      <c r="K43" s="1" t="n"/>
      <c r="L43" s="1" t="n"/>
      <c r="M43" s="1" t="n"/>
    </row>
    <row r="44" ht="15" customHeight="1">
      <c r="A44" s="1" t="n"/>
      <c r="B44" s="1" t="n"/>
      <c r="C44" s="1" t="n"/>
      <c r="D44" s="1" t="n"/>
      <c r="E44" s="1" t="n"/>
      <c r="F44" s="1" t="n"/>
      <c r="G44" s="1" t="n"/>
      <c r="H44" s="1" t="n"/>
      <c r="I44" s="1" t="n"/>
      <c r="J44" s="1" t="n"/>
      <c r="K44" s="1" t="n"/>
      <c r="L44" s="1" t="n"/>
      <c r="M44" s="1" t="n"/>
    </row>
    <row r="45" ht="15" customHeight="1">
      <c r="A45" s="1" t="n"/>
      <c r="B45" s="1" t="n"/>
      <c r="C45" s="1" t="n"/>
      <c r="D45" s="1" t="n"/>
      <c r="E45" s="1" t="n"/>
      <c r="F45" s="1" t="n"/>
      <c r="G45" s="1" t="n"/>
      <c r="H45" s="1" t="n"/>
      <c r="I45" s="1" t="n"/>
      <c r="J45" s="1" t="n"/>
      <c r="K45" s="1" t="n"/>
      <c r="L45" s="1" t="n"/>
      <c r="M45" s="1" t="n"/>
    </row>
    <row r="46" ht="15" customHeight="1">
      <c r="A46" s="1" t="n"/>
      <c r="B46" s="1" t="n"/>
      <c r="C46" s="1" t="n"/>
      <c r="D46" s="1" t="n"/>
      <c r="E46" s="1" t="n"/>
      <c r="F46" s="1" t="n"/>
      <c r="G46" s="1" t="n"/>
      <c r="H46" s="1" t="n"/>
      <c r="I46" s="1" t="n"/>
      <c r="J46" s="1" t="n"/>
      <c r="K46" s="1" t="n"/>
      <c r="L46" s="1" t="n"/>
      <c r="M46" s="1" t="n"/>
    </row>
    <row r="47" ht="15" customHeight="1">
      <c r="A47" s="1" t="n"/>
      <c r="B47" s="1" t="n"/>
      <c r="C47" s="1" t="n"/>
      <c r="D47" s="1" t="n"/>
      <c r="E47" s="1" t="n"/>
      <c r="F47" s="1" t="n"/>
      <c r="G47" s="1" t="n"/>
      <c r="H47" s="1" t="n"/>
      <c r="I47" s="1" t="n"/>
      <c r="J47" s="1" t="n"/>
      <c r="K47" s="1" t="n"/>
      <c r="L47" s="1" t="n"/>
      <c r="M47" s="1" t="n"/>
    </row>
    <row r="48" ht="15" customHeight="1">
      <c r="A48" s="1" t="n"/>
      <c r="B48" s="1" t="n"/>
      <c r="C48" s="1" t="n"/>
      <c r="D48" s="1" t="n"/>
      <c r="E48" s="1" t="n"/>
      <c r="F48" s="1" t="n"/>
      <c r="G48" s="1" t="n"/>
      <c r="H48" s="1" t="n"/>
      <c r="I48" s="1" t="n"/>
      <c r="J48" s="1" t="n"/>
      <c r="K48" s="1" t="n"/>
      <c r="L48" s="1" t="n"/>
      <c r="M48" s="1" t="n"/>
    </row>
    <row r="49" ht="15" customHeight="1">
      <c r="A49" s="1" t="n"/>
      <c r="B49" s="1" t="n"/>
      <c r="C49" s="1" t="n"/>
      <c r="D49" s="1" t="n"/>
      <c r="E49" s="1" t="n"/>
      <c r="F49" s="1" t="n"/>
      <c r="G49" s="1" t="n"/>
      <c r="H49" s="1" t="n"/>
      <c r="I49" s="1" t="n"/>
      <c r="J49" s="1" t="n"/>
      <c r="K49" s="1" t="n"/>
      <c r="L49" s="1" t="n"/>
      <c r="M49" s="1" t="n"/>
    </row>
    <row r="50" ht="15" customHeight="1">
      <c r="A50" s="1" t="n"/>
      <c r="B50" s="1" t="n"/>
      <c r="C50" s="1" t="n"/>
      <c r="D50" s="1" t="n"/>
      <c r="E50" s="1" t="n"/>
      <c r="F50" s="1" t="n"/>
      <c r="G50" s="1" t="n"/>
      <c r="H50" s="1" t="n"/>
      <c r="I50" s="1" t="n"/>
      <c r="J50" s="1" t="n"/>
      <c r="K50" s="1" t="n"/>
      <c r="L50" s="1" t="n"/>
      <c r="M50" s="1" t="n"/>
    </row>
    <row r="51" ht="15" customHeight="1">
      <c r="A51" s="1" t="n"/>
      <c r="B51" s="1" t="n"/>
      <c r="C51" s="1" t="n"/>
      <c r="D51" s="1" t="n"/>
      <c r="E51" s="1" t="n"/>
      <c r="F51" s="1" t="n"/>
      <c r="G51" s="1" t="n"/>
      <c r="H51" s="1" t="n"/>
      <c r="I51" s="1" t="n"/>
      <c r="J51" s="1" t="n"/>
      <c r="K51" s="1" t="n"/>
      <c r="L51" s="1" t="n"/>
      <c r="M51" s="1" t="n"/>
    </row>
    <row r="52" ht="15" customHeight="1">
      <c r="A52" s="1" t="n"/>
      <c r="B52" s="1" t="n"/>
      <c r="C52" s="1" t="n"/>
      <c r="D52" s="1" t="n"/>
      <c r="E52" s="1" t="n"/>
      <c r="F52" s="1" t="n"/>
      <c r="G52" s="1" t="n"/>
      <c r="H52" s="1" t="n"/>
      <c r="I52" s="1" t="n"/>
      <c r="J52" s="1" t="n"/>
      <c r="K52" s="1" t="n"/>
      <c r="L52" s="1" t="n"/>
      <c r="M52" s="1" t="n"/>
    </row>
    <row r="53" ht="15" customHeight="1">
      <c r="A53" s="1" t="n"/>
      <c r="B53" s="1" t="n"/>
      <c r="C53" s="1" t="n"/>
      <c r="D53" s="1" t="n"/>
      <c r="E53" s="1" t="n"/>
      <c r="F53" s="1" t="n"/>
      <c r="G53" s="1" t="n"/>
      <c r="H53" s="1" t="n"/>
      <c r="I53" s="1" t="n"/>
      <c r="J53" s="1" t="n"/>
      <c r="K53" s="1" t="n"/>
      <c r="L53" s="1" t="n"/>
      <c r="M53" s="1" t="n"/>
    </row>
    <row r="54" ht="15" customHeight="1">
      <c r="A54" s="1" t="n"/>
      <c r="B54" s="1" t="n"/>
      <c r="C54" s="1" t="n"/>
      <c r="D54" s="1" t="n"/>
      <c r="E54" s="1" t="n"/>
      <c r="F54" s="1" t="n"/>
      <c r="G54" s="1" t="n"/>
      <c r="H54" s="1" t="n"/>
      <c r="I54" s="1" t="n"/>
      <c r="J54" s="1" t="n"/>
      <c r="K54" s="1" t="n"/>
      <c r="L54" s="1" t="n"/>
      <c r="M54" s="1" t="n"/>
    </row>
    <row r="55" ht="15" customHeight="1">
      <c r="A55" s="1" t="n"/>
      <c r="B55" s="1" t="n"/>
      <c r="C55" s="1" t="n"/>
      <c r="D55" s="1" t="n"/>
      <c r="E55" s="1" t="n"/>
      <c r="F55" s="1" t="n"/>
      <c r="G55" s="1" t="n"/>
      <c r="H55" s="1" t="n"/>
      <c r="I55" s="1" t="n"/>
      <c r="J55" s="1" t="n"/>
      <c r="K55" s="1" t="n"/>
      <c r="L55" s="1" t="n"/>
      <c r="M55" s="1" t="n"/>
    </row>
    <row r="56" ht="15" customHeight="1">
      <c r="A56" s="1" t="n"/>
      <c r="B56" s="1" t="n"/>
      <c r="C56" s="1" t="n"/>
      <c r="D56" s="1" t="n"/>
      <c r="E56" s="1" t="n"/>
      <c r="F56" s="1" t="n"/>
      <c r="G56" s="1" t="n"/>
      <c r="H56" s="1" t="n"/>
      <c r="I56" s="1" t="n"/>
      <c r="J56" s="1" t="n"/>
      <c r="K56" s="1" t="n"/>
      <c r="L56" s="1" t="n"/>
      <c r="M56" s="1" t="n"/>
    </row>
    <row r="57" ht="15" customHeight="1">
      <c r="A57" s="1" t="n"/>
      <c r="B57" s="1" t="n"/>
      <c r="C57" s="1" t="n"/>
      <c r="D57" s="1" t="n"/>
      <c r="E57" s="1" t="n"/>
      <c r="F57" s="1" t="n"/>
      <c r="G57" s="1" t="n"/>
      <c r="H57" s="1" t="n"/>
      <c r="I57" s="1" t="n"/>
      <c r="J57" s="1" t="n"/>
      <c r="K57" s="1" t="n"/>
      <c r="L57" s="1" t="n"/>
      <c r="M57" s="1" t="n"/>
    </row>
    <row r="58" ht="15" customHeight="1">
      <c r="A58" s="1" t="n"/>
      <c r="B58" s="1" t="n"/>
      <c r="C58" s="1" t="n"/>
      <c r="D58" s="1" t="n"/>
      <c r="E58" s="1" t="n"/>
      <c r="F58" s="1" t="n"/>
      <c r="G58" s="1" t="n"/>
      <c r="H58" s="1" t="n"/>
      <c r="I58" s="1" t="n"/>
      <c r="J58" s="1" t="n"/>
      <c r="K58" s="1" t="n"/>
      <c r="L58" s="1" t="n"/>
      <c r="M58" s="1" t="n"/>
    </row>
    <row r="59" ht="15" customHeight="1">
      <c r="A59" s="1" t="n"/>
      <c r="B59" s="1" t="n"/>
      <c r="C59" s="1" t="n"/>
      <c r="D59" s="1" t="n"/>
      <c r="E59" s="1" t="n"/>
      <c r="F59" s="1" t="n"/>
      <c r="G59" s="1" t="n"/>
      <c r="H59" s="1" t="n"/>
      <c r="I59" s="1" t="n"/>
      <c r="J59" s="1" t="n"/>
      <c r="K59" s="1" t="n"/>
      <c r="L59" s="1" t="n"/>
      <c r="M59" s="1" t="n"/>
    </row>
    <row r="60" ht="15" customHeight="1">
      <c r="A60" s="1" t="n"/>
      <c r="B60" s="1" t="n"/>
      <c r="C60" s="1" t="n"/>
      <c r="D60" s="1" t="n"/>
      <c r="E60" s="1" t="n"/>
      <c r="F60" s="1" t="n"/>
      <c r="G60" s="1" t="n"/>
      <c r="H60" s="1" t="n"/>
      <c r="I60" s="1" t="n"/>
      <c r="J60" s="1" t="n"/>
      <c r="K60" s="1" t="n"/>
      <c r="L60" s="1" t="n"/>
      <c r="M60" s="1" t="n"/>
    </row>
    <row r="61" ht="15" customHeight="1">
      <c r="A61" s="1" t="n"/>
      <c r="B61" s="1" t="n"/>
      <c r="C61" s="1" t="n"/>
      <c r="D61" s="1" t="n"/>
      <c r="E61" s="1" t="n"/>
      <c r="F61" s="1" t="n"/>
      <c r="G61" s="1" t="n"/>
      <c r="H61" s="1" t="n"/>
      <c r="I61" s="1" t="n"/>
      <c r="J61" s="1" t="n"/>
      <c r="K61" s="1" t="n"/>
      <c r="L61" s="1" t="n"/>
      <c r="M61" s="1" t="n"/>
    </row>
    <row r="62" ht="15" customHeight="1">
      <c r="A62" s="1" t="n"/>
      <c r="B62" s="1" t="n"/>
      <c r="C62" s="1" t="n"/>
      <c r="D62" s="1" t="n"/>
      <c r="E62" s="1" t="n"/>
      <c r="F62" s="1" t="n"/>
      <c r="G62" s="1" t="n"/>
      <c r="H62" s="1" t="n"/>
      <c r="I62" s="1" t="n"/>
      <c r="J62" s="1" t="n"/>
      <c r="K62" s="1" t="n"/>
      <c r="L62" s="1" t="n"/>
      <c r="M62" s="1" t="n"/>
    </row>
    <row r="63" ht="15" customHeight="1">
      <c r="A63" s="1" t="n"/>
      <c r="B63" s="1" t="n"/>
      <c r="C63" s="1" t="n"/>
      <c r="D63" s="1" t="n"/>
      <c r="E63" s="1" t="n"/>
      <c r="F63" s="1" t="n"/>
      <c r="G63" s="1" t="n"/>
      <c r="H63" s="1" t="n"/>
      <c r="I63" s="1" t="n"/>
      <c r="J63" s="1" t="n"/>
      <c r="K63" s="1" t="n"/>
      <c r="L63" s="1" t="n"/>
      <c r="M63" s="1" t="n"/>
    </row>
    <row r="64" ht="15" customHeight="1">
      <c r="A64" s="1" t="n"/>
      <c r="B64" s="1" t="n"/>
      <c r="C64" s="1" t="n"/>
      <c r="D64" s="1" t="n"/>
      <c r="E64" s="1" t="n"/>
      <c r="F64" s="1" t="n"/>
      <c r="G64" s="1" t="n"/>
      <c r="H64" s="1" t="n"/>
      <c r="I64" s="1" t="n"/>
      <c r="J64" s="1" t="n"/>
      <c r="K64" s="1" t="n"/>
      <c r="L64" s="1" t="n"/>
      <c r="M64" s="1" t="n"/>
    </row>
    <row r="65" ht="15" customHeight="1">
      <c r="A65" s="1" t="n"/>
      <c r="B65" s="1" t="n"/>
      <c r="C65" s="1" t="n"/>
      <c r="D65" s="1" t="n"/>
      <c r="E65" s="1" t="n"/>
      <c r="F65" s="1" t="n"/>
      <c r="G65" s="1" t="n"/>
      <c r="H65" s="1" t="n"/>
      <c r="I65" s="1" t="n"/>
      <c r="J65" s="1" t="n"/>
      <c r="K65" s="1" t="n"/>
      <c r="L65" s="1" t="n"/>
      <c r="M65" s="1" t="n"/>
    </row>
    <row r="66" ht="15" customHeight="1">
      <c r="A66" s="1" t="n"/>
      <c r="B66" s="1" t="n"/>
      <c r="C66" s="1" t="n"/>
      <c r="D66" s="1" t="n"/>
      <c r="E66" s="1" t="n"/>
      <c r="F66" s="1" t="n"/>
      <c r="G66" s="1" t="n"/>
      <c r="H66" s="1" t="n"/>
      <c r="I66" s="1" t="n"/>
      <c r="J66" s="1" t="n"/>
      <c r="K66" s="1" t="n"/>
      <c r="L66" s="1" t="n"/>
      <c r="M66" s="1" t="n"/>
    </row>
    <row r="67" ht="15" customHeight="1">
      <c r="A67" s="1" t="n"/>
      <c r="B67" s="1" t="n"/>
      <c r="C67" s="1" t="n"/>
      <c r="D67" s="1" t="n"/>
      <c r="E67" s="1" t="n"/>
      <c r="F67" s="1" t="n"/>
      <c r="G67" s="1" t="n"/>
      <c r="H67" s="1" t="n"/>
      <c r="I67" s="1" t="n"/>
      <c r="J67" s="1" t="n"/>
      <c r="K67" s="1" t="n"/>
      <c r="L67" s="1" t="n"/>
      <c r="M67" s="1" t="n"/>
    </row>
    <row r="68" ht="15" customHeight="1">
      <c r="A68" s="1" t="n"/>
      <c r="B68" s="1" t="n"/>
      <c r="C68" s="1" t="n"/>
      <c r="D68" s="1" t="n"/>
      <c r="E68" s="1" t="n"/>
      <c r="F68" s="1" t="n"/>
      <c r="G68" s="1" t="n"/>
      <c r="H68" s="1" t="n"/>
      <c r="I68" s="1" t="n"/>
      <c r="J68" s="1" t="n"/>
      <c r="K68" s="1" t="n"/>
      <c r="L68" s="1" t="n"/>
      <c r="M68" s="1" t="n"/>
    </row>
    <row r="69" ht="15" customHeight="1">
      <c r="A69" s="1" t="n"/>
      <c r="B69" s="1" t="n"/>
      <c r="C69" s="1" t="n"/>
      <c r="D69" s="1" t="n"/>
      <c r="E69" s="1" t="n"/>
      <c r="F69" s="1" t="n"/>
      <c r="G69" s="1" t="n"/>
      <c r="H69" s="1" t="n"/>
      <c r="I69" s="1" t="n"/>
      <c r="J69" s="1" t="n"/>
      <c r="K69" s="1" t="n"/>
      <c r="L69" s="1" t="n"/>
      <c r="M69" s="1" t="n"/>
    </row>
    <row r="70" ht="15" customHeight="1">
      <c r="A70" s="1" t="n"/>
      <c r="B70" s="1" t="n"/>
      <c r="C70" s="1" t="n"/>
      <c r="D70" s="1" t="n"/>
      <c r="E70" s="1" t="n"/>
      <c r="F70" s="1" t="n"/>
      <c r="G70" s="1" t="n"/>
      <c r="H70" s="1" t="n"/>
      <c r="I70" s="1" t="n"/>
      <c r="J70" s="1" t="n"/>
      <c r="K70" s="1" t="n"/>
      <c r="L70" s="1" t="n"/>
      <c r="M70" s="1" t="n"/>
    </row>
    <row r="71" ht="15" customHeight="1">
      <c r="A71" s="1" t="n"/>
      <c r="B71" s="1" t="n"/>
      <c r="C71" s="1" t="n"/>
      <c r="D71" s="1" t="n"/>
      <c r="E71" s="1" t="n"/>
      <c r="F71" s="1" t="n"/>
      <c r="G71" s="1" t="n"/>
      <c r="H71" s="1" t="n"/>
      <c r="I71" s="1" t="n"/>
      <c r="J71" s="1" t="n"/>
      <c r="K71" s="1" t="n"/>
      <c r="L71" s="1" t="n"/>
      <c r="M71" s="1" t="n"/>
    </row>
    <row r="72" ht="15" customHeight="1">
      <c r="A72" s="1" t="n"/>
      <c r="B72" s="1" t="n"/>
      <c r="C72" s="1" t="n"/>
      <c r="D72" s="1" t="n"/>
      <c r="E72" s="1" t="n"/>
      <c r="F72" s="1" t="n"/>
      <c r="G72" s="1" t="n"/>
      <c r="H72" s="1" t="n"/>
      <c r="I72" s="1" t="n"/>
      <c r="J72" s="1" t="n"/>
      <c r="K72" s="1" t="n"/>
      <c r="L72" s="1" t="n"/>
      <c r="M72" s="1" t="n"/>
    </row>
    <row r="73" ht="15" customHeight="1">
      <c r="A73" s="1" t="n"/>
      <c r="B73" s="1" t="n"/>
      <c r="C73" s="1" t="n"/>
      <c r="D73" s="1" t="n"/>
      <c r="E73" s="1" t="n"/>
      <c r="F73" s="1" t="n"/>
      <c r="G73" s="1" t="n"/>
      <c r="H73" s="1" t="n"/>
      <c r="I73" s="1" t="n"/>
      <c r="J73" s="1" t="n"/>
      <c r="K73" s="1" t="n"/>
      <c r="L73" s="1" t="n"/>
      <c r="M73" s="1" t="n"/>
    </row>
    <row r="74" ht="15" customHeight="1">
      <c r="A74" s="1" t="n"/>
      <c r="B74" s="1" t="n"/>
      <c r="C74" s="1" t="n"/>
      <c r="D74" s="1" t="n"/>
      <c r="E74" s="1" t="n"/>
      <c r="F74" s="1" t="n"/>
      <c r="G74" s="1" t="n"/>
      <c r="H74" s="1" t="n"/>
      <c r="I74" s="1" t="n"/>
      <c r="J74" s="1" t="n"/>
      <c r="K74" s="1" t="n"/>
      <c r="L74" s="1" t="n"/>
      <c r="M74" s="1" t="n"/>
    </row>
    <row r="75" ht="15" customHeight="1">
      <c r="A75" s="1" t="n"/>
      <c r="B75" s="1" t="n"/>
      <c r="C75" s="1" t="n"/>
      <c r="D75" s="1" t="n"/>
      <c r="E75" s="1" t="n"/>
      <c r="F75" s="1" t="n"/>
      <c r="G75" s="1" t="n"/>
      <c r="H75" s="1" t="n"/>
      <c r="I75" s="1" t="n"/>
      <c r="J75" s="1" t="n"/>
      <c r="K75" s="1" t="n"/>
      <c r="L75" s="1" t="n"/>
      <c r="M75" s="1" t="n"/>
    </row>
    <row r="76" ht="15" customHeight="1">
      <c r="A76" s="1" t="n"/>
      <c r="B76" s="1" t="n"/>
      <c r="C76" s="1" t="n"/>
      <c r="D76" s="1" t="n"/>
      <c r="E76" s="1" t="n"/>
      <c r="F76" s="1" t="n"/>
      <c r="G76" s="1" t="n"/>
      <c r="H76" s="1" t="n"/>
      <c r="I76" s="1" t="n"/>
      <c r="J76" s="1" t="n"/>
      <c r="K76" s="1" t="n"/>
      <c r="L76" s="1" t="n"/>
      <c r="M76" s="1" t="n"/>
    </row>
    <row r="77" ht="15" customHeight="1">
      <c r="A77" s="1" t="n"/>
      <c r="B77" s="1" t="n"/>
      <c r="C77" s="1" t="n"/>
      <c r="D77" s="1" t="n"/>
      <c r="E77" s="1" t="n"/>
      <c r="F77" s="1" t="n"/>
      <c r="G77" s="1" t="n"/>
      <c r="H77" s="1" t="n"/>
      <c r="I77" s="1" t="n"/>
      <c r="J77" s="1" t="n"/>
      <c r="K77" s="1" t="n"/>
      <c r="L77" s="1" t="n"/>
      <c r="M77" s="1" t="n"/>
    </row>
    <row r="78" ht="15" customHeight="1">
      <c r="A78" s="1" t="n"/>
      <c r="B78" s="1" t="n"/>
      <c r="C78" s="1" t="n"/>
      <c r="D78" s="1" t="n"/>
      <c r="E78" s="1" t="n"/>
      <c r="F78" s="1" t="n"/>
      <c r="G78" s="1" t="n"/>
      <c r="H78" s="1" t="n"/>
      <c r="I78" s="1" t="n"/>
      <c r="J78" s="1" t="n"/>
      <c r="K78" s="1" t="n"/>
      <c r="L78" s="1" t="n"/>
      <c r="M78" s="1" t="n"/>
    </row>
    <row r="79" ht="15" customHeight="1">
      <c r="A79" s="1" t="n"/>
      <c r="B79" s="1" t="n"/>
      <c r="C79" s="1" t="n"/>
      <c r="D79" s="1" t="n"/>
      <c r="E79" s="1" t="n"/>
      <c r="F79" s="1" t="n"/>
      <c r="G79" s="1" t="n"/>
      <c r="H79" s="1" t="n"/>
      <c r="I79" s="1" t="n"/>
      <c r="J79" s="1" t="n"/>
      <c r="K79" s="1" t="n"/>
      <c r="L79" s="1" t="n"/>
      <c r="M79" s="1" t="n"/>
    </row>
    <row r="80" ht="15" customHeight="1">
      <c r="A80" s="1" t="n"/>
      <c r="B80" s="1" t="n"/>
      <c r="C80" s="1" t="n"/>
      <c r="D80" s="1" t="n"/>
      <c r="E80" s="1" t="n"/>
      <c r="F80" s="1" t="n"/>
      <c r="G80" s="1" t="n"/>
      <c r="H80" s="1" t="n"/>
      <c r="I80" s="1" t="n"/>
      <c r="J80" s="1" t="n"/>
      <c r="K80" s="1" t="n"/>
      <c r="L80" s="1" t="n"/>
      <c r="M80" s="1" t="n"/>
    </row>
    <row r="81" ht="15" customHeight="1">
      <c r="A81" s="1" t="n"/>
      <c r="B81" s="1" t="n"/>
      <c r="C81" s="1" t="n"/>
      <c r="D81" s="1" t="n"/>
      <c r="E81" s="1" t="n"/>
      <c r="F81" s="1" t="n"/>
      <c r="G81" s="1" t="n"/>
      <c r="H81" s="1" t="n"/>
      <c r="I81" s="1" t="n"/>
      <c r="J81" s="1" t="n"/>
      <c r="K81" s="1" t="n"/>
      <c r="L81" s="1" t="n"/>
      <c r="M81" s="1" t="n"/>
    </row>
    <row r="82" ht="15" customHeight="1">
      <c r="A82" s="1" t="n"/>
      <c r="B82" s="1" t="n"/>
      <c r="C82" s="1" t="n"/>
      <c r="D82" s="1" t="n"/>
      <c r="E82" s="1" t="n"/>
      <c r="F82" s="1" t="n"/>
      <c r="G82" s="1" t="n"/>
      <c r="H82" s="1" t="n"/>
      <c r="I82" s="1" t="n"/>
      <c r="J82" s="1" t="n"/>
      <c r="K82" s="1" t="n"/>
      <c r="L82" s="1" t="n"/>
      <c r="M82" s="1" t="n"/>
    </row>
    <row r="83" ht="15" customHeight="1">
      <c r="A83" s="1" t="n"/>
      <c r="B83" s="1" t="n"/>
      <c r="C83" s="1" t="n"/>
      <c r="D83" s="1" t="n"/>
      <c r="E83" s="1" t="n"/>
      <c r="F83" s="1" t="n"/>
      <c r="G83" s="1" t="n"/>
      <c r="H83" s="1" t="n"/>
      <c r="I83" s="1" t="n"/>
      <c r="J83" s="1" t="n"/>
      <c r="K83" s="1" t="n"/>
      <c r="L83" s="1" t="n"/>
      <c r="M83" s="1" t="n"/>
    </row>
    <row r="84" ht="15" customHeight="1">
      <c r="A84" s="1" t="n"/>
      <c r="B84" s="1" t="n"/>
      <c r="C84" s="1" t="n"/>
      <c r="D84" s="1" t="n"/>
      <c r="E84" s="1" t="n"/>
      <c r="F84" s="1" t="n"/>
      <c r="G84" s="1" t="n"/>
      <c r="H84" s="1" t="n"/>
      <c r="I84" s="1" t="n"/>
      <c r="J84" s="1" t="n"/>
      <c r="K84" s="1" t="n"/>
      <c r="L84" s="1" t="n"/>
      <c r="M84" s="1" t="n"/>
    </row>
    <row r="85" ht="15" customHeight="1">
      <c r="A85" s="1" t="n"/>
      <c r="B85" s="1" t="n"/>
      <c r="C85" s="1" t="n"/>
      <c r="D85" s="1" t="n"/>
      <c r="E85" s="1" t="n"/>
      <c r="F85" s="1" t="n"/>
      <c r="G85" s="1" t="n"/>
      <c r="H85" s="1" t="n"/>
      <c r="I85" s="1" t="n"/>
      <c r="J85" s="1" t="n"/>
      <c r="K85" s="1" t="n"/>
      <c r="L85" s="1" t="n"/>
      <c r="M85" s="1" t="n"/>
    </row>
    <row r="86" ht="15" customHeight="1">
      <c r="A86" s="1" t="n"/>
      <c r="B86" s="1" t="n"/>
      <c r="C86" s="1" t="n"/>
      <c r="D86" s="1" t="n"/>
      <c r="E86" s="1" t="n"/>
      <c r="F86" s="1" t="n"/>
      <c r="G86" s="1" t="n"/>
      <c r="H86" s="1" t="n"/>
      <c r="I86" s="1" t="n"/>
      <c r="J86" s="1" t="n"/>
      <c r="K86" s="1" t="n"/>
      <c r="L86" s="1" t="n"/>
      <c r="M86" s="1" t="n"/>
    </row>
    <row r="87" ht="15" customHeight="1">
      <c r="A87" s="1" t="n"/>
      <c r="B87" s="1" t="n"/>
      <c r="C87" s="1" t="n"/>
      <c r="D87" s="1" t="n"/>
      <c r="E87" s="1" t="n"/>
      <c r="F87" s="1" t="n"/>
      <c r="G87" s="1" t="n"/>
      <c r="H87" s="1" t="n"/>
      <c r="I87" s="1" t="n"/>
      <c r="J87" s="1" t="n"/>
      <c r="K87" s="1" t="n"/>
      <c r="L87" s="1" t="n"/>
      <c r="M87" s="1" t="n"/>
    </row>
    <row r="88" ht="15" customHeight="1">
      <c r="A88" s="1" t="n"/>
      <c r="B88" s="1" t="n"/>
      <c r="C88" s="1" t="n"/>
      <c r="D88" s="1" t="n"/>
      <c r="E88" s="1" t="n"/>
      <c r="F88" s="1" t="n"/>
      <c r="G88" s="1" t="n"/>
      <c r="H88" s="1" t="n"/>
      <c r="I88" s="1" t="n"/>
      <c r="J88" s="1" t="n"/>
      <c r="K88" s="1" t="n"/>
      <c r="L88" s="1" t="n"/>
      <c r="M88" s="1" t="n"/>
    </row>
    <row r="89" ht="15" customHeight="1">
      <c r="A89" s="1" t="n"/>
      <c r="B89" s="1" t="n"/>
      <c r="C89" s="1" t="n"/>
      <c r="D89" s="1" t="n"/>
      <c r="E89" s="1" t="n"/>
      <c r="F89" s="1" t="n"/>
      <c r="G89" s="1" t="n"/>
      <c r="H89" s="1" t="n"/>
      <c r="I89" s="1" t="n"/>
      <c r="J89" s="1" t="n"/>
      <c r="K89" s="1" t="n"/>
      <c r="L89" s="1" t="n"/>
      <c r="M89" s="1" t="n"/>
    </row>
    <row r="90" ht="15" customHeight="1">
      <c r="A90" s="1" t="n"/>
      <c r="B90" s="1" t="n"/>
      <c r="C90" s="1" t="n"/>
      <c r="D90" s="1" t="n"/>
      <c r="E90" s="1" t="n"/>
      <c r="F90" s="1" t="n"/>
      <c r="G90" s="1" t="n"/>
      <c r="H90" s="1" t="n"/>
      <c r="I90" s="1" t="n"/>
      <c r="J90" s="1" t="n"/>
      <c r="K90" s="1" t="n"/>
      <c r="L90" s="1" t="n"/>
      <c r="M90" s="1" t="n"/>
    </row>
    <row r="91" ht="15" customHeight="1">
      <c r="A91" s="1" t="n"/>
      <c r="B91" s="1" t="n"/>
      <c r="C91" s="1" t="n"/>
      <c r="D91" s="1" t="n"/>
      <c r="E91" s="1" t="n"/>
      <c r="F91" s="1" t="n"/>
      <c r="G91" s="1" t="n"/>
      <c r="H91" s="1" t="n"/>
      <c r="I91" s="1" t="n"/>
      <c r="J91" s="1" t="n"/>
      <c r="K91" s="1" t="n"/>
      <c r="L91" s="1" t="n"/>
      <c r="M91" s="1" t="n"/>
    </row>
    <row r="92" ht="15" customHeight="1">
      <c r="A92" s="1" t="n"/>
      <c r="B92" s="1" t="n"/>
      <c r="C92" s="1" t="n"/>
      <c r="D92" s="1" t="n"/>
      <c r="E92" s="1" t="n"/>
      <c r="F92" s="1" t="n"/>
      <c r="G92" s="1" t="n"/>
      <c r="H92" s="1" t="n"/>
      <c r="I92" s="1" t="n"/>
      <c r="J92" s="1" t="n"/>
      <c r="K92" s="1" t="n"/>
      <c r="L92" s="1" t="n"/>
      <c r="M92" s="1" t="n"/>
    </row>
    <row r="93" ht="15" customHeight="1">
      <c r="A93" s="1" t="n"/>
      <c r="B93" s="1" t="n"/>
      <c r="C93" s="1" t="n"/>
      <c r="D93" s="1" t="n"/>
      <c r="E93" s="1" t="n"/>
      <c r="F93" s="1" t="n"/>
      <c r="G93" s="1" t="n"/>
      <c r="H93" s="1" t="n"/>
      <c r="I93" s="1" t="n"/>
      <c r="J93" s="1" t="n"/>
      <c r="K93" s="1" t="n"/>
      <c r="L93" s="1" t="n"/>
      <c r="M93" s="1" t="n"/>
    </row>
    <row r="94" ht="15" customHeight="1">
      <c r="A94" s="1" t="n"/>
      <c r="B94" s="1" t="n"/>
      <c r="C94" s="1" t="n"/>
      <c r="D94" s="1" t="n"/>
      <c r="E94" s="1" t="n"/>
      <c r="F94" s="1" t="n"/>
      <c r="G94" s="1" t="n"/>
      <c r="H94" s="1" t="n"/>
      <c r="I94" s="1" t="n"/>
      <c r="J94" s="1" t="n"/>
      <c r="K94" s="1" t="n"/>
      <c r="L94" s="1" t="n"/>
      <c r="M94" s="1" t="n"/>
    </row>
    <row r="95" ht="15" customHeight="1">
      <c r="A95" s="1" t="n"/>
      <c r="B95" s="1" t="n"/>
      <c r="C95" s="1" t="n"/>
      <c r="D95" s="1" t="n"/>
      <c r="E95" s="1" t="n"/>
      <c r="F95" s="1" t="n"/>
      <c r="G95" s="1" t="n"/>
      <c r="H95" s="1" t="n"/>
      <c r="I95" s="1" t="n"/>
      <c r="J95" s="1" t="n"/>
      <c r="K95" s="1" t="n"/>
      <c r="L95" s="1" t="n"/>
      <c r="M95" s="1" t="n"/>
    </row>
    <row r="96" ht="15" customHeight="1">
      <c r="A96" s="1" t="n"/>
      <c r="B96" s="1" t="n"/>
      <c r="C96" s="1" t="n"/>
      <c r="D96" s="1" t="n"/>
      <c r="E96" s="1" t="n"/>
      <c r="F96" s="1" t="n"/>
      <c r="G96" s="1" t="n"/>
      <c r="H96" s="1" t="n"/>
      <c r="I96" s="1" t="n"/>
      <c r="J96" s="1" t="n"/>
      <c r="K96" s="1" t="n"/>
      <c r="L96" s="1" t="n"/>
      <c r="M96" s="1" t="n"/>
    </row>
    <row r="97" ht="15" customHeight="1">
      <c r="A97" s="1" t="n"/>
      <c r="B97" s="1" t="n"/>
      <c r="C97" s="1" t="n"/>
      <c r="D97" s="1" t="n"/>
      <c r="E97" s="1" t="n"/>
      <c r="F97" s="1" t="n"/>
      <c r="G97" s="1" t="n"/>
      <c r="H97" s="1" t="n"/>
      <c r="I97" s="1" t="n"/>
      <c r="J97" s="1" t="n"/>
      <c r="K97" s="1" t="n"/>
      <c r="L97" s="1" t="n"/>
      <c r="M97" s="1" t="n"/>
    </row>
    <row r="98" ht="15" customHeight="1">
      <c r="A98" s="1" t="n"/>
      <c r="B98" s="1" t="n"/>
      <c r="C98" s="1" t="n"/>
      <c r="D98" s="1" t="n"/>
      <c r="E98" s="1" t="n"/>
      <c r="F98" s="1" t="n"/>
      <c r="G98" s="1" t="n"/>
      <c r="H98" s="1" t="n"/>
      <c r="I98" s="1" t="n"/>
      <c r="J98" s="1" t="n"/>
      <c r="K98" s="1" t="n"/>
      <c r="L98" s="1" t="n"/>
      <c r="M98" s="1" t="n"/>
    </row>
    <row r="99" ht="15" customHeight="1">
      <c r="A99" s="1" t="n"/>
      <c r="B99" s="1" t="n"/>
      <c r="C99" s="1" t="n"/>
      <c r="D99" s="1" t="n"/>
      <c r="E99" s="1" t="n"/>
      <c r="F99" s="1" t="n"/>
      <c r="G99" s="1" t="n"/>
      <c r="H99" s="1" t="n"/>
      <c r="I99" s="1" t="n"/>
      <c r="J99" s="1" t="n"/>
      <c r="K99" s="1" t="n"/>
      <c r="L99" s="1" t="n"/>
      <c r="M99" s="1" t="n"/>
    </row>
    <row r="100" ht="15" customHeight="1">
      <c r="A100" s="1" t="n"/>
      <c r="B100" s="1" t="n"/>
      <c r="C100" s="1" t="n"/>
      <c r="D100" s="1" t="n"/>
      <c r="E100" s="1" t="n"/>
      <c r="F100" s="1" t="n"/>
      <c r="G100" s="1" t="n"/>
      <c r="H100" s="1" t="n"/>
      <c r="I100" s="1" t="n"/>
      <c r="J100" s="1" t="n"/>
      <c r="K100" s="1" t="n"/>
      <c r="L100" s="1" t="n"/>
      <c r="M100" s="1" t="n"/>
    </row>
    <row r="101" ht="15" customHeight="1">
      <c r="A101" s="1" t="n"/>
      <c r="B101" s="1" t="n"/>
      <c r="C101" s="1" t="n"/>
      <c r="D101" s="1" t="n"/>
      <c r="E101" s="1" t="n"/>
      <c r="F101" s="1" t="n"/>
      <c r="G101" s="1" t="n"/>
      <c r="H101" s="1" t="n"/>
      <c r="I101" s="1" t="n"/>
      <c r="J101" s="1" t="n"/>
      <c r="K101" s="1" t="n"/>
      <c r="L101" s="1" t="n"/>
      <c r="M101" s="1" t="n"/>
    </row>
    <row r="102" ht="15" customHeight="1">
      <c r="A102" s="1" t="n"/>
      <c r="B102" s="1" t="n"/>
      <c r="C102" s="1" t="n"/>
      <c r="D102" s="1" t="n"/>
      <c r="E102" s="1" t="n"/>
      <c r="F102" s="1" t="n"/>
      <c r="G102" s="1" t="n"/>
      <c r="H102" s="1" t="n"/>
      <c r="I102" s="1" t="n"/>
      <c r="J102" s="1" t="n"/>
      <c r="K102" s="1" t="n"/>
      <c r="L102" s="1" t="n"/>
      <c r="M102" s="1" t="n"/>
    </row>
    <row r="103" ht="15" customHeight="1">
      <c r="A103" s="1" t="n"/>
      <c r="B103" s="1" t="n"/>
      <c r="C103" s="1" t="n"/>
      <c r="D103" s="1" t="n"/>
      <c r="E103" s="1" t="n"/>
      <c r="F103" s="1" t="n"/>
      <c r="G103" s="1" t="n"/>
      <c r="H103" s="1" t="n"/>
      <c r="I103" s="1" t="n"/>
      <c r="J103" s="1" t="n"/>
      <c r="K103" s="1" t="n"/>
      <c r="L103" s="1" t="n"/>
      <c r="M103" s="1" t="n"/>
    </row>
    <row r="104" ht="15" customHeight="1">
      <c r="A104" s="1" t="n"/>
      <c r="B104" s="1" t="n"/>
      <c r="C104" s="1" t="n"/>
      <c r="D104" s="1" t="n"/>
      <c r="E104" s="1" t="n"/>
      <c r="F104" s="1" t="n"/>
      <c r="G104" s="1" t="n"/>
      <c r="H104" s="1" t="n"/>
      <c r="I104" s="1" t="n"/>
      <c r="J104" s="1" t="n"/>
      <c r="K104" s="1" t="n"/>
      <c r="L104" s="1" t="n"/>
      <c r="M104" s="1" t="n"/>
    </row>
    <row r="105" ht="15" customHeight="1">
      <c r="A105" s="1" t="n"/>
      <c r="B105" s="1" t="n"/>
      <c r="C105" s="1" t="n"/>
      <c r="D105" s="1" t="n"/>
      <c r="E105" s="1" t="n"/>
      <c r="F105" s="1" t="n"/>
      <c r="G105" s="1" t="n"/>
      <c r="H105" s="1" t="n"/>
      <c r="I105" s="1" t="n"/>
      <c r="J105" s="1" t="n"/>
      <c r="K105" s="1" t="n"/>
      <c r="L105" s="1" t="n"/>
      <c r="M105" s="1" t="n"/>
    </row>
    <row r="106" ht="15" customHeight="1">
      <c r="A106" s="1" t="n"/>
      <c r="B106" s="1" t="n"/>
      <c r="C106" s="1" t="n"/>
      <c r="D106" s="1" t="n"/>
      <c r="E106" s="1" t="n"/>
      <c r="F106" s="1" t="n"/>
      <c r="G106" s="1" t="n"/>
      <c r="H106" s="1" t="n"/>
      <c r="I106" s="1" t="n"/>
      <c r="J106" s="1" t="n"/>
      <c r="K106" s="1" t="n"/>
      <c r="L106" s="1" t="n"/>
      <c r="M106" s="1" t="n"/>
    </row>
    <row r="107" ht="15" customHeight="1">
      <c r="A107" s="1" t="n"/>
      <c r="B107" s="1" t="n"/>
      <c r="C107" s="1" t="n"/>
      <c r="D107" s="1" t="n"/>
      <c r="E107" s="1" t="n"/>
      <c r="F107" s="1" t="n"/>
      <c r="G107" s="1" t="n"/>
      <c r="H107" s="1" t="n"/>
      <c r="I107" s="1" t="n"/>
      <c r="J107" s="1" t="n"/>
      <c r="K107" s="1" t="n"/>
      <c r="L107" s="1" t="n"/>
      <c r="M107" s="1" t="n"/>
    </row>
    <row r="108" ht="15" customHeight="1">
      <c r="A108" s="1" t="n"/>
      <c r="B108" s="1" t="n"/>
      <c r="C108" s="1" t="n"/>
      <c r="D108" s="1" t="n"/>
      <c r="E108" s="1" t="n"/>
      <c r="F108" s="1" t="n"/>
      <c r="G108" s="1" t="n"/>
      <c r="H108" s="1" t="n"/>
      <c r="I108" s="1" t="n"/>
      <c r="J108" s="1" t="n"/>
      <c r="K108" s="1" t="n"/>
      <c r="L108" s="1" t="n"/>
      <c r="M108" s="1" t="n"/>
    </row>
    <row r="109" ht="15" customHeight="1">
      <c r="A109" s="1" t="n"/>
      <c r="B109" s="1" t="n"/>
      <c r="C109" s="1" t="n"/>
      <c r="D109" s="1" t="n"/>
      <c r="E109" s="1" t="n"/>
      <c r="F109" s="1" t="n"/>
      <c r="G109" s="1" t="n"/>
      <c r="H109" s="1" t="n"/>
      <c r="I109" s="1" t="n"/>
      <c r="J109" s="1" t="n"/>
      <c r="K109" s="1" t="n"/>
      <c r="L109" s="1" t="n"/>
      <c r="M109" s="1" t="n"/>
    </row>
    <row r="110" ht="15" customHeight="1">
      <c r="A110" s="1" t="n"/>
      <c r="B110" s="1" t="n"/>
      <c r="C110" s="1" t="n"/>
      <c r="D110" s="1" t="n"/>
      <c r="E110" s="1" t="n"/>
      <c r="F110" s="1" t="n"/>
      <c r="G110" s="1" t="n"/>
      <c r="H110" s="1" t="n"/>
      <c r="I110" s="1" t="n"/>
      <c r="J110" s="1" t="n"/>
      <c r="K110" s="1" t="n"/>
      <c r="L110" s="1" t="n"/>
      <c r="M110" s="1" t="n"/>
    </row>
    <row r="111" ht="15" customHeight="1">
      <c r="A111" s="1" t="n"/>
      <c r="B111" s="1" t="n"/>
      <c r="C111" s="1" t="n"/>
      <c r="D111" s="1" t="n"/>
      <c r="E111" s="1" t="n"/>
      <c r="F111" s="1" t="n"/>
      <c r="G111" s="1" t="n"/>
      <c r="H111" s="1" t="n"/>
      <c r="I111" s="1" t="n"/>
      <c r="J111" s="1" t="n"/>
      <c r="K111" s="1" t="n"/>
      <c r="L111" s="1" t="n"/>
      <c r="M111" s="1" t="n"/>
    </row>
    <row r="112" ht="15" customHeight="1">
      <c r="A112" s="1" t="n"/>
      <c r="B112" s="1" t="n"/>
      <c r="C112" s="1" t="n"/>
      <c r="D112" s="1" t="n"/>
      <c r="E112" s="1" t="n"/>
      <c r="F112" s="1" t="n"/>
      <c r="G112" s="1" t="n"/>
      <c r="H112" s="1" t="n"/>
      <c r="I112" s="1" t="n"/>
      <c r="J112" s="1" t="n"/>
      <c r="K112" s="1" t="n"/>
      <c r="L112" s="1" t="n"/>
      <c r="M112" s="1" t="n"/>
    </row>
    <row r="113" ht="15" customHeight="1">
      <c r="A113" s="1" t="n"/>
      <c r="B113" s="1" t="n"/>
      <c r="C113" s="1" t="n"/>
      <c r="D113" s="1" t="n"/>
      <c r="E113" s="1" t="n"/>
      <c r="F113" s="1" t="n"/>
      <c r="G113" s="1" t="n"/>
      <c r="H113" s="1" t="n"/>
      <c r="I113" s="1" t="n"/>
      <c r="J113" s="1" t="n"/>
      <c r="K113" s="1" t="n"/>
      <c r="L113" s="1" t="n"/>
      <c r="M113" s="1" t="n"/>
    </row>
    <row r="114" ht="15" customHeight="1">
      <c r="A114" s="1" t="n"/>
      <c r="B114" s="1" t="n"/>
      <c r="C114" s="1" t="n"/>
      <c r="D114" s="1" t="n"/>
      <c r="E114" s="1" t="n"/>
      <c r="F114" s="1" t="n"/>
      <c r="G114" s="1" t="n"/>
      <c r="H114" s="1" t="n"/>
      <c r="I114" s="1" t="n"/>
      <c r="J114" s="1" t="n"/>
      <c r="K114" s="1" t="n"/>
      <c r="L114" s="1" t="n"/>
      <c r="M114" s="1" t="n"/>
    </row>
    <row r="115" ht="15" customHeight="1">
      <c r="A115" s="1" t="n"/>
      <c r="B115" s="1" t="n"/>
      <c r="C115" s="1" t="n"/>
      <c r="D115" s="1" t="n"/>
      <c r="E115" s="1" t="n"/>
      <c r="F115" s="1" t="n"/>
      <c r="G115" s="1" t="n"/>
      <c r="H115" s="1" t="n"/>
      <c r="I115" s="1" t="n"/>
      <c r="J115" s="1" t="n"/>
      <c r="K115" s="1" t="n"/>
      <c r="L115" s="1" t="n"/>
      <c r="M115" s="1" t="n"/>
    </row>
    <row r="116" ht="15" customHeight="1">
      <c r="A116" s="1" t="n"/>
      <c r="B116" s="1" t="n"/>
      <c r="C116" s="1" t="n"/>
      <c r="D116" s="1" t="n"/>
      <c r="E116" s="1" t="n"/>
      <c r="F116" s="1" t="n"/>
      <c r="G116" s="1" t="n"/>
      <c r="H116" s="1" t="n"/>
      <c r="I116" s="1" t="n"/>
      <c r="J116" s="1" t="n"/>
      <c r="K116" s="1" t="n"/>
      <c r="L116" s="1" t="n"/>
      <c r="M116" s="1" t="n"/>
    </row>
    <row r="117" ht="15" customHeight="1">
      <c r="A117" s="1" t="n"/>
      <c r="B117" s="1" t="n"/>
      <c r="C117" s="1" t="n"/>
      <c r="D117" s="1" t="n"/>
      <c r="E117" s="1" t="n"/>
      <c r="F117" s="1" t="n"/>
      <c r="G117" s="1" t="n"/>
      <c r="H117" s="1" t="n"/>
      <c r="I117" s="1" t="n"/>
      <c r="J117" s="1" t="n"/>
      <c r="K117" s="1" t="n"/>
      <c r="L117" s="1" t="n"/>
      <c r="M117" s="1" t="n"/>
    </row>
    <row r="118" ht="15" customHeight="1">
      <c r="A118" s="1" t="n"/>
      <c r="B118" s="1" t="n"/>
      <c r="C118" s="1" t="n"/>
      <c r="D118" s="1" t="n"/>
      <c r="E118" s="1" t="n"/>
      <c r="F118" s="1" t="n"/>
      <c r="G118" s="1" t="n"/>
      <c r="H118" s="1" t="n"/>
      <c r="I118" s="1" t="n"/>
      <c r="J118" s="1" t="n"/>
      <c r="K118" s="1" t="n"/>
      <c r="L118" s="1" t="n"/>
      <c r="M118" s="1" t="n"/>
    </row>
    <row r="119" ht="15" customHeight="1">
      <c r="A119" s="1" t="n"/>
      <c r="B119" s="1" t="n"/>
      <c r="C119" s="1" t="n"/>
      <c r="D119" s="1" t="n"/>
      <c r="E119" s="1" t="n"/>
      <c r="F119" s="1" t="n"/>
      <c r="G119" s="1" t="n"/>
      <c r="H119" s="1" t="n"/>
      <c r="I119" s="1" t="n"/>
      <c r="J119" s="1" t="n"/>
      <c r="K119" s="1" t="n"/>
      <c r="L119" s="1" t="n"/>
      <c r="M119" s="1" t="n"/>
    </row>
    <row r="120" ht="15" customHeight="1">
      <c r="A120" s="1" t="n"/>
      <c r="B120" s="1" t="n"/>
      <c r="C120" s="1" t="n"/>
      <c r="D120" s="1" t="n"/>
      <c r="E120" s="1" t="n"/>
      <c r="F120" s="1" t="n"/>
      <c r="G120" s="1" t="n"/>
      <c r="H120" s="1" t="n"/>
      <c r="I120" s="1" t="n"/>
      <c r="J120" s="1" t="n"/>
      <c r="K120" s="1" t="n"/>
      <c r="L120" s="1" t="n"/>
      <c r="M120" s="1" t="n"/>
    </row>
    <row r="121" ht="15" customHeight="1">
      <c r="A121" s="1" t="n"/>
      <c r="B121" s="1" t="n"/>
      <c r="C121" s="1" t="n"/>
      <c r="D121" s="1" t="n"/>
      <c r="E121" s="1" t="n"/>
      <c r="F121" s="1" t="n"/>
      <c r="G121" s="1" t="n"/>
      <c r="H121" s="1" t="n"/>
      <c r="I121" s="1" t="n"/>
      <c r="J121" s="1" t="n"/>
      <c r="K121" s="1" t="n"/>
      <c r="L121" s="1" t="n"/>
      <c r="M121" s="1" t="n"/>
    </row>
    <row r="122" ht="15" customHeight="1">
      <c r="A122" s="1" t="n"/>
      <c r="B122" s="1" t="n"/>
      <c r="C122" s="1" t="n"/>
      <c r="D122" s="1" t="n"/>
      <c r="E122" s="1" t="n"/>
      <c r="F122" s="1" t="n"/>
      <c r="G122" s="1" t="n"/>
      <c r="H122" s="1" t="n"/>
      <c r="I122" s="1" t="n"/>
      <c r="J122" s="1" t="n"/>
      <c r="K122" s="1" t="n"/>
      <c r="L122" s="1" t="n"/>
      <c r="M122" s="1" t="n"/>
    </row>
    <row r="123" ht="15" customHeight="1">
      <c r="A123" s="1" t="n"/>
      <c r="B123" s="1" t="n"/>
      <c r="C123" s="1" t="n"/>
      <c r="D123" s="1" t="n"/>
      <c r="E123" s="1" t="n"/>
      <c r="F123" s="1" t="n"/>
      <c r="G123" s="1" t="n"/>
      <c r="H123" s="1" t="n"/>
      <c r="I123" s="1" t="n"/>
      <c r="J123" s="1" t="n"/>
      <c r="K123" s="1" t="n"/>
      <c r="L123" s="1" t="n"/>
      <c r="M123" s="1" t="n"/>
    </row>
    <row r="124" ht="15" customHeight="1">
      <c r="A124" s="1" t="n"/>
      <c r="B124" s="1" t="n"/>
      <c r="C124" s="1" t="n"/>
      <c r="D124" s="1" t="n"/>
      <c r="E124" s="1" t="n"/>
      <c r="F124" s="1" t="n"/>
      <c r="G124" s="1" t="n"/>
      <c r="H124" s="1" t="n"/>
      <c r="I124" s="1" t="n"/>
      <c r="J124" s="1" t="n"/>
      <c r="K124" s="1" t="n"/>
      <c r="L124" s="1" t="n"/>
      <c r="M124" s="1" t="n"/>
    </row>
    <row r="125" ht="15" customHeight="1">
      <c r="A125" s="1" t="n"/>
      <c r="B125" s="1" t="n"/>
      <c r="C125" s="1" t="n"/>
      <c r="D125" s="1" t="n"/>
      <c r="E125" s="1" t="n"/>
      <c r="F125" s="1" t="n"/>
      <c r="G125" s="1" t="n"/>
      <c r="H125" s="1" t="n"/>
      <c r="I125" s="1" t="n"/>
      <c r="J125" s="1" t="n"/>
      <c r="K125" s="1" t="n"/>
      <c r="L125" s="1" t="n"/>
      <c r="M125" s="1" t="n"/>
    </row>
    <row r="126" ht="15" customHeight="1">
      <c r="A126" s="1" t="n"/>
      <c r="B126" s="1" t="n"/>
      <c r="C126" s="1" t="n"/>
      <c r="D126" s="1" t="n"/>
      <c r="E126" s="1" t="n"/>
      <c r="F126" s="1" t="n"/>
      <c r="G126" s="1" t="n"/>
      <c r="H126" s="1" t="n"/>
      <c r="I126" s="1" t="n"/>
      <c r="J126" s="1" t="n"/>
      <c r="K126" s="1" t="n"/>
      <c r="L126" s="1" t="n"/>
      <c r="M126" s="1" t="n"/>
    </row>
    <row r="127" ht="15" customHeight="1">
      <c r="A127" s="1" t="n"/>
      <c r="B127" s="1" t="n"/>
      <c r="C127" s="1" t="n"/>
      <c r="D127" s="1" t="n"/>
      <c r="E127" s="1" t="n"/>
      <c r="F127" s="1" t="n"/>
      <c r="G127" s="1" t="n"/>
      <c r="H127" s="1" t="n"/>
      <c r="I127" s="1" t="n"/>
      <c r="J127" s="1" t="n"/>
      <c r="K127" s="1" t="n"/>
      <c r="L127" s="1" t="n"/>
      <c r="M127" s="1" t="n"/>
    </row>
    <row r="128" ht="15" customHeight="1">
      <c r="A128" s="1" t="n"/>
      <c r="B128" s="1" t="n"/>
      <c r="C128" s="1" t="n"/>
      <c r="D128" s="1" t="n"/>
      <c r="E128" s="1" t="n"/>
      <c r="F128" s="1" t="n"/>
      <c r="G128" s="1" t="n"/>
      <c r="H128" s="1" t="n"/>
      <c r="I128" s="1" t="n"/>
      <c r="J128" s="1" t="n"/>
      <c r="K128" s="1" t="n"/>
      <c r="L128" s="1" t="n"/>
      <c r="M128" s="1" t="n"/>
    </row>
    <row r="129" ht="15" customHeight="1">
      <c r="A129" s="1" t="n"/>
      <c r="B129" s="1" t="n"/>
      <c r="C129" s="1" t="n"/>
      <c r="D129" s="1" t="n"/>
      <c r="E129" s="1" t="n"/>
      <c r="F129" s="1" t="n"/>
      <c r="G129" s="1" t="n"/>
      <c r="H129" s="1" t="n"/>
      <c r="I129" s="1" t="n"/>
      <c r="J129" s="1" t="n"/>
      <c r="K129" s="1" t="n"/>
      <c r="L129" s="1" t="n"/>
      <c r="M129" s="1" t="n"/>
    </row>
    <row r="130" ht="15" customHeight="1">
      <c r="A130" s="1" t="n"/>
      <c r="B130" s="1" t="n"/>
      <c r="C130" s="1" t="n"/>
      <c r="D130" s="1" t="n"/>
      <c r="E130" s="1" t="n"/>
      <c r="F130" s="1" t="n"/>
      <c r="G130" s="1" t="n"/>
      <c r="H130" s="1" t="n"/>
      <c r="I130" s="1" t="n"/>
      <c r="J130" s="1" t="n"/>
      <c r="K130" s="1" t="n"/>
      <c r="L130" s="1" t="n"/>
      <c r="M130" s="1" t="n"/>
    </row>
    <row r="131" ht="15" customHeight="1">
      <c r="A131" s="1" t="n"/>
      <c r="B131" s="1" t="n"/>
      <c r="C131" s="1" t="n"/>
      <c r="D131" s="1" t="n"/>
      <c r="E131" s="1" t="n"/>
      <c r="F131" s="1" t="n"/>
      <c r="G131" s="1" t="n"/>
      <c r="H131" s="1" t="n"/>
      <c r="I131" s="1" t="n"/>
      <c r="J131" s="1" t="n"/>
      <c r="K131" s="1" t="n"/>
      <c r="L131" s="1" t="n"/>
      <c r="M131" s="1" t="n"/>
    </row>
    <row r="132" ht="15" customHeight="1">
      <c r="A132" s="1" t="n"/>
      <c r="B132" s="1" t="n"/>
      <c r="C132" s="1" t="n"/>
      <c r="D132" s="1" t="n"/>
      <c r="E132" s="1" t="n"/>
      <c r="F132" s="1" t="n"/>
      <c r="G132" s="1" t="n"/>
      <c r="H132" s="1" t="n"/>
      <c r="I132" s="1" t="n"/>
      <c r="J132" s="1" t="n"/>
      <c r="K132" s="1" t="n"/>
      <c r="L132" s="1" t="n"/>
      <c r="M132" s="1" t="n"/>
    </row>
    <row r="133" ht="15" customHeight="1">
      <c r="A133" s="1" t="n"/>
      <c r="B133" s="1" t="n"/>
      <c r="C133" s="1" t="n"/>
      <c r="D133" s="1" t="n"/>
      <c r="E133" s="1" t="n"/>
      <c r="F133" s="1" t="n"/>
      <c r="G133" s="1" t="n"/>
      <c r="H133" s="1" t="n"/>
      <c r="I133" s="1" t="n"/>
      <c r="J133" s="1" t="n"/>
      <c r="K133" s="1" t="n"/>
      <c r="L133" s="1" t="n"/>
      <c r="M133" s="1" t="n"/>
    </row>
    <row r="134" ht="15" customHeight="1">
      <c r="A134" s="1" t="n"/>
      <c r="B134" s="1" t="n"/>
      <c r="C134" s="1" t="n"/>
      <c r="D134" s="1" t="n"/>
      <c r="E134" s="1" t="n"/>
      <c r="F134" s="1" t="n"/>
      <c r="G134" s="1" t="n"/>
      <c r="H134" s="1" t="n"/>
      <c r="I134" s="1" t="n"/>
      <c r="J134" s="1" t="n"/>
      <c r="K134" s="1" t="n"/>
      <c r="L134" s="1" t="n"/>
      <c r="M134" s="1" t="n"/>
    </row>
    <row r="135" ht="15" customHeight="1">
      <c r="A135" s="1" t="n"/>
      <c r="B135" s="1" t="n"/>
      <c r="C135" s="1" t="n"/>
      <c r="D135" s="1" t="n"/>
      <c r="E135" s="1" t="n"/>
      <c r="F135" s="1" t="n"/>
      <c r="G135" s="1" t="n"/>
      <c r="H135" s="1" t="n"/>
      <c r="I135" s="1" t="n"/>
      <c r="J135" s="1" t="n"/>
      <c r="K135" s="1" t="n"/>
      <c r="L135" s="1" t="n"/>
      <c r="M135" s="1" t="n"/>
    </row>
    <row r="136" ht="15" customHeight="1">
      <c r="A136" s="1" t="n"/>
      <c r="B136" s="1" t="n"/>
      <c r="C136" s="1" t="n"/>
      <c r="D136" s="1" t="n"/>
      <c r="E136" s="1" t="n"/>
      <c r="F136" s="1" t="n"/>
      <c r="G136" s="1" t="n"/>
      <c r="H136" s="1" t="n"/>
      <c r="I136" s="1" t="n"/>
      <c r="J136" s="1" t="n"/>
      <c r="K136" s="1" t="n"/>
      <c r="L136" s="1" t="n"/>
      <c r="M136" s="1" t="n"/>
    </row>
    <row r="137" ht="15" customHeight="1">
      <c r="A137" s="1" t="n"/>
      <c r="B137" s="1" t="n"/>
      <c r="C137" s="1" t="n"/>
      <c r="D137" s="1" t="n"/>
      <c r="E137" s="1" t="n"/>
      <c r="F137" s="1" t="n"/>
      <c r="G137" s="1" t="n"/>
      <c r="H137" s="1" t="n"/>
      <c r="I137" s="1" t="n"/>
      <c r="J137" s="1" t="n"/>
      <c r="K137" s="1" t="n"/>
      <c r="L137" s="1" t="n"/>
      <c r="M137" s="1" t="n"/>
    </row>
    <row r="138" ht="15" customHeight="1">
      <c r="A138" s="1" t="n"/>
      <c r="B138" s="1" t="n"/>
      <c r="C138" s="1" t="n"/>
      <c r="D138" s="1" t="n"/>
      <c r="E138" s="1" t="n"/>
      <c r="F138" s="1" t="n"/>
      <c r="G138" s="1" t="n"/>
      <c r="H138" s="1" t="n"/>
      <c r="I138" s="1" t="n"/>
      <c r="J138" s="1" t="n"/>
      <c r="K138" s="1" t="n"/>
      <c r="L138" s="1" t="n"/>
      <c r="M138" s="1" t="n"/>
    </row>
    <row r="139" ht="15" customHeight="1">
      <c r="A139" s="1" t="n"/>
      <c r="B139" s="1" t="n"/>
      <c r="C139" s="1" t="n"/>
      <c r="D139" s="1" t="n"/>
      <c r="E139" s="1" t="n"/>
      <c r="F139" s="1" t="n"/>
      <c r="G139" s="1" t="n"/>
      <c r="H139" s="1" t="n"/>
      <c r="I139" s="1" t="n"/>
      <c r="J139" s="1" t="n"/>
      <c r="K139" s="1" t="n"/>
      <c r="L139" s="1" t="n"/>
      <c r="M139" s="1" t="n"/>
    </row>
    <row r="140" ht="15" customHeight="1">
      <c r="A140" s="1" t="n"/>
      <c r="B140" s="1" t="n"/>
      <c r="C140" s="1" t="n"/>
      <c r="D140" s="1" t="n"/>
      <c r="E140" s="1" t="n"/>
      <c r="F140" s="1" t="n"/>
      <c r="G140" s="1" t="n"/>
      <c r="H140" s="1" t="n"/>
      <c r="I140" s="1" t="n"/>
      <c r="J140" s="1" t="n"/>
      <c r="K140" s="1" t="n"/>
      <c r="L140" s="1" t="n"/>
      <c r="M140" s="1" t="n"/>
    </row>
    <row r="141" ht="15" customHeight="1">
      <c r="A141" s="1" t="n"/>
      <c r="B141" s="1" t="n"/>
      <c r="C141" s="1" t="n"/>
      <c r="D141" s="1" t="n"/>
      <c r="E141" s="1" t="n"/>
      <c r="F141" s="1" t="n"/>
      <c r="G141" s="1" t="n"/>
      <c r="H141" s="1" t="n"/>
      <c r="I141" s="1" t="n"/>
      <c r="J141" s="1" t="n"/>
      <c r="K141" s="1" t="n"/>
      <c r="L141" s="1" t="n"/>
      <c r="M141" s="1" t="n"/>
    </row>
    <row r="142" ht="15" customHeight="1">
      <c r="A142" s="1" t="n"/>
      <c r="B142" s="1" t="n"/>
      <c r="C142" s="1" t="n"/>
      <c r="D142" s="1" t="n"/>
      <c r="E142" s="1" t="n"/>
      <c r="F142" s="1" t="n"/>
      <c r="G142" s="1" t="n"/>
      <c r="H142" s="1" t="n"/>
      <c r="I142" s="1" t="n"/>
      <c r="J142" s="1" t="n"/>
      <c r="K142" s="1" t="n"/>
      <c r="L142" s="1" t="n"/>
      <c r="M142" s="1" t="n"/>
    </row>
    <row r="143" ht="15" customHeight="1">
      <c r="A143" s="1" t="n"/>
      <c r="B143" s="1" t="n"/>
      <c r="C143" s="1" t="n"/>
      <c r="D143" s="1" t="n"/>
      <c r="E143" s="1" t="n"/>
      <c r="F143" s="1" t="n"/>
      <c r="G143" s="1" t="n"/>
      <c r="H143" s="1" t="n"/>
      <c r="I143" s="1" t="n"/>
      <c r="J143" s="1" t="n"/>
      <c r="K143" s="1" t="n"/>
      <c r="L143" s="1" t="n"/>
      <c r="M143" s="1" t="n"/>
    </row>
    <row r="144" ht="15" customHeight="1">
      <c r="A144" s="1" t="n"/>
      <c r="B144" s="1" t="n"/>
      <c r="C144" s="1" t="n"/>
      <c r="D144" s="1" t="n"/>
      <c r="E144" s="1" t="n"/>
      <c r="F144" s="1" t="n"/>
      <c r="G144" s="1" t="n"/>
      <c r="H144" s="1" t="n"/>
      <c r="I144" s="1" t="n"/>
      <c r="J144" s="1" t="n"/>
      <c r="K144" s="1" t="n"/>
      <c r="L144" s="1" t="n"/>
      <c r="M144" s="1" t="n"/>
    </row>
    <row r="145" ht="15" customHeight="1">
      <c r="A145" s="1" t="n"/>
      <c r="B145" s="1" t="n"/>
      <c r="C145" s="1" t="n"/>
      <c r="D145" s="1" t="n"/>
      <c r="E145" s="1" t="n"/>
      <c r="F145" s="1" t="n"/>
      <c r="G145" s="1" t="n"/>
      <c r="H145" s="1" t="n"/>
      <c r="I145" s="1" t="n"/>
      <c r="J145" s="1" t="n"/>
      <c r="K145" s="1" t="n"/>
      <c r="L145" s="1" t="n"/>
      <c r="M145" s="1" t="n"/>
    </row>
    <row r="146" ht="15" customHeight="1">
      <c r="A146" s="1" t="n"/>
      <c r="B146" s="1" t="n"/>
      <c r="C146" s="1" t="n"/>
      <c r="D146" s="1" t="n"/>
      <c r="E146" s="1" t="n"/>
      <c r="F146" s="1" t="n"/>
      <c r="G146" s="1" t="n"/>
      <c r="H146" s="1" t="n"/>
      <c r="I146" s="1" t="n"/>
      <c r="J146" s="1" t="n"/>
      <c r="K146" s="1" t="n"/>
      <c r="L146" s="1" t="n"/>
      <c r="M146" s="1" t="n"/>
    </row>
    <row r="147" ht="15" customHeight="1">
      <c r="A147" s="1" t="n"/>
      <c r="B147" s="1" t="n"/>
      <c r="C147" s="1" t="n"/>
      <c r="D147" s="1" t="n"/>
      <c r="E147" s="1" t="n"/>
      <c r="F147" s="1" t="n"/>
      <c r="G147" s="1" t="n"/>
      <c r="H147" s="1" t="n"/>
      <c r="I147" s="1" t="n"/>
      <c r="J147" s="1" t="n"/>
      <c r="K147" s="1" t="n"/>
      <c r="L147" s="1" t="n"/>
      <c r="M147" s="1" t="n"/>
    </row>
    <row r="148" ht="15" customHeight="1">
      <c r="A148" s="1" t="n"/>
      <c r="B148" s="1" t="n"/>
      <c r="C148" s="1" t="n"/>
      <c r="D148" s="1" t="n"/>
      <c r="E148" s="1" t="n"/>
      <c r="F148" s="1" t="n"/>
      <c r="G148" s="1" t="n"/>
      <c r="H148" s="1" t="n"/>
      <c r="I148" s="1" t="n"/>
      <c r="J148" s="1" t="n"/>
      <c r="K148" s="1" t="n"/>
      <c r="L148" s="1" t="n"/>
      <c r="M148" s="1" t="n"/>
    </row>
    <row r="149" ht="15" customHeight="1">
      <c r="A149" s="1" t="n"/>
      <c r="B149" s="1" t="n"/>
      <c r="C149" s="1" t="n"/>
      <c r="D149" s="1" t="n"/>
      <c r="E149" s="1" t="n"/>
      <c r="F149" s="1" t="n"/>
      <c r="G149" s="1" t="n"/>
      <c r="H149" s="1" t="n"/>
      <c r="I149" s="1" t="n"/>
      <c r="J149" s="1" t="n"/>
      <c r="K149" s="1" t="n"/>
      <c r="L149" s="1" t="n"/>
      <c r="M149" s="1" t="n"/>
    </row>
    <row r="150" ht="15" customHeight="1">
      <c r="A150" s="1" t="n"/>
      <c r="B150" s="1" t="n"/>
      <c r="C150" s="1" t="n"/>
      <c r="D150" s="1" t="n"/>
      <c r="E150" s="1" t="n"/>
      <c r="F150" s="1" t="n"/>
      <c r="G150" s="1" t="n"/>
      <c r="H150" s="1" t="n"/>
      <c r="I150" s="1" t="n"/>
      <c r="J150" s="1" t="n"/>
      <c r="K150" s="1" t="n"/>
      <c r="L150" s="1" t="n"/>
      <c r="M150" s="1" t="n"/>
    </row>
    <row r="151" ht="15" customHeight="1">
      <c r="A151" s="1" t="n"/>
      <c r="B151" s="1" t="n"/>
      <c r="C151" s="1" t="n"/>
      <c r="D151" s="1" t="n"/>
      <c r="E151" s="1" t="n"/>
      <c r="F151" s="1" t="n"/>
      <c r="G151" s="1" t="n"/>
      <c r="H151" s="1" t="n"/>
      <c r="I151" s="1" t="n"/>
      <c r="J151" s="1" t="n"/>
      <c r="K151" s="1" t="n"/>
      <c r="L151" s="1" t="n"/>
      <c r="M151" s="1" t="n"/>
    </row>
    <row r="152" ht="15" customHeight="1">
      <c r="A152" s="1" t="n"/>
      <c r="B152" s="1" t="n"/>
      <c r="C152" s="1" t="n"/>
      <c r="D152" s="1" t="n"/>
      <c r="E152" s="1" t="n"/>
      <c r="F152" s="1" t="n"/>
      <c r="G152" s="1" t="n"/>
      <c r="H152" s="1" t="n"/>
      <c r="I152" s="1" t="n"/>
      <c r="J152" s="1" t="n"/>
      <c r="K152" s="1" t="n"/>
      <c r="L152" s="1" t="n"/>
      <c r="M152" s="1" t="n"/>
    </row>
    <row r="153" ht="15" customHeight="1">
      <c r="A153" s="1" t="n"/>
      <c r="B153" s="1" t="n"/>
      <c r="C153" s="1" t="n"/>
      <c r="D153" s="1" t="n"/>
      <c r="E153" s="1" t="n"/>
      <c r="F153" s="1" t="n"/>
      <c r="G153" s="1" t="n"/>
      <c r="H153" s="1" t="n"/>
      <c r="I153" s="1" t="n"/>
      <c r="J153" s="1" t="n"/>
      <c r="K153" s="1" t="n"/>
      <c r="L153" s="1" t="n"/>
      <c r="M153" s="1" t="n"/>
    </row>
    <row r="154" ht="15" customHeight="1">
      <c r="A154" s="1" t="n"/>
      <c r="B154" s="1" t="n"/>
      <c r="C154" s="1" t="n"/>
      <c r="D154" s="1" t="n"/>
      <c r="E154" s="1" t="n"/>
      <c r="F154" s="1" t="n"/>
      <c r="G154" s="1" t="n"/>
      <c r="H154" s="1" t="n"/>
      <c r="I154" s="1" t="n"/>
      <c r="J154" s="1" t="n"/>
      <c r="K154" s="1" t="n"/>
      <c r="L154" s="1" t="n"/>
      <c r="M154" s="1" t="n"/>
    </row>
    <row r="155" ht="15" customHeight="1">
      <c r="A155" s="1" t="n"/>
      <c r="B155" s="1" t="n"/>
      <c r="C155" s="1" t="n"/>
      <c r="D155" s="1" t="n"/>
      <c r="E155" s="1" t="n"/>
      <c r="F155" s="1" t="n"/>
      <c r="G155" s="1" t="n"/>
      <c r="H155" s="1" t="n"/>
      <c r="I155" s="1" t="n"/>
      <c r="J155" s="1" t="n"/>
      <c r="K155" s="1" t="n"/>
      <c r="L155" s="1" t="n"/>
      <c r="M155" s="1" t="n"/>
    </row>
    <row r="156" ht="15" customHeight="1">
      <c r="A156" s="1" t="n"/>
      <c r="B156" s="1" t="n"/>
      <c r="C156" s="1" t="n"/>
      <c r="D156" s="1" t="n"/>
      <c r="E156" s="1" t="n"/>
      <c r="F156" s="1" t="n"/>
      <c r="G156" s="1" t="n"/>
      <c r="H156" s="1" t="n"/>
      <c r="I156" s="1" t="n"/>
      <c r="J156" s="1" t="n"/>
      <c r="K156" s="1" t="n"/>
      <c r="L156" s="1" t="n"/>
      <c r="M156" s="1" t="n"/>
    </row>
    <row r="157" ht="15" customHeight="1">
      <c r="A157" s="1" t="n"/>
      <c r="B157" s="1" t="n"/>
      <c r="C157" s="1" t="n"/>
      <c r="D157" s="1" t="n"/>
      <c r="E157" s="1" t="n"/>
      <c r="F157" s="1" t="n"/>
      <c r="G157" s="1" t="n"/>
      <c r="H157" s="1" t="n"/>
      <c r="I157" s="1" t="n"/>
      <c r="J157" s="1" t="n"/>
      <c r="K157" s="1" t="n"/>
      <c r="L157" s="1" t="n"/>
      <c r="M157" s="1" t="n"/>
    </row>
    <row r="158" ht="15" customHeight="1">
      <c r="A158" s="1" t="n"/>
      <c r="B158" s="1" t="n"/>
      <c r="C158" s="1" t="n"/>
      <c r="D158" s="1" t="n"/>
      <c r="E158" s="1" t="n"/>
      <c r="F158" s="1" t="n"/>
      <c r="G158" s="1" t="n"/>
      <c r="H158" s="1" t="n"/>
      <c r="I158" s="1" t="n"/>
      <c r="J158" s="1" t="n"/>
      <c r="K158" s="1" t="n"/>
      <c r="L158" s="1" t="n"/>
      <c r="M158" s="1" t="n"/>
    </row>
    <row r="159" ht="15" customHeight="1">
      <c r="A159" s="1" t="n"/>
      <c r="B159" s="1" t="n"/>
      <c r="C159" s="1" t="n"/>
      <c r="D159" s="1" t="n"/>
      <c r="E159" s="1" t="n"/>
      <c r="F159" s="1" t="n"/>
      <c r="G159" s="1" t="n"/>
      <c r="H159" s="1" t="n"/>
      <c r="I159" s="1" t="n"/>
      <c r="J159" s="1" t="n"/>
      <c r="K159" s="1" t="n"/>
      <c r="L159" s="1" t="n"/>
      <c r="M159" s="1" t="n"/>
    </row>
    <row r="160" ht="15" customHeight="1">
      <c r="A160" s="1" t="n"/>
      <c r="B160" s="1" t="n"/>
      <c r="C160" s="1" t="n"/>
      <c r="D160" s="1" t="n"/>
      <c r="E160" s="1" t="n"/>
      <c r="F160" s="1" t="n"/>
      <c r="G160" s="1" t="n"/>
      <c r="H160" s="1" t="n"/>
      <c r="I160" s="1" t="n"/>
      <c r="J160" s="1" t="n"/>
      <c r="K160" s="1" t="n"/>
      <c r="L160" s="1" t="n"/>
      <c r="M160" s="1" t="n"/>
    </row>
    <row r="161" ht="15" customHeight="1">
      <c r="A161" s="1" t="n"/>
      <c r="B161" s="1" t="n"/>
      <c r="C161" s="1" t="n"/>
      <c r="D161" s="1" t="n"/>
      <c r="E161" s="1" t="n"/>
      <c r="F161" s="1" t="n"/>
      <c r="G161" s="1" t="n"/>
      <c r="H161" s="1" t="n"/>
      <c r="I161" s="1" t="n"/>
      <c r="J161" s="1" t="n"/>
      <c r="K161" s="1" t="n"/>
      <c r="L161" s="1" t="n"/>
      <c r="M161" s="1" t="n"/>
    </row>
    <row r="162" ht="15" customHeight="1">
      <c r="A162" s="1" t="n"/>
      <c r="B162" s="1" t="n"/>
      <c r="C162" s="1" t="n"/>
      <c r="D162" s="1" t="n"/>
      <c r="E162" s="1" t="n"/>
      <c r="F162" s="1" t="n"/>
      <c r="G162" s="1" t="n"/>
      <c r="H162" s="1" t="n"/>
      <c r="I162" s="1" t="n"/>
      <c r="J162" s="1" t="n"/>
      <c r="K162" s="1" t="n"/>
      <c r="L162" s="1" t="n"/>
      <c r="M162" s="1" t="n"/>
    </row>
    <row r="163" ht="15" customHeight="1">
      <c r="A163" s="1" t="n"/>
      <c r="B163" s="1" t="n"/>
      <c r="C163" s="1" t="n"/>
      <c r="D163" s="1" t="n"/>
      <c r="E163" s="1" t="n"/>
      <c r="F163" s="1" t="n"/>
      <c r="G163" s="1" t="n"/>
      <c r="H163" s="1" t="n"/>
      <c r="I163" s="1" t="n"/>
      <c r="J163" s="1" t="n"/>
      <c r="K163" s="1" t="n"/>
      <c r="L163" s="1" t="n"/>
      <c r="M163" s="1" t="n"/>
    </row>
    <row r="164" ht="15" customHeight="1">
      <c r="A164" s="1" t="n"/>
      <c r="B164" s="1" t="n"/>
      <c r="C164" s="1" t="n"/>
      <c r="D164" s="1" t="n"/>
      <c r="E164" s="1" t="n"/>
      <c r="F164" s="1" t="n"/>
      <c r="G164" s="1" t="n"/>
      <c r="H164" s="1" t="n"/>
      <c r="I164" s="1" t="n"/>
      <c r="J164" s="1" t="n"/>
      <c r="K164" s="1" t="n"/>
      <c r="L164" s="1" t="n"/>
      <c r="M164" s="1" t="n"/>
    </row>
    <row r="165" ht="15" customHeight="1">
      <c r="A165" s="1" t="n"/>
      <c r="B165" s="1" t="n"/>
      <c r="C165" s="1" t="n"/>
      <c r="D165" s="1" t="n"/>
      <c r="E165" s="1" t="n"/>
      <c r="F165" s="1" t="n"/>
      <c r="G165" s="1" t="n"/>
      <c r="H165" s="1" t="n"/>
      <c r="I165" s="1" t="n"/>
      <c r="J165" s="1" t="n"/>
      <c r="K165" s="1" t="n"/>
      <c r="L165" s="1" t="n"/>
      <c r="M165" s="1" t="n"/>
    </row>
    <row r="166" ht="15" customHeight="1">
      <c r="A166" s="1" t="n"/>
      <c r="B166" s="1" t="n"/>
      <c r="C166" s="1" t="n"/>
      <c r="D166" s="1" t="n"/>
      <c r="E166" s="1" t="n"/>
      <c r="F166" s="1" t="n"/>
      <c r="G166" s="1" t="n"/>
      <c r="H166" s="1" t="n"/>
      <c r="I166" s="1" t="n"/>
      <c r="J166" s="1" t="n"/>
      <c r="K166" s="1" t="n"/>
      <c r="L166" s="1" t="n"/>
      <c r="M166" s="1" t="n"/>
    </row>
    <row r="167" ht="15" customHeight="1">
      <c r="A167" s="1" t="n"/>
      <c r="B167" s="1" t="n"/>
      <c r="C167" s="1" t="n"/>
      <c r="D167" s="1" t="n"/>
      <c r="E167" s="1" t="n"/>
      <c r="F167" s="1" t="n"/>
      <c r="G167" s="1" t="n"/>
      <c r="H167" s="1" t="n"/>
      <c r="I167" s="1" t="n"/>
      <c r="J167" s="1" t="n"/>
      <c r="K167" s="1" t="n"/>
      <c r="L167" s="1" t="n"/>
      <c r="M167" s="1" t="n"/>
    </row>
    <row r="168" ht="15" customHeight="1">
      <c r="A168" s="1" t="n"/>
      <c r="B168" s="1" t="n"/>
      <c r="C168" s="1" t="n"/>
      <c r="D168" s="1" t="n"/>
      <c r="E168" s="1" t="n"/>
      <c r="F168" s="1" t="n"/>
      <c r="G168" s="1" t="n"/>
      <c r="H168" s="1" t="n"/>
      <c r="I168" s="1" t="n"/>
      <c r="J168" s="1" t="n"/>
      <c r="K168" s="1" t="n"/>
      <c r="L168" s="1" t="n"/>
      <c r="M168" s="1" t="n"/>
    </row>
    <row r="169" ht="15" customHeight="1">
      <c r="A169" s="1" t="n"/>
      <c r="B169" s="1" t="n"/>
      <c r="C169" s="1" t="n"/>
      <c r="D169" s="1" t="n"/>
      <c r="E169" s="1" t="n"/>
      <c r="F169" s="1" t="n"/>
      <c r="G169" s="1" t="n"/>
      <c r="H169" s="1" t="n"/>
      <c r="I169" s="1" t="n"/>
      <c r="J169" s="1" t="n"/>
      <c r="K169" s="1" t="n"/>
      <c r="L169" s="1" t="n"/>
      <c r="M169" s="1" t="n"/>
    </row>
    <row r="170" ht="15" customHeight="1">
      <c r="A170" s="1" t="n"/>
      <c r="B170" s="1" t="n"/>
      <c r="C170" s="1" t="n"/>
      <c r="D170" s="1" t="n"/>
      <c r="E170" s="1" t="n"/>
      <c r="F170" s="1" t="n"/>
      <c r="G170" s="1" t="n"/>
      <c r="H170" s="1" t="n"/>
      <c r="I170" s="1" t="n"/>
      <c r="J170" s="1" t="n"/>
      <c r="K170" s="1" t="n"/>
      <c r="L170" s="1" t="n"/>
      <c r="M170" s="1" t="n"/>
    </row>
    <row r="171" ht="15" customHeight="1">
      <c r="A171" s="1" t="n"/>
      <c r="B171" s="1" t="n"/>
      <c r="C171" s="1" t="n"/>
      <c r="D171" s="1" t="n"/>
      <c r="E171" s="1" t="n"/>
      <c r="F171" s="1" t="n"/>
      <c r="G171" s="1" t="n"/>
      <c r="H171" s="1" t="n"/>
      <c r="I171" s="1" t="n"/>
      <c r="J171" s="1" t="n"/>
      <c r="K171" s="1" t="n"/>
      <c r="L171" s="1" t="n"/>
      <c r="M171" s="1" t="n"/>
    </row>
    <row r="172" ht="15" customHeight="1">
      <c r="A172" s="1" t="n"/>
      <c r="B172" s="1" t="n"/>
      <c r="C172" s="1" t="n"/>
      <c r="D172" s="1" t="n"/>
      <c r="E172" s="1" t="n"/>
      <c r="F172" s="1" t="n"/>
      <c r="G172" s="1" t="n"/>
      <c r="H172" s="1" t="n"/>
      <c r="I172" s="1" t="n"/>
      <c r="J172" s="1" t="n"/>
      <c r="K172" s="1" t="n"/>
      <c r="L172" s="1" t="n"/>
      <c r="M172" s="1" t="n"/>
    </row>
    <row r="173" ht="15" customHeight="1">
      <c r="A173" s="1" t="n"/>
      <c r="B173" s="1" t="n"/>
      <c r="C173" s="1" t="n"/>
      <c r="D173" s="1" t="n"/>
      <c r="E173" s="1" t="n"/>
      <c r="F173" s="1" t="n"/>
      <c r="G173" s="1" t="n"/>
      <c r="H173" s="1" t="n"/>
      <c r="I173" s="1" t="n"/>
      <c r="J173" s="1" t="n"/>
      <c r="K173" s="1" t="n"/>
      <c r="L173" s="1" t="n"/>
      <c r="M173" s="1" t="n"/>
    </row>
    <row r="174" ht="15" customHeight="1">
      <c r="A174" s="1" t="n"/>
      <c r="B174" s="1" t="n"/>
      <c r="C174" s="1" t="n"/>
      <c r="D174" s="1" t="n"/>
      <c r="E174" s="1" t="n"/>
      <c r="F174" s="1" t="n"/>
      <c r="G174" s="1" t="n"/>
      <c r="H174" s="1" t="n"/>
      <c r="I174" s="1" t="n"/>
      <c r="J174" s="1" t="n"/>
      <c r="K174" s="1" t="n"/>
      <c r="L174" s="1" t="n"/>
      <c r="M174" s="1" t="n"/>
    </row>
    <row r="175" ht="15" customHeight="1">
      <c r="A175" s="1" t="n"/>
      <c r="B175" s="1" t="n"/>
      <c r="C175" s="1" t="n"/>
      <c r="D175" s="1" t="n"/>
      <c r="E175" s="1" t="n"/>
      <c r="F175" s="1" t="n"/>
      <c r="G175" s="1" t="n"/>
      <c r="H175" s="1" t="n"/>
      <c r="I175" s="1" t="n"/>
      <c r="J175" s="1" t="n"/>
      <c r="K175" s="1" t="n"/>
      <c r="L175" s="1" t="n"/>
      <c r="M175" s="1" t="n"/>
    </row>
    <row r="176" ht="15" customHeight="1">
      <c r="A176" s="1" t="n"/>
      <c r="B176" s="1" t="n"/>
      <c r="C176" s="1" t="n"/>
      <c r="D176" s="1" t="n"/>
      <c r="E176" s="1" t="n"/>
      <c r="F176" s="1" t="n"/>
      <c r="G176" s="1" t="n"/>
      <c r="H176" s="1" t="n"/>
      <c r="I176" s="1" t="n"/>
      <c r="J176" s="1" t="n"/>
      <c r="K176" s="1" t="n"/>
      <c r="L176" s="1" t="n"/>
      <c r="M176" s="1" t="n"/>
    </row>
    <row r="177" ht="15" customHeight="1">
      <c r="A177" s="1" t="n"/>
      <c r="B177" s="1" t="n"/>
      <c r="C177" s="1" t="n"/>
      <c r="D177" s="1" t="n"/>
      <c r="E177" s="1" t="n"/>
      <c r="F177" s="1" t="n"/>
      <c r="G177" s="1" t="n"/>
      <c r="H177" s="1" t="n"/>
      <c r="I177" s="1" t="n"/>
      <c r="J177" s="1" t="n"/>
      <c r="K177" s="1" t="n"/>
      <c r="L177" s="1" t="n"/>
      <c r="M177" s="1" t="n"/>
    </row>
    <row r="178" ht="15" customHeight="1">
      <c r="A178" s="1" t="n"/>
      <c r="B178" s="1" t="n"/>
      <c r="C178" s="1" t="n"/>
      <c r="D178" s="1" t="n"/>
      <c r="E178" s="1" t="n"/>
      <c r="F178" s="1" t="n"/>
      <c r="G178" s="1" t="n"/>
      <c r="H178" s="1" t="n"/>
      <c r="I178" s="1" t="n"/>
      <c r="J178" s="1" t="n"/>
      <c r="K178" s="1" t="n"/>
      <c r="L178" s="1" t="n"/>
      <c r="M178" s="1" t="n"/>
    </row>
    <row r="179" ht="15" customHeight="1">
      <c r="A179" s="1" t="n"/>
      <c r="B179" s="1" t="n"/>
      <c r="C179" s="1" t="n"/>
      <c r="D179" s="1" t="n"/>
      <c r="E179" s="1" t="n"/>
      <c r="F179" s="1" t="n"/>
      <c r="G179" s="1" t="n"/>
      <c r="H179" s="1" t="n"/>
      <c r="I179" s="1" t="n"/>
      <c r="J179" s="1" t="n"/>
      <c r="K179" s="1" t="n"/>
      <c r="L179" s="1" t="n"/>
      <c r="M179" s="1" t="n"/>
    </row>
    <row r="180" ht="15" customHeight="1">
      <c r="A180" s="1" t="n"/>
      <c r="B180" s="1" t="n"/>
      <c r="C180" s="1" t="n"/>
      <c r="D180" s="1" t="n"/>
      <c r="E180" s="1" t="n"/>
      <c r="F180" s="1" t="n"/>
      <c r="G180" s="1" t="n"/>
      <c r="H180" s="1" t="n"/>
      <c r="I180" s="1" t="n"/>
      <c r="J180" s="1" t="n"/>
      <c r="K180" s="1" t="n"/>
      <c r="L180" s="1" t="n"/>
      <c r="M180" s="1" t="n"/>
    </row>
    <row r="181" ht="15" customHeight="1">
      <c r="A181" s="1" t="n"/>
      <c r="B181" s="1" t="n"/>
      <c r="C181" s="1" t="n"/>
      <c r="D181" s="1" t="n"/>
      <c r="E181" s="1" t="n"/>
      <c r="F181" s="1" t="n"/>
      <c r="G181" s="1" t="n"/>
      <c r="H181" s="1" t="n"/>
      <c r="I181" s="1" t="n"/>
      <c r="J181" s="1" t="n"/>
      <c r="K181" s="1" t="n"/>
      <c r="L181" s="1" t="n"/>
      <c r="M181" s="1" t="n"/>
    </row>
    <row r="182" ht="15" customHeight="1">
      <c r="A182" s="1" t="n"/>
      <c r="B182" s="1" t="n"/>
      <c r="C182" s="1" t="n"/>
      <c r="D182" s="1" t="n"/>
      <c r="E182" s="1" t="n"/>
      <c r="F182" s="1" t="n"/>
      <c r="G182" s="1" t="n"/>
      <c r="H182" s="1" t="n"/>
      <c r="I182" s="1" t="n"/>
      <c r="J182" s="1" t="n"/>
      <c r="K182" s="1" t="n"/>
      <c r="L182" s="1" t="n"/>
      <c r="M182" s="1" t="n"/>
    </row>
    <row r="183" ht="15" customHeight="1">
      <c r="A183" s="1" t="n"/>
      <c r="B183" s="1" t="n"/>
      <c r="C183" s="1" t="n"/>
      <c r="D183" s="1" t="n"/>
      <c r="E183" s="1" t="n"/>
      <c r="F183" s="1" t="n"/>
      <c r="G183" s="1" t="n"/>
      <c r="H183" s="1" t="n"/>
      <c r="I183" s="1" t="n"/>
      <c r="J183" s="1" t="n"/>
      <c r="K183" s="1" t="n"/>
      <c r="L183" s="1" t="n"/>
      <c r="M183" s="1" t="n"/>
    </row>
    <row r="184" ht="15" customHeight="1">
      <c r="A184" s="1" t="n"/>
      <c r="B184" s="1" t="n"/>
      <c r="C184" s="1" t="n"/>
      <c r="D184" s="1" t="n"/>
      <c r="E184" s="1" t="n"/>
      <c r="F184" s="1" t="n"/>
      <c r="G184" s="1" t="n"/>
      <c r="H184" s="1" t="n"/>
      <c r="I184" s="1" t="n"/>
      <c r="J184" s="1" t="n"/>
      <c r="K184" s="1" t="n"/>
      <c r="L184" s="1" t="n"/>
      <c r="M184" s="1" t="n"/>
    </row>
    <row r="185" ht="15" customHeight="1">
      <c r="A185" s="1" t="n"/>
      <c r="B185" s="1" t="n"/>
      <c r="C185" s="1" t="n"/>
      <c r="D185" s="1" t="n"/>
      <c r="E185" s="1" t="n"/>
      <c r="F185" s="1" t="n"/>
      <c r="G185" s="1" t="n"/>
      <c r="H185" s="1" t="n"/>
      <c r="I185" s="1" t="n"/>
      <c r="J185" s="1" t="n"/>
      <c r="K185" s="1" t="n"/>
      <c r="L185" s="1" t="n"/>
      <c r="M185" s="1" t="n"/>
    </row>
    <row r="186" ht="15" customHeight="1">
      <c r="A186" s="1" t="n"/>
      <c r="B186" s="1" t="n"/>
      <c r="C186" s="1" t="n"/>
      <c r="D186" s="1" t="n"/>
      <c r="E186" s="1" t="n"/>
      <c r="F186" s="1" t="n"/>
      <c r="G186" s="1" t="n"/>
      <c r="H186" s="1" t="n"/>
      <c r="I186" s="1" t="n"/>
      <c r="J186" s="1" t="n"/>
      <c r="K186" s="1" t="n"/>
      <c r="L186" s="1" t="n"/>
      <c r="M186" s="1" t="n"/>
    </row>
    <row r="187" ht="15" customHeight="1">
      <c r="A187" s="1" t="n"/>
      <c r="B187" s="1" t="n"/>
      <c r="C187" s="1" t="n"/>
      <c r="D187" s="1" t="n"/>
      <c r="E187" s="1" t="n"/>
      <c r="F187" s="1" t="n"/>
      <c r="G187" s="1" t="n"/>
      <c r="H187" s="1" t="n"/>
      <c r="I187" s="1" t="n"/>
      <c r="J187" s="1" t="n"/>
      <c r="K187" s="1" t="n"/>
      <c r="L187" s="1" t="n"/>
      <c r="M187" s="1" t="n"/>
    </row>
    <row r="188" ht="15" customHeight="1">
      <c r="A188" s="1" t="n"/>
      <c r="B188" s="1" t="n"/>
      <c r="C188" s="1" t="n"/>
      <c r="D188" s="1" t="n"/>
      <c r="E188" s="1" t="n"/>
      <c r="F188" s="1" t="n"/>
      <c r="G188" s="1" t="n"/>
      <c r="H188" s="1" t="n"/>
      <c r="I188" s="1" t="n"/>
      <c r="J188" s="1" t="n"/>
      <c r="K188" s="1" t="n"/>
      <c r="L188" s="1" t="n"/>
      <c r="M188" s="1" t="n"/>
    </row>
    <row r="189" ht="15" customHeight="1">
      <c r="A189" s="1" t="n"/>
      <c r="B189" s="1" t="n"/>
      <c r="C189" s="1" t="n"/>
      <c r="D189" s="1" t="n"/>
      <c r="E189" s="1" t="n"/>
      <c r="F189" s="1" t="n"/>
      <c r="G189" s="1" t="n"/>
      <c r="H189" s="1" t="n"/>
      <c r="I189" s="1" t="n"/>
      <c r="J189" s="1" t="n"/>
      <c r="K189" s="1" t="n"/>
      <c r="L189" s="1" t="n"/>
      <c r="M189" s="1" t="n"/>
    </row>
    <row r="190" ht="15" customHeight="1">
      <c r="A190" s="1" t="n"/>
      <c r="B190" s="1" t="n"/>
      <c r="C190" s="1" t="n"/>
      <c r="D190" s="1" t="n"/>
      <c r="E190" s="1" t="n"/>
      <c r="F190" s="1" t="n"/>
      <c r="G190" s="1" t="n"/>
      <c r="H190" s="1" t="n"/>
      <c r="I190" s="1" t="n"/>
      <c r="J190" s="1" t="n"/>
      <c r="K190" s="1" t="n"/>
      <c r="L190" s="1" t="n"/>
      <c r="M190" s="1" t="n"/>
    </row>
    <row r="191" ht="15" customHeight="1">
      <c r="A191" s="1" t="n"/>
      <c r="B191" s="1" t="n"/>
      <c r="C191" s="1" t="n"/>
      <c r="D191" s="1" t="n"/>
      <c r="E191" s="1" t="n"/>
      <c r="F191" s="1" t="n"/>
      <c r="G191" s="1" t="n"/>
      <c r="H191" s="1" t="n"/>
      <c r="I191" s="1" t="n"/>
      <c r="J191" s="1" t="n"/>
      <c r="K191" s="1" t="n"/>
      <c r="L191" s="1" t="n"/>
      <c r="M191" s="1" t="n"/>
    </row>
    <row r="192" ht="15" customHeight="1">
      <c r="A192" s="1" t="n"/>
      <c r="B192" s="1" t="n"/>
      <c r="C192" s="1" t="n"/>
      <c r="D192" s="1" t="n"/>
      <c r="E192" s="1" t="n"/>
      <c r="F192" s="1" t="n"/>
      <c r="G192" s="1" t="n"/>
      <c r="H192" s="1" t="n"/>
      <c r="I192" s="1" t="n"/>
      <c r="J192" s="1" t="n"/>
      <c r="K192" s="1" t="n"/>
      <c r="L192" s="1" t="n"/>
      <c r="M192" s="1" t="n"/>
    </row>
    <row r="193" ht="15" customHeight="1">
      <c r="A193" s="1" t="n"/>
      <c r="B193" s="1" t="n"/>
      <c r="C193" s="1" t="n"/>
      <c r="D193" s="1" t="n"/>
      <c r="E193" s="1" t="n"/>
      <c r="F193" s="1" t="n"/>
      <c r="G193" s="1" t="n"/>
      <c r="H193" s="1" t="n"/>
      <c r="I193" s="1" t="n"/>
      <c r="J193" s="1" t="n"/>
      <c r="K193" s="1" t="n"/>
      <c r="L193" s="1" t="n"/>
      <c r="M193" s="1" t="n"/>
    </row>
    <row r="194" ht="15" customHeight="1">
      <c r="A194" s="1" t="n"/>
      <c r="B194" s="1" t="n"/>
      <c r="C194" s="1" t="n"/>
      <c r="D194" s="1" t="n"/>
      <c r="E194" s="1" t="n"/>
      <c r="F194" s="1" t="n"/>
      <c r="G194" s="1" t="n"/>
      <c r="H194" s="1" t="n"/>
      <c r="I194" s="1" t="n"/>
      <c r="J194" s="1" t="n"/>
      <c r="K194" s="1" t="n"/>
      <c r="L194" s="1" t="n"/>
      <c r="M194" s="1" t="n"/>
    </row>
    <row r="195" ht="15" customHeight="1">
      <c r="A195" s="1" t="n"/>
      <c r="B195" s="1" t="n"/>
      <c r="C195" s="1" t="n"/>
      <c r="D195" s="1" t="n"/>
      <c r="E195" s="1" t="n"/>
      <c r="F195" s="1" t="n"/>
      <c r="G195" s="1" t="n"/>
      <c r="H195" s="1" t="n"/>
      <c r="I195" s="1" t="n"/>
      <c r="J195" s="1" t="n"/>
      <c r="K195" s="1" t="n"/>
      <c r="L195" s="1" t="n"/>
      <c r="M195" s="1" t="n"/>
    </row>
    <row r="196" ht="15" customHeight="1">
      <c r="A196" s="1" t="n"/>
      <c r="B196" s="1" t="n"/>
      <c r="C196" s="1" t="n"/>
      <c r="D196" s="1" t="n"/>
      <c r="E196" s="1" t="n"/>
      <c r="F196" s="1" t="n"/>
      <c r="G196" s="1" t="n"/>
      <c r="H196" s="1" t="n"/>
      <c r="I196" s="1" t="n"/>
      <c r="J196" s="1" t="n"/>
      <c r="K196" s="1" t="n"/>
      <c r="L196" s="1" t="n"/>
      <c r="M196" s="1" t="n"/>
    </row>
    <row r="197" ht="15" customHeight="1">
      <c r="A197" s="1" t="n"/>
      <c r="B197" s="1" t="n"/>
      <c r="C197" s="1" t="n"/>
      <c r="D197" s="1" t="n"/>
      <c r="E197" s="1" t="n"/>
      <c r="F197" s="1" t="n"/>
      <c r="G197" s="1" t="n"/>
      <c r="H197" s="1" t="n"/>
      <c r="I197" s="1" t="n"/>
      <c r="J197" s="1" t="n"/>
      <c r="K197" s="1" t="n"/>
      <c r="L197" s="1" t="n"/>
      <c r="M197" s="1" t="n"/>
    </row>
    <row r="198" ht="15" customHeight="1">
      <c r="A198" s="1" t="n"/>
      <c r="B198" s="1" t="n"/>
      <c r="C198" s="1" t="n"/>
      <c r="D198" s="1" t="n"/>
      <c r="E198" s="1" t="n"/>
      <c r="F198" s="1" t="n"/>
      <c r="G198" s="1" t="n"/>
      <c r="H198" s="1" t="n"/>
      <c r="I198" s="1" t="n"/>
      <c r="J198" s="1" t="n"/>
      <c r="K198" s="1" t="n"/>
      <c r="L198" s="1" t="n"/>
      <c r="M198" s="1" t="n"/>
    </row>
    <row r="199" ht="15" customHeight="1">
      <c r="A199" s="1" t="n"/>
      <c r="B199" s="1" t="n"/>
      <c r="C199" s="1" t="n"/>
      <c r="D199" s="1" t="n"/>
      <c r="E199" s="1" t="n"/>
      <c r="F199" s="1" t="n"/>
      <c r="G199" s="1" t="n"/>
      <c r="H199" s="1" t="n"/>
      <c r="I199" s="1" t="n"/>
      <c r="J199" s="1" t="n"/>
      <c r="K199" s="1" t="n"/>
      <c r="L199" s="1" t="n"/>
      <c r="M199" s="1" t="n"/>
    </row>
    <row r="200" ht="15" customHeight="1">
      <c r="A200" s="1" t="n"/>
      <c r="B200" s="1" t="n"/>
      <c r="C200" s="1" t="n"/>
      <c r="D200" s="1" t="n"/>
      <c r="E200" s="1" t="n"/>
      <c r="F200" s="1" t="n"/>
      <c r="G200" s="1" t="n"/>
      <c r="H200" s="1" t="n"/>
      <c r="I200" s="1" t="n"/>
      <c r="J200" s="1" t="n"/>
      <c r="K200" s="1" t="n"/>
      <c r="L200" s="1" t="n"/>
      <c r="M200" s="1" t="n"/>
    </row>
  </sheetData>
  <mergeCells count="3">
    <mergeCell ref="A1:J1"/>
    <mergeCell ref="A14:J14"/>
    <mergeCell ref="A2:J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200"/>
  <sheetViews>
    <sheetView zoomScaleNormal="100" workbookViewId="0">
      <selection activeCell="A4" sqref="A4:K20"/>
    </sheetView>
  </sheetViews>
  <sheetFormatPr baseColWidth="10" defaultColWidth="8.83203125" defaultRowHeight="14"/>
  <cols>
    <col width="27" customWidth="1" min="1" max="1"/>
    <col width="18" customWidth="1" min="2" max="2"/>
    <col width="37" customWidth="1" min="3" max="3"/>
    <col width="38" customWidth="1" min="4" max="4"/>
    <col width="16" customWidth="1" min="5" max="5"/>
    <col width="48" customWidth="1" min="6" max="6"/>
    <col width="38" customWidth="1" min="7" max="7"/>
    <col width="20" customWidth="1" min="8" max="8"/>
    <col width="22" customWidth="1" min="9" max="9"/>
    <col width="16" customWidth="1" min="10" max="10"/>
    <col width="30" customWidth="1" min="11" max="11"/>
  </cols>
  <sheetData>
    <row r="1" ht="42.75" customHeight="1">
      <c r="A1" s="16" t="inlineStr">
        <is>
          <t>Competitor Baseline and Market Overlap</t>
        </is>
      </c>
      <c r="L1" s="1" t="n"/>
      <c r="M1" s="1" t="n"/>
    </row>
    <row r="2" ht="40" customHeight="1">
      <c r="A2" s="17" t="inlineStr">
        <is>
          <t>Consolidates the common structure observed across turnover, attrition, cost-per-hire, ROI, knowledge-loss, and organizational-amnesia calculators reviewed.</t>
        </is>
      </c>
      <c r="L2" s="1" t="n"/>
      <c r="M2" s="1" t="n"/>
    </row>
    <row r="3" ht="15" customHeight="1">
      <c r="A3" s="1" t="n"/>
      <c r="B3" s="1" t="n"/>
      <c r="C3" s="1" t="n"/>
      <c r="D3" s="1" t="n"/>
      <c r="E3" s="1" t="n"/>
      <c r="F3" s="1" t="n"/>
      <c r="G3" s="1" t="n"/>
      <c r="H3" s="1" t="n"/>
      <c r="I3" s="1" t="n"/>
      <c r="J3" s="1" t="n"/>
      <c r="K3" s="1" t="n"/>
      <c r="L3" s="1" t="n"/>
      <c r="M3" s="1" t="n"/>
    </row>
    <row r="4" ht="60" customHeight="1">
      <c r="A4" s="19" t="inlineStr">
        <is>
          <t>Cost / Input Area</t>
        </is>
      </c>
      <c r="B4" s="19" t="inlineStr">
        <is>
          <t>Common in Existing Tools?</t>
        </is>
      </c>
      <c r="C4" s="19" t="inlineStr">
        <is>
          <t>Typical User Question</t>
        </is>
      </c>
      <c r="D4" s="19" t="inlineStr">
        <is>
          <t>Typical Formula / Treatment</t>
        </is>
      </c>
      <c r="E4" s="19" t="inlineStr">
        <is>
          <t>Keep in Jaspen Utility?</t>
        </is>
      </c>
      <c r="F4" s="19" t="inlineStr">
        <is>
          <t>Jaspen Enhancement</t>
        </is>
      </c>
      <c r="G4" s="19" t="inlineStr">
        <is>
          <t>Risk / Note</t>
        </is>
      </c>
      <c r="H4" s="19" t="inlineStr">
        <is>
          <t>Source Type</t>
        </is>
      </c>
      <c r="I4" s="19" t="inlineStr">
        <is>
          <t>Validation Status</t>
        </is>
      </c>
      <c r="J4" s="19" t="inlineStr">
        <is>
          <t>Priority</t>
        </is>
      </c>
      <c r="K4" s="19" t="inlineStr">
        <is>
          <t>Owner Note</t>
        </is>
      </c>
      <c r="L4" s="1" t="n"/>
      <c r="M4" s="1" t="n"/>
    </row>
    <row r="5" ht="40" customHeight="1">
      <c r="A5" s="20" t="inlineStr">
        <is>
          <t>Annual salary / compensation</t>
        </is>
      </c>
      <c r="B5" s="20" t="inlineStr">
        <is>
          <t>Yes - nearly universal</t>
        </is>
      </c>
      <c r="C5" s="20" t="inlineStr">
        <is>
          <t>What is the annual salary for this role?</t>
        </is>
      </c>
      <c r="D5" s="20" t="inlineStr">
        <is>
          <t>Base compensation used to derive daily/hourly cost</t>
        </is>
      </c>
      <c r="E5" s="20" t="inlineStr">
        <is>
          <t>Yes</t>
        </is>
      </c>
      <c r="F5" s="20" t="inlineStr">
        <is>
          <t>Pre-fill from BLS occupation/role benchmark; user can overwrite</t>
        </is>
      </c>
      <c r="G5" s="20" t="inlineStr">
        <is>
          <t>Salary alone understates employer cost</t>
        </is>
      </c>
      <c r="H5" s="20" t="inlineStr">
        <is>
          <t>Existing calculators + BLS</t>
        </is>
      </c>
      <c r="I5" s="20" t="inlineStr">
        <is>
          <t>Grounded</t>
        </is>
      </c>
      <c r="J5" s="20" t="inlineStr">
        <is>
          <t>Must have</t>
        </is>
      </c>
      <c r="K5" s="20" t="n"/>
      <c r="L5" s="1" t="n"/>
      <c r="M5" s="1" t="n"/>
    </row>
    <row r="6" ht="40" customHeight="1">
      <c r="A6" s="20" t="inlineStr">
        <is>
          <t>Fully loaded compensation</t>
        </is>
      </c>
      <c r="B6" s="20" t="inlineStr">
        <is>
          <t>Sometimes</t>
        </is>
      </c>
      <c r="C6" s="20" t="inlineStr">
        <is>
          <t>What does this employee cost after benefits and employer costs?</t>
        </is>
      </c>
      <c r="D6" s="20" t="inlineStr">
        <is>
          <t>Salary ÷ wage share of total compensation</t>
        </is>
      </c>
      <c r="E6" s="20" t="inlineStr">
        <is>
          <t>Yes</t>
        </is>
      </c>
      <c r="F6" s="20" t="inlineStr">
        <is>
          <t>Use BLS ECEC wage/benefit split; show multiplier</t>
        </is>
      </c>
      <c r="G6" s="20" t="inlineStr">
        <is>
          <t>Do not double-count direct recruiting costs</t>
        </is>
      </c>
      <c r="H6" s="20" t="inlineStr">
        <is>
          <t>BLS ECEC</t>
        </is>
      </c>
      <c r="I6" s="20" t="inlineStr">
        <is>
          <t>Grounded</t>
        </is>
      </c>
      <c r="J6" s="20" t="inlineStr">
        <is>
          <t>Must have</t>
        </is>
      </c>
      <c r="K6" s="20" t="n"/>
      <c r="L6" s="1" t="n"/>
      <c r="M6" s="1" t="n"/>
    </row>
    <row r="7" ht="40" customHeight="1">
      <c r="A7" s="20" t="inlineStr">
        <is>
          <t>Number of departures / turnover</t>
        </is>
      </c>
      <c r="B7" s="20" t="inlineStr">
        <is>
          <t>Yes</t>
        </is>
      </c>
      <c r="C7" s="20" t="inlineStr">
        <is>
          <t>How many people in this role leave each year?</t>
        </is>
      </c>
      <c r="D7" s="20" t="inlineStr">
        <is>
          <t>Headcount × annual turnover rate or direct departures</t>
        </is>
      </c>
      <c r="E7" s="20" t="inlineStr">
        <is>
          <t>Yes</t>
        </is>
      </c>
      <c r="F7" s="20" t="inlineStr">
        <is>
          <t>Allow direct number or benchmark turnover rate</t>
        </is>
      </c>
      <c r="G7" s="20" t="inlineStr">
        <is>
          <t>Quits rate is not identical to all turnover</t>
        </is>
      </c>
      <c r="H7" s="20" t="inlineStr">
        <is>
          <t>BLS JOLTS</t>
        </is>
      </c>
      <c r="I7" s="20" t="inlineStr">
        <is>
          <t>Grounded with caveat</t>
        </is>
      </c>
      <c r="J7" s="20" t="inlineStr">
        <is>
          <t>Must have</t>
        </is>
      </c>
      <c r="K7" s="20" t="n"/>
      <c r="L7" s="1" t="n"/>
      <c r="M7" s="1" t="n"/>
    </row>
    <row r="8" ht="40" customHeight="1">
      <c r="A8" s="20" t="inlineStr">
        <is>
          <t>Recruiting / sourcing</t>
        </is>
      </c>
      <c r="B8" s="20" t="inlineStr">
        <is>
          <t>Yes</t>
        </is>
      </c>
      <c r="C8" s="20" t="inlineStr">
        <is>
          <t>What do you spend to recruit one replacement?</t>
        </is>
      </c>
      <c r="D8" s="20" t="inlineStr">
        <is>
          <t>Cost per hire × departures</t>
        </is>
      </c>
      <c r="E8" s="20" t="inlineStr">
        <is>
          <t>Yes</t>
        </is>
      </c>
      <c r="F8" s="20" t="inlineStr">
        <is>
          <t>Default by executive vs nonexecutive level</t>
        </is>
      </c>
      <c r="G8" s="20" t="inlineStr">
        <is>
          <t>SHRM cost-per-hire includes mixed cost definitions</t>
        </is>
      </c>
      <c r="H8" s="20" t="inlineStr">
        <is>
          <t>SHRM</t>
        </is>
      </c>
      <c r="I8" s="20" t="inlineStr">
        <is>
          <t>Grounded</t>
        </is>
      </c>
      <c r="J8" s="20" t="inlineStr">
        <is>
          <t>Must have</t>
        </is>
      </c>
      <c r="K8" s="20" t="n"/>
      <c r="L8" s="1" t="n"/>
      <c r="M8" s="1" t="n"/>
    </row>
    <row r="9" ht="60" customHeight="1">
      <c r="A9" s="20" t="inlineStr">
        <is>
          <t>Interview / hiring administration</t>
        </is>
      </c>
      <c r="B9" s="20" t="inlineStr">
        <is>
          <t>Often</t>
        </is>
      </c>
      <c r="C9" s="20" t="inlineStr">
        <is>
          <t>How many employee hours are spent interviewing and processing a hire?</t>
        </is>
      </c>
      <c r="D9" s="20" t="inlineStr">
        <is>
          <t>Internal hours × blended labor rate</t>
        </is>
      </c>
      <c r="E9" s="20" t="inlineStr">
        <is>
          <t>Yes, but optional</t>
        </is>
      </c>
      <c r="F9" s="20" t="inlineStr">
        <is>
          <t>Keep visible as part of hiring cost; avoid long questionnaire</t>
        </is>
      </c>
      <c r="G9" s="20" t="inlineStr">
        <is>
          <t>May already be embedded in SHRM cost-per-hire</t>
        </is>
      </c>
      <c r="H9" s="20" t="inlineStr">
        <is>
          <t>Existing tools</t>
        </is>
      </c>
      <c r="I9" s="20" t="inlineStr">
        <is>
          <t>Needs double-count test</t>
        </is>
      </c>
      <c r="J9" s="20" t="inlineStr">
        <is>
          <t>Should have</t>
        </is>
      </c>
      <c r="K9" s="20" t="n"/>
      <c r="L9" s="1" t="n"/>
      <c r="M9" s="1" t="n"/>
    </row>
    <row r="10" ht="40" customHeight="1">
      <c r="A10" s="20" t="inlineStr">
        <is>
          <t>Time to fill / vacancy</t>
        </is>
      </c>
      <c r="B10" s="20" t="inlineStr">
        <is>
          <t>Yes</t>
        </is>
      </c>
      <c r="C10" s="20" t="inlineStr">
        <is>
          <t>How long is the role typically vacant?</t>
        </is>
      </c>
      <c r="D10" s="20" t="inlineStr">
        <is>
          <t>Vacancy days × productive-capacity value</t>
        </is>
      </c>
      <c r="E10" s="20" t="inlineStr">
        <is>
          <t>Yes</t>
        </is>
      </c>
      <c r="F10" s="20" t="inlineStr">
        <is>
          <t>Pre-fill by role level; user edits</t>
        </is>
      </c>
      <c r="G10" s="20" t="inlineStr">
        <is>
          <t>Lost capacity is not necessarily 100% of compensation</t>
        </is>
      </c>
      <c r="H10" s="20" t="inlineStr">
        <is>
          <t>SHRM</t>
        </is>
      </c>
      <c r="I10" s="20" t="inlineStr">
        <is>
          <t>Grounded + model choice</t>
        </is>
      </c>
      <c r="J10" s="20" t="inlineStr">
        <is>
          <t>Must have</t>
        </is>
      </c>
      <c r="K10" s="20" t="n"/>
      <c r="L10" s="1" t="n"/>
      <c r="M10" s="1" t="n"/>
    </row>
    <row r="11" ht="60" customHeight="1">
      <c r="A11" s="20" t="inlineStr">
        <is>
          <t>Vacancy coverage</t>
        </is>
      </c>
      <c r="B11" s="20" t="inlineStr">
        <is>
          <t>Sometimes</t>
        </is>
      </c>
      <c r="C11" s="20" t="inlineStr">
        <is>
          <t>How much of the work is absorbed by others, deferred, or lost?</t>
        </is>
      </c>
      <c r="D11" s="20" t="inlineStr">
        <is>
          <t>Vacancy cost × uncovered-work percentage</t>
        </is>
      </c>
      <c r="E11" s="20" t="inlineStr">
        <is>
          <t>Yes</t>
        </is>
      </c>
      <c r="F11" s="20" t="inlineStr">
        <is>
          <t>Use one simple coverage slider or dropdown</t>
        </is>
      </c>
      <c r="G11" s="20" t="inlineStr">
        <is>
          <t>Prevents assuming all salary equals lost value</t>
        </is>
      </c>
      <c r="H11" s="20" t="inlineStr">
        <is>
          <t>Model design</t>
        </is>
      </c>
      <c r="I11" s="20" t="inlineStr">
        <is>
          <t>Needs validation</t>
        </is>
      </c>
      <c r="J11" s="20" t="inlineStr">
        <is>
          <t>Must have</t>
        </is>
      </c>
      <c r="K11" s="20" t="n"/>
      <c r="L11" s="1" t="n"/>
      <c r="M11" s="1" t="n"/>
    </row>
    <row r="12" ht="40" customHeight="1">
      <c r="A12" s="20" t="inlineStr">
        <is>
          <t>Onboarding / training</t>
        </is>
      </c>
      <c r="B12" s="20" t="inlineStr">
        <is>
          <t>Yes</t>
        </is>
      </c>
      <c r="C12" s="20" t="inlineStr">
        <is>
          <t>What direct training and onboarding spend is required?</t>
        </is>
      </c>
      <c r="D12" s="20" t="inlineStr">
        <is>
          <t>Direct cost × departures</t>
        </is>
      </c>
      <c r="E12" s="20" t="inlineStr">
        <is>
          <t>Yes</t>
        </is>
      </c>
      <c r="F12" s="20" t="inlineStr">
        <is>
          <t>Benchmark default plus edit</t>
        </is>
      </c>
      <c r="G12" s="20" t="inlineStr">
        <is>
          <t>Separate cash spend from labor time</t>
        </is>
      </c>
      <c r="H12" s="20" t="inlineStr">
        <is>
          <t>Existing tools</t>
        </is>
      </c>
      <c r="I12" s="20" t="inlineStr">
        <is>
          <t>Needs source</t>
        </is>
      </c>
      <c r="J12" s="20" t="inlineStr">
        <is>
          <t>Should have</t>
        </is>
      </c>
      <c r="K12" s="20" t="n"/>
      <c r="L12" s="1" t="n"/>
      <c r="M12" s="1" t="n"/>
    </row>
    <row r="13" ht="60" customHeight="1">
      <c r="A13" s="20" t="inlineStr">
        <is>
          <t>Ramp-up productivity</t>
        </is>
      </c>
      <c r="B13" s="20" t="inlineStr">
        <is>
          <t>Yes</t>
        </is>
      </c>
      <c r="C13" s="20" t="inlineStr">
        <is>
          <t>How long until a replacement is performing at the expected level?</t>
        </is>
      </c>
      <c r="D13" s="20" t="inlineStr">
        <is>
          <t>Ramp period × average productivity gap × loaded labor cost</t>
        </is>
      </c>
      <c r="E13" s="20" t="inlineStr">
        <is>
          <t>Yes</t>
        </is>
      </c>
      <c r="F13" s="20" t="inlineStr">
        <is>
          <t>Editable benchmark; no claim that one ramp period fits all jobs</t>
        </is>
      </c>
      <c r="G13" s="20" t="inlineStr">
        <is>
          <t>Benchmark may vary more by occupation and complexity than industry</t>
        </is>
      </c>
      <c r="H13" s="20" t="inlineStr">
        <is>
          <t>Existing tools + research</t>
        </is>
      </c>
      <c r="I13" s="20" t="inlineStr">
        <is>
          <t>Needs calibrated benchmark</t>
        </is>
      </c>
      <c r="J13" s="20" t="inlineStr">
        <is>
          <t>Must have</t>
        </is>
      </c>
      <c r="K13" s="20" t="n"/>
      <c r="L13" s="1" t="n"/>
      <c r="M13" s="1" t="n"/>
    </row>
    <row r="14" ht="60" customHeight="1">
      <c r="A14" s="20" t="inlineStr">
        <is>
          <t>Knowledge transfer</t>
        </is>
      </c>
      <c r="B14" s="20" t="inlineStr">
        <is>
          <t>Some</t>
        </is>
      </c>
      <c r="C14" s="20" t="inlineStr">
        <is>
          <t>How much time do departing and receiving employees spend transferring knowledge?</t>
        </is>
      </c>
      <c r="D14" s="20" t="inlineStr">
        <is>
          <t>Transfer hours × combined loaded hourly rates</t>
        </is>
      </c>
      <c r="E14" s="20" t="inlineStr">
        <is>
          <t>Yes</t>
        </is>
      </c>
      <c r="F14" s="20" t="inlineStr">
        <is>
          <t>Add structured handoff time, overlap, and internal recipient time</t>
        </is>
      </c>
      <c r="G14" s="20" t="inlineStr">
        <is>
          <t>Only available when departure is planned</t>
        </is>
      </c>
      <c r="H14" s="20" t="inlineStr">
        <is>
          <t>Knowledge-loss tools</t>
        </is>
      </c>
      <c r="I14" s="20" t="inlineStr">
        <is>
          <t>Needs benchmark</t>
        </is>
      </c>
      <c r="J14" s="20" t="inlineStr">
        <is>
          <t>Differentiator</t>
        </is>
      </c>
      <c r="K14" s="20" t="n"/>
      <c r="L14" s="1" t="n"/>
      <c r="M14" s="1" t="n"/>
    </row>
    <row r="15" ht="60" customHeight="1">
      <c r="A15" s="20" t="inlineStr">
        <is>
          <t>Context rediscovery</t>
        </is>
      </c>
      <c r="B15" s="20" t="inlineStr">
        <is>
          <t>Rare</t>
        </is>
      </c>
      <c r="C15" s="20" t="inlineStr">
        <is>
          <t>How long will a replacement spend rebuilding historical context that was not transferred?</t>
        </is>
      </c>
      <c r="D15" s="20" t="inlineStr">
        <is>
          <t>Rediscovery hours × replacement loaded hourly rate</t>
        </is>
      </c>
      <c r="E15" s="20" t="inlineStr">
        <is>
          <t>Yes</t>
        </is>
      </c>
      <c r="F15" s="20" t="inlineStr">
        <is>
          <t>Explicitly include why processes exist, prior tradeoffs, vendor/customer history, past project context</t>
        </is>
      </c>
      <c r="G15" s="20" t="inlineStr">
        <is>
          <t>Must distinguish from ordinary ramp-up</t>
        </is>
      </c>
      <c r="H15" s="20" t="inlineStr">
        <is>
          <t>Jaspen enhancement</t>
        </is>
      </c>
      <c r="I15" s="20" t="inlineStr">
        <is>
          <t>Methodology proposed</t>
        </is>
      </c>
      <c r="J15" s="20" t="inlineStr">
        <is>
          <t>Differentiator</t>
        </is>
      </c>
      <c r="K15" s="20" t="n"/>
      <c r="L15" s="1" t="n"/>
      <c r="M15" s="1" t="n"/>
    </row>
    <row r="16" ht="60" customHeight="1">
      <c r="A16" s="20" t="inlineStr">
        <is>
          <t>Institutional-memory reconstruction</t>
        </is>
      </c>
      <c r="B16" s="20" t="inlineStr">
        <is>
          <t>Rare</t>
        </is>
      </c>
      <c r="C16" s="20" t="inlineStr">
        <is>
          <t>How much coworker time will be spent recreating missing documents, lessons, or history?</t>
        </is>
      </c>
      <c r="D16" s="20" t="inlineStr">
        <is>
          <t>Internal support hours × blended loaded hourly rate</t>
        </is>
      </c>
      <c r="E16" s="20" t="inlineStr">
        <is>
          <t>Yes</t>
        </is>
      </c>
      <c r="F16" s="20" t="inlineStr">
        <is>
          <t>Calculate time paid twice to recreate knowledge the organization previously held</t>
        </is>
      </c>
      <c r="G16" s="20" t="inlineStr">
        <is>
          <t>Potential overlap with rediscovery and project disruption</t>
        </is>
      </c>
      <c r="H16" s="20" t="inlineStr">
        <is>
          <t>Jaspen enhancement</t>
        </is>
      </c>
      <c r="I16" s="20" t="inlineStr">
        <is>
          <t>Methodology proposed</t>
        </is>
      </c>
      <c r="J16" s="20" t="inlineStr">
        <is>
          <t>Differentiator</t>
        </is>
      </c>
      <c r="K16" s="20" t="n"/>
      <c r="L16" s="1" t="n"/>
      <c r="M16" s="1" t="n"/>
    </row>
    <row r="17" ht="80" customHeight="1">
      <c r="A17" s="20" t="inlineStr">
        <is>
          <t>Project disruption</t>
        </is>
      </c>
      <c r="B17" s="20" t="inlineStr">
        <is>
          <t>Some</t>
        </is>
      </c>
      <c r="C17" s="20" t="inlineStr">
        <is>
          <t>How many active initiatives depend on this role and how much additional effort or delay follows?</t>
        </is>
      </c>
      <c r="D17" s="20" t="inlineStr">
        <is>
          <t>Affected projects × added team hours × blended rate; optional delay cost</t>
        </is>
      </c>
      <c r="E17" s="20" t="inlineStr">
        <is>
          <t>Yes, optional module</t>
        </is>
      </c>
      <c r="F17" s="20" t="inlineStr">
        <is>
          <t>Use labor-based impact in v1; avoid speculative project-value prediction</t>
        </is>
      </c>
      <c r="G17" s="20" t="inlineStr">
        <is>
          <t>Needs strict double-counting rule</t>
        </is>
      </c>
      <c r="H17" s="20" t="inlineStr">
        <is>
          <t>Knowledge-loss tools</t>
        </is>
      </c>
      <c r="I17" s="20" t="inlineStr">
        <is>
          <t>Needs validation</t>
        </is>
      </c>
      <c r="J17" s="20" t="inlineStr">
        <is>
          <t>Differentiator</t>
        </is>
      </c>
      <c r="K17" s="20" t="n"/>
      <c r="L17" s="1" t="n"/>
      <c r="M17" s="1" t="n"/>
    </row>
    <row r="18" ht="60" customHeight="1">
      <c r="A18" s="20" t="inlineStr">
        <is>
          <t>Customer / supplier relationship loss</t>
        </is>
      </c>
      <c r="B18" s="20" t="inlineStr">
        <is>
          <t>Occasional</t>
        </is>
      </c>
      <c r="C18" s="20" t="inlineStr">
        <is>
          <t>Does this role own relationships that may be lost or disrupted?</t>
        </is>
      </c>
      <c r="D18" s="20" t="inlineStr">
        <is>
          <t>At-risk relationships × replacement/acquisition/recovery cost</t>
        </is>
      </c>
      <c r="E18" s="20" t="inlineStr">
        <is>
          <t>Optional</t>
        </is>
      </c>
      <c r="F18" s="20" t="inlineStr">
        <is>
          <t>Include only when user can supply customer/supplier economics</t>
        </is>
      </c>
      <c r="G18" s="20" t="inlineStr">
        <is>
          <t>CAC × churn is not universally correct; requires a scenario-specific model</t>
        </is>
      </c>
      <c r="H18" s="20" t="inlineStr">
        <is>
          <t>Turnover calculators</t>
        </is>
      </c>
      <c r="I18" s="20" t="inlineStr">
        <is>
          <t>Needs careful scoping</t>
        </is>
      </c>
      <c r="J18" s="20" t="inlineStr">
        <is>
          <t>Optional</t>
        </is>
      </c>
      <c r="K18" s="20" t="n"/>
      <c r="L18" s="1" t="n"/>
      <c r="M18" s="1" t="n"/>
    </row>
    <row r="19" ht="40" customHeight="1">
      <c r="A19" s="20" t="inlineStr">
        <is>
          <t>Total cost</t>
        </is>
      </c>
      <c r="B19" s="20" t="inlineStr">
        <is>
          <t>Yes</t>
        </is>
      </c>
      <c r="C19" s="20" t="inlineStr">
        <is>
          <t>What is the estimated cost of losing this role?</t>
        </is>
      </c>
      <c r="D19" s="20" t="inlineStr">
        <is>
          <t>Sum of non-overlapping cost components</t>
        </is>
      </c>
      <c r="E19" s="20" t="inlineStr">
        <is>
          <t>Yes</t>
        </is>
      </c>
      <c r="F19" s="20" t="inlineStr">
        <is>
          <t>Show standard turnover subtotal plus added knowledge/context subtotal</t>
        </is>
      </c>
      <c r="G19" s="20" t="inlineStr">
        <is>
          <t>Never add overlapping subtotals twice</t>
        </is>
      </c>
      <c r="H19" s="20" t="inlineStr">
        <is>
          <t>All</t>
        </is>
      </c>
      <c r="I19" s="20" t="inlineStr">
        <is>
          <t>Core design</t>
        </is>
      </c>
      <c r="J19" s="20" t="inlineStr">
        <is>
          <t>Must have</t>
        </is>
      </c>
      <c r="K19" s="20" t="n"/>
      <c r="L19" s="1" t="n"/>
      <c r="M19" s="1" t="n"/>
    </row>
    <row r="20" ht="40" customHeight="1">
      <c r="A20" s="20" t="inlineStr">
        <is>
          <t>Benchmark vs customized makeup</t>
        </is>
      </c>
      <c r="B20" s="20" t="inlineStr">
        <is>
          <t>Rare</t>
        </is>
      </c>
      <c r="C20" s="20" t="inlineStr">
        <is>
          <t>How much of this result used my data versus defaults?</t>
        </is>
      </c>
      <c r="D20" s="20" t="inlineStr">
        <is>
          <t>Weighted percentage by modeled cost contribution</t>
        </is>
      </c>
      <c r="E20" s="20" t="inlineStr">
        <is>
          <t>Yes</t>
        </is>
      </c>
      <c r="F20" s="20" t="inlineStr">
        <is>
          <t>Built Using: X% published benchmarks / Y% organization inputs</t>
        </is>
      </c>
      <c r="G20" s="20" t="inlineStr">
        <is>
          <t>Composition is not accuracy or confidence</t>
        </is>
      </c>
      <c r="H20" s="20" t="inlineStr">
        <is>
          <t>Jaspen enhancement</t>
        </is>
      </c>
      <c r="I20" s="20" t="inlineStr">
        <is>
          <t>Methodology proposed</t>
        </is>
      </c>
      <c r="J20" s="20" t="inlineStr">
        <is>
          <t>Differentiator</t>
        </is>
      </c>
      <c r="K20" s="20" t="n"/>
      <c r="L20" s="1" t="n"/>
      <c r="M20" s="1" t="n"/>
    </row>
    <row r="21" ht="15" customHeight="1">
      <c r="A21" s="1" t="n"/>
      <c r="B21" s="1" t="n"/>
      <c r="C21" s="1" t="n"/>
      <c r="D21" s="1" t="n"/>
      <c r="E21" s="1" t="n"/>
      <c r="F21" s="1" t="n"/>
      <c r="G21" s="1" t="n"/>
      <c r="H21" s="1" t="n"/>
      <c r="I21" s="1" t="n"/>
      <c r="J21" s="1" t="n"/>
      <c r="K21" s="1" t="n"/>
      <c r="L21" s="1" t="n"/>
      <c r="M21" s="1" t="n"/>
    </row>
    <row r="22" ht="15" customHeight="1">
      <c r="A22" s="1" t="n"/>
      <c r="B22" s="1" t="n"/>
      <c r="C22" s="1" t="n"/>
      <c r="D22" s="1" t="n"/>
      <c r="E22" s="1" t="n"/>
      <c r="F22" s="1" t="n"/>
      <c r="G22" s="1" t="n"/>
      <c r="H22" s="1" t="n"/>
      <c r="I22" s="1" t="n"/>
      <c r="J22" s="1" t="n"/>
      <c r="K22" s="1" t="n"/>
      <c r="L22" s="1" t="n"/>
      <c r="M22" s="1" t="n"/>
    </row>
    <row r="23" ht="15" customHeight="1">
      <c r="A23" s="1" t="n"/>
      <c r="B23" s="1" t="n"/>
      <c r="C23" s="1" t="n"/>
      <c r="D23" s="1" t="n"/>
      <c r="E23" s="1" t="n"/>
      <c r="F23" s="1" t="n"/>
      <c r="G23" s="1" t="n"/>
      <c r="H23" s="1" t="n"/>
      <c r="I23" s="1" t="n"/>
      <c r="J23" s="1" t="n"/>
      <c r="K23" s="1" t="n"/>
      <c r="L23" s="1" t="n"/>
      <c r="M23" s="1" t="n"/>
    </row>
    <row r="24" ht="15" customHeight="1">
      <c r="A24" s="1" t="n"/>
      <c r="B24" s="1" t="n"/>
      <c r="C24" s="1" t="n"/>
      <c r="D24" s="1" t="n"/>
      <c r="E24" s="1" t="n"/>
      <c r="F24" s="1" t="n"/>
      <c r="G24" s="1" t="n"/>
      <c r="H24" s="1" t="n"/>
      <c r="I24" s="1" t="n"/>
      <c r="J24" s="1" t="n"/>
      <c r="K24" s="1" t="n"/>
      <c r="L24" s="1" t="n"/>
      <c r="M24" s="1" t="n"/>
    </row>
    <row r="25" ht="15" customHeight="1">
      <c r="A25" s="1" t="n"/>
      <c r="B25" s="1" t="n"/>
      <c r="C25" s="1" t="n"/>
      <c r="D25" s="1" t="n"/>
      <c r="E25" s="1" t="n"/>
      <c r="F25" s="1" t="n"/>
      <c r="G25" s="1" t="n"/>
      <c r="H25" s="1" t="n"/>
      <c r="I25" s="1" t="n"/>
      <c r="J25" s="1" t="n"/>
      <c r="K25" s="1" t="n"/>
      <c r="L25" s="1" t="n"/>
      <c r="M25" s="1" t="n"/>
    </row>
    <row r="26" ht="15" customHeight="1">
      <c r="A26" s="1" t="n"/>
      <c r="B26" s="1" t="n"/>
      <c r="C26" s="1" t="n"/>
      <c r="D26" s="1" t="n"/>
      <c r="E26" s="1" t="n"/>
      <c r="F26" s="1" t="n"/>
      <c r="G26" s="1" t="n"/>
      <c r="H26" s="1" t="n"/>
      <c r="I26" s="1" t="n"/>
      <c r="J26" s="1" t="n"/>
      <c r="K26" s="1" t="n"/>
      <c r="L26" s="1" t="n"/>
      <c r="M26" s="1" t="n"/>
    </row>
    <row r="27" ht="15" customHeight="1">
      <c r="A27" s="1" t="n"/>
      <c r="B27" s="1" t="n"/>
      <c r="C27" s="1" t="n"/>
      <c r="D27" s="1" t="n"/>
      <c r="E27" s="1" t="n"/>
      <c r="F27" s="1" t="n"/>
      <c r="G27" s="1" t="n"/>
      <c r="H27" s="1" t="n"/>
      <c r="I27" s="1" t="n"/>
      <c r="J27" s="1" t="n"/>
      <c r="K27" s="1" t="n"/>
      <c r="L27" s="1" t="n"/>
      <c r="M27" s="1" t="n"/>
    </row>
    <row r="28" ht="15" customHeight="1">
      <c r="A28" s="1" t="n"/>
      <c r="B28" s="1" t="n"/>
      <c r="C28" s="1" t="n"/>
      <c r="D28" s="1" t="n"/>
      <c r="E28" s="1" t="n"/>
      <c r="F28" s="1" t="n"/>
      <c r="G28" s="1" t="n"/>
      <c r="H28" s="1" t="n"/>
      <c r="I28" s="1" t="n"/>
      <c r="J28" s="1" t="n"/>
      <c r="K28" s="1" t="n"/>
      <c r="L28" s="1" t="n"/>
      <c r="M28" s="1" t="n"/>
    </row>
    <row r="29" ht="15" customHeight="1">
      <c r="A29" s="1" t="n"/>
      <c r="B29" s="1" t="n"/>
      <c r="C29" s="1" t="n"/>
      <c r="D29" s="1" t="n"/>
      <c r="E29" s="1" t="n"/>
      <c r="F29" s="1" t="n"/>
      <c r="G29" s="1" t="n"/>
      <c r="H29" s="1" t="n"/>
      <c r="I29" s="1" t="n"/>
      <c r="J29" s="1" t="n"/>
      <c r="K29" s="1" t="n"/>
      <c r="L29" s="1" t="n"/>
      <c r="M29" s="1" t="n"/>
    </row>
    <row r="30" ht="15" customHeight="1">
      <c r="A30" s="1" t="n"/>
      <c r="B30" s="1" t="n"/>
      <c r="C30" s="1" t="n"/>
      <c r="D30" s="1" t="n"/>
      <c r="E30" s="1" t="n"/>
      <c r="F30" s="1" t="n"/>
      <c r="G30" s="1" t="n"/>
      <c r="H30" s="1" t="n"/>
      <c r="I30" s="1" t="n"/>
      <c r="J30" s="1" t="n"/>
      <c r="K30" s="1" t="n"/>
      <c r="L30" s="1" t="n"/>
      <c r="M30" s="1" t="n"/>
    </row>
    <row r="31" ht="15" customHeight="1">
      <c r="A31" s="1" t="n"/>
      <c r="B31" s="1" t="n"/>
      <c r="C31" s="1" t="n"/>
      <c r="D31" s="1" t="n"/>
      <c r="E31" s="1" t="n"/>
      <c r="F31" s="1" t="n"/>
      <c r="G31" s="1" t="n"/>
      <c r="H31" s="1" t="n"/>
      <c r="I31" s="1" t="n"/>
      <c r="J31" s="1" t="n"/>
      <c r="K31" s="1" t="n"/>
      <c r="L31" s="1" t="n"/>
      <c r="M31" s="1" t="n"/>
    </row>
    <row r="32" ht="15" customHeight="1">
      <c r="A32" s="1" t="n"/>
      <c r="B32" s="1" t="n"/>
      <c r="C32" s="1" t="n"/>
      <c r="D32" s="1" t="n"/>
      <c r="E32" s="1" t="n"/>
      <c r="F32" s="1" t="n"/>
      <c r="G32" s="1" t="n"/>
      <c r="H32" s="1" t="n"/>
      <c r="I32" s="1" t="n"/>
      <c r="J32" s="1" t="n"/>
      <c r="K32" s="1" t="n"/>
      <c r="L32" s="1" t="n"/>
      <c r="M32" s="1" t="n"/>
    </row>
    <row r="33" ht="15" customHeight="1">
      <c r="A33" s="1" t="n"/>
      <c r="B33" s="1" t="n"/>
      <c r="C33" s="1" t="n"/>
      <c r="D33" s="1" t="n"/>
      <c r="E33" s="1" t="n"/>
      <c r="F33" s="1" t="n"/>
      <c r="G33" s="1" t="n"/>
      <c r="H33" s="1" t="n"/>
      <c r="I33" s="1" t="n"/>
      <c r="J33" s="1" t="n"/>
      <c r="K33" s="1" t="n"/>
      <c r="L33" s="1" t="n"/>
      <c r="M33" s="1" t="n"/>
    </row>
    <row r="34" ht="15" customHeight="1">
      <c r="A34" s="1" t="n"/>
      <c r="B34" s="1" t="n"/>
      <c r="C34" s="1" t="n"/>
      <c r="D34" s="1" t="n"/>
      <c r="E34" s="1" t="n"/>
      <c r="F34" s="1" t="n"/>
      <c r="G34" s="1" t="n"/>
      <c r="H34" s="1" t="n"/>
      <c r="I34" s="1" t="n"/>
      <c r="J34" s="1" t="n"/>
      <c r="K34" s="1" t="n"/>
      <c r="L34" s="1" t="n"/>
      <c r="M34" s="1" t="n"/>
    </row>
    <row r="35" ht="15" customHeight="1">
      <c r="A35" s="1" t="n"/>
      <c r="B35" s="1" t="n"/>
      <c r="C35" s="1" t="n"/>
      <c r="D35" s="1" t="n"/>
      <c r="E35" s="1" t="n"/>
      <c r="F35" s="1" t="n"/>
      <c r="G35" s="1" t="n"/>
      <c r="H35" s="1" t="n"/>
      <c r="I35" s="1" t="n"/>
      <c r="J35" s="1" t="n"/>
      <c r="K35" s="1" t="n"/>
      <c r="L35" s="1" t="n"/>
      <c r="M35" s="1" t="n"/>
    </row>
    <row r="36" ht="15" customHeight="1">
      <c r="A36" s="1" t="n"/>
      <c r="B36" s="1" t="n"/>
      <c r="C36" s="1" t="n"/>
      <c r="D36" s="1" t="n"/>
      <c r="E36" s="1" t="n"/>
      <c r="F36" s="1" t="n"/>
      <c r="G36" s="1" t="n"/>
      <c r="H36" s="1" t="n"/>
      <c r="I36" s="1" t="n"/>
      <c r="J36" s="1" t="n"/>
      <c r="K36" s="1" t="n"/>
      <c r="L36" s="1" t="n"/>
      <c r="M36" s="1" t="n"/>
    </row>
    <row r="37" ht="15" customHeight="1">
      <c r="A37" s="1" t="n"/>
      <c r="B37" s="1" t="n"/>
      <c r="C37" s="1" t="n"/>
      <c r="D37" s="1" t="n"/>
      <c r="E37" s="1" t="n"/>
      <c r="F37" s="1" t="n"/>
      <c r="G37" s="1" t="n"/>
      <c r="H37" s="1" t="n"/>
      <c r="I37" s="1" t="n"/>
      <c r="J37" s="1" t="n"/>
      <c r="K37" s="1" t="n"/>
      <c r="L37" s="1" t="n"/>
      <c r="M37" s="1" t="n"/>
    </row>
    <row r="38" ht="15" customHeight="1">
      <c r="A38" s="1" t="n"/>
      <c r="B38" s="1" t="n"/>
      <c r="C38" s="1" t="n"/>
      <c r="D38" s="1" t="n"/>
      <c r="E38" s="1" t="n"/>
      <c r="F38" s="1" t="n"/>
      <c r="G38" s="1" t="n"/>
      <c r="H38" s="1" t="n"/>
      <c r="I38" s="1" t="n"/>
      <c r="J38" s="1" t="n"/>
      <c r="K38" s="1" t="n"/>
      <c r="L38" s="1" t="n"/>
      <c r="M38" s="1" t="n"/>
    </row>
    <row r="39" ht="15" customHeight="1">
      <c r="A39" s="1" t="n"/>
      <c r="B39" s="1" t="n"/>
      <c r="C39" s="1" t="n"/>
      <c r="D39" s="1" t="n"/>
      <c r="E39" s="1" t="n"/>
      <c r="F39" s="1" t="n"/>
      <c r="G39" s="1" t="n"/>
      <c r="H39" s="1" t="n"/>
      <c r="I39" s="1" t="n"/>
      <c r="J39" s="1" t="n"/>
      <c r="K39" s="1" t="n"/>
      <c r="L39" s="1" t="n"/>
      <c r="M39" s="1" t="n"/>
    </row>
    <row r="40" ht="15" customHeight="1">
      <c r="A40" s="1" t="n"/>
      <c r="B40" s="1" t="n"/>
      <c r="C40" s="1" t="n"/>
      <c r="D40" s="1" t="n"/>
      <c r="E40" s="1" t="n"/>
      <c r="F40" s="1" t="n"/>
      <c r="G40" s="1" t="n"/>
      <c r="H40" s="1" t="n"/>
      <c r="I40" s="1" t="n"/>
      <c r="J40" s="1" t="n"/>
      <c r="K40" s="1" t="n"/>
      <c r="L40" s="1" t="n"/>
      <c r="M40" s="1" t="n"/>
    </row>
    <row r="41" ht="15" customHeight="1">
      <c r="A41" s="1" t="n"/>
      <c r="B41" s="1" t="n"/>
      <c r="C41" s="1" t="n"/>
      <c r="D41" s="1" t="n"/>
      <c r="E41" s="1" t="n"/>
      <c r="F41" s="1" t="n"/>
      <c r="G41" s="1" t="n"/>
      <c r="H41" s="1" t="n"/>
      <c r="I41" s="1" t="n"/>
      <c r="J41" s="1" t="n"/>
      <c r="K41" s="1" t="n"/>
      <c r="L41" s="1" t="n"/>
      <c r="M41" s="1" t="n"/>
    </row>
    <row r="42" ht="15" customHeight="1">
      <c r="A42" s="1" t="n"/>
      <c r="B42" s="1" t="n"/>
      <c r="C42" s="1" t="n"/>
      <c r="D42" s="1" t="n"/>
      <c r="E42" s="1" t="n"/>
      <c r="F42" s="1" t="n"/>
      <c r="G42" s="1" t="n"/>
      <c r="H42" s="1" t="n"/>
      <c r="I42" s="1" t="n"/>
      <c r="J42" s="1" t="n"/>
      <c r="K42" s="1" t="n"/>
      <c r="L42" s="1" t="n"/>
      <c r="M42" s="1" t="n"/>
    </row>
    <row r="43" ht="15" customHeight="1">
      <c r="A43" s="1" t="n"/>
      <c r="B43" s="1" t="n"/>
      <c r="C43" s="1" t="n"/>
      <c r="D43" s="1" t="n"/>
      <c r="E43" s="1" t="n"/>
      <c r="F43" s="1" t="n"/>
      <c r="G43" s="1" t="n"/>
      <c r="H43" s="1" t="n"/>
      <c r="I43" s="1" t="n"/>
      <c r="J43" s="1" t="n"/>
      <c r="K43" s="1" t="n"/>
      <c r="L43" s="1" t="n"/>
      <c r="M43" s="1" t="n"/>
    </row>
    <row r="44" ht="15" customHeight="1">
      <c r="A44" s="1" t="n"/>
      <c r="B44" s="1" t="n"/>
      <c r="C44" s="1" t="n"/>
      <c r="D44" s="1" t="n"/>
      <c r="E44" s="1" t="n"/>
      <c r="F44" s="1" t="n"/>
      <c r="G44" s="1" t="n"/>
      <c r="H44" s="1" t="n"/>
      <c r="I44" s="1" t="n"/>
      <c r="J44" s="1" t="n"/>
      <c r="K44" s="1" t="n"/>
      <c r="L44" s="1" t="n"/>
      <c r="M44" s="1" t="n"/>
    </row>
    <row r="45" ht="15" customHeight="1">
      <c r="A45" s="1" t="n"/>
      <c r="B45" s="1" t="n"/>
      <c r="C45" s="1" t="n"/>
      <c r="D45" s="1" t="n"/>
      <c r="E45" s="1" t="n"/>
      <c r="F45" s="1" t="n"/>
      <c r="G45" s="1" t="n"/>
      <c r="H45" s="1" t="n"/>
      <c r="I45" s="1" t="n"/>
      <c r="J45" s="1" t="n"/>
      <c r="K45" s="1" t="n"/>
      <c r="L45" s="1" t="n"/>
      <c r="M45" s="1" t="n"/>
    </row>
    <row r="46" ht="15" customHeight="1">
      <c r="A46" s="1" t="n"/>
      <c r="B46" s="1" t="n"/>
      <c r="C46" s="1" t="n"/>
      <c r="D46" s="1" t="n"/>
      <c r="E46" s="1" t="n"/>
      <c r="F46" s="1" t="n"/>
      <c r="G46" s="1" t="n"/>
      <c r="H46" s="1" t="n"/>
      <c r="I46" s="1" t="n"/>
      <c r="J46" s="1" t="n"/>
      <c r="K46" s="1" t="n"/>
      <c r="L46" s="1" t="n"/>
      <c r="M46" s="1" t="n"/>
    </row>
    <row r="47" ht="15" customHeight="1">
      <c r="A47" s="1" t="n"/>
      <c r="B47" s="1" t="n"/>
      <c r="C47" s="1" t="n"/>
      <c r="D47" s="1" t="n"/>
      <c r="E47" s="1" t="n"/>
      <c r="F47" s="1" t="n"/>
      <c r="G47" s="1" t="n"/>
      <c r="H47" s="1" t="n"/>
      <c r="I47" s="1" t="n"/>
      <c r="J47" s="1" t="n"/>
      <c r="K47" s="1" t="n"/>
      <c r="L47" s="1" t="n"/>
      <c r="M47" s="1" t="n"/>
    </row>
    <row r="48" ht="15" customHeight="1">
      <c r="A48" s="1" t="n"/>
      <c r="B48" s="1" t="n"/>
      <c r="C48" s="1" t="n"/>
      <c r="D48" s="1" t="n"/>
      <c r="E48" s="1" t="n"/>
      <c r="F48" s="1" t="n"/>
      <c r="G48" s="1" t="n"/>
      <c r="H48" s="1" t="n"/>
      <c r="I48" s="1" t="n"/>
      <c r="J48" s="1" t="n"/>
      <c r="K48" s="1" t="n"/>
      <c r="L48" s="1" t="n"/>
      <c r="M48" s="1" t="n"/>
    </row>
    <row r="49" ht="15" customHeight="1">
      <c r="A49" s="1" t="n"/>
      <c r="B49" s="1" t="n"/>
      <c r="C49" s="1" t="n"/>
      <c r="D49" s="1" t="n"/>
      <c r="E49" s="1" t="n"/>
      <c r="F49" s="1" t="n"/>
      <c r="G49" s="1" t="n"/>
      <c r="H49" s="1" t="n"/>
      <c r="I49" s="1" t="n"/>
      <c r="J49" s="1" t="n"/>
      <c r="K49" s="1" t="n"/>
      <c r="L49" s="1" t="n"/>
      <c r="M49" s="1" t="n"/>
    </row>
    <row r="50" ht="15" customHeight="1">
      <c r="A50" s="1" t="n"/>
      <c r="B50" s="1" t="n"/>
      <c r="C50" s="1" t="n"/>
      <c r="D50" s="1" t="n"/>
      <c r="E50" s="1" t="n"/>
      <c r="F50" s="1" t="n"/>
      <c r="G50" s="1" t="n"/>
      <c r="H50" s="1" t="n"/>
      <c r="I50" s="1" t="n"/>
      <c r="J50" s="1" t="n"/>
      <c r="K50" s="1" t="n"/>
      <c r="L50" s="1" t="n"/>
      <c r="M50" s="1" t="n"/>
    </row>
    <row r="51" ht="15" customHeight="1">
      <c r="A51" s="1" t="n"/>
      <c r="B51" s="1" t="n"/>
      <c r="C51" s="1" t="n"/>
      <c r="D51" s="1" t="n"/>
      <c r="E51" s="1" t="n"/>
      <c r="F51" s="1" t="n"/>
      <c r="G51" s="1" t="n"/>
      <c r="H51" s="1" t="n"/>
      <c r="I51" s="1" t="n"/>
      <c r="J51" s="1" t="n"/>
      <c r="K51" s="1" t="n"/>
      <c r="L51" s="1" t="n"/>
      <c r="M51" s="1" t="n"/>
    </row>
    <row r="52" ht="15" customHeight="1">
      <c r="A52" s="1" t="n"/>
      <c r="B52" s="1" t="n"/>
      <c r="C52" s="1" t="n"/>
      <c r="D52" s="1" t="n"/>
      <c r="E52" s="1" t="n"/>
      <c r="F52" s="1" t="n"/>
      <c r="G52" s="1" t="n"/>
      <c r="H52" s="1" t="n"/>
      <c r="I52" s="1" t="n"/>
      <c r="J52" s="1" t="n"/>
      <c r="K52" s="1" t="n"/>
      <c r="L52" s="1" t="n"/>
      <c r="M52" s="1" t="n"/>
    </row>
    <row r="53" ht="15" customHeight="1">
      <c r="A53" s="1" t="n"/>
      <c r="B53" s="1" t="n"/>
      <c r="C53" s="1" t="n"/>
      <c r="D53" s="1" t="n"/>
      <c r="E53" s="1" t="n"/>
      <c r="F53" s="1" t="n"/>
      <c r="G53" s="1" t="n"/>
      <c r="H53" s="1" t="n"/>
      <c r="I53" s="1" t="n"/>
      <c r="J53" s="1" t="n"/>
      <c r="K53" s="1" t="n"/>
      <c r="L53" s="1" t="n"/>
      <c r="M53" s="1" t="n"/>
    </row>
    <row r="54" ht="15" customHeight="1">
      <c r="A54" s="1" t="n"/>
      <c r="B54" s="1" t="n"/>
      <c r="C54" s="1" t="n"/>
      <c r="D54" s="1" t="n"/>
      <c r="E54" s="1" t="n"/>
      <c r="F54" s="1" t="n"/>
      <c r="G54" s="1" t="n"/>
      <c r="H54" s="1" t="n"/>
      <c r="I54" s="1" t="n"/>
      <c r="J54" s="1" t="n"/>
      <c r="K54" s="1" t="n"/>
      <c r="L54" s="1" t="n"/>
      <c r="M54" s="1" t="n"/>
    </row>
    <row r="55" ht="15" customHeight="1">
      <c r="A55" s="1" t="n"/>
      <c r="B55" s="1" t="n"/>
      <c r="C55" s="1" t="n"/>
      <c r="D55" s="1" t="n"/>
      <c r="E55" s="1" t="n"/>
      <c r="F55" s="1" t="n"/>
      <c r="G55" s="1" t="n"/>
      <c r="H55" s="1" t="n"/>
      <c r="I55" s="1" t="n"/>
      <c r="J55" s="1" t="n"/>
      <c r="K55" s="1" t="n"/>
      <c r="L55" s="1" t="n"/>
      <c r="M55" s="1" t="n"/>
    </row>
    <row r="56" ht="15" customHeight="1">
      <c r="A56" s="1" t="n"/>
      <c r="B56" s="1" t="n"/>
      <c r="C56" s="1" t="n"/>
      <c r="D56" s="1" t="n"/>
      <c r="E56" s="1" t="n"/>
      <c r="F56" s="1" t="n"/>
      <c r="G56" s="1" t="n"/>
      <c r="H56" s="1" t="n"/>
      <c r="I56" s="1" t="n"/>
      <c r="J56" s="1" t="n"/>
      <c r="K56" s="1" t="n"/>
      <c r="L56" s="1" t="n"/>
      <c r="M56" s="1" t="n"/>
    </row>
    <row r="57" ht="15" customHeight="1">
      <c r="A57" s="1" t="n"/>
      <c r="B57" s="1" t="n"/>
      <c r="C57" s="1" t="n"/>
      <c r="D57" s="1" t="n"/>
      <c r="E57" s="1" t="n"/>
      <c r="F57" s="1" t="n"/>
      <c r="G57" s="1" t="n"/>
      <c r="H57" s="1" t="n"/>
      <c r="I57" s="1" t="n"/>
      <c r="J57" s="1" t="n"/>
      <c r="K57" s="1" t="n"/>
      <c r="L57" s="1" t="n"/>
      <c r="M57" s="1" t="n"/>
    </row>
    <row r="58" ht="15" customHeight="1">
      <c r="A58" s="1" t="n"/>
      <c r="B58" s="1" t="n"/>
      <c r="C58" s="1" t="n"/>
      <c r="D58" s="1" t="n"/>
      <c r="E58" s="1" t="n"/>
      <c r="F58" s="1" t="n"/>
      <c r="G58" s="1" t="n"/>
      <c r="H58" s="1" t="n"/>
      <c r="I58" s="1" t="n"/>
      <c r="J58" s="1" t="n"/>
      <c r="K58" s="1" t="n"/>
      <c r="L58" s="1" t="n"/>
      <c r="M58" s="1" t="n"/>
    </row>
    <row r="59" ht="15" customHeight="1">
      <c r="A59" s="1" t="n"/>
      <c r="B59" s="1" t="n"/>
      <c r="C59" s="1" t="n"/>
      <c r="D59" s="1" t="n"/>
      <c r="E59" s="1" t="n"/>
      <c r="F59" s="1" t="n"/>
      <c r="G59" s="1" t="n"/>
      <c r="H59" s="1" t="n"/>
      <c r="I59" s="1" t="n"/>
      <c r="J59" s="1" t="n"/>
      <c r="K59" s="1" t="n"/>
      <c r="L59" s="1" t="n"/>
      <c r="M59" s="1" t="n"/>
    </row>
    <row r="60" ht="15" customHeight="1">
      <c r="A60" s="1" t="n"/>
      <c r="B60" s="1" t="n"/>
      <c r="C60" s="1" t="n"/>
      <c r="D60" s="1" t="n"/>
      <c r="E60" s="1" t="n"/>
      <c r="F60" s="1" t="n"/>
      <c r="G60" s="1" t="n"/>
      <c r="H60" s="1" t="n"/>
      <c r="I60" s="1" t="n"/>
      <c r="J60" s="1" t="n"/>
      <c r="K60" s="1" t="n"/>
      <c r="L60" s="1" t="n"/>
      <c r="M60" s="1" t="n"/>
    </row>
    <row r="61" ht="15" customHeight="1">
      <c r="A61" s="1" t="n"/>
      <c r="B61" s="1" t="n"/>
      <c r="C61" s="1" t="n"/>
      <c r="D61" s="1" t="n"/>
      <c r="E61" s="1" t="n"/>
      <c r="F61" s="1" t="n"/>
      <c r="G61" s="1" t="n"/>
      <c r="H61" s="1" t="n"/>
      <c r="I61" s="1" t="n"/>
      <c r="J61" s="1" t="n"/>
      <c r="K61" s="1" t="n"/>
      <c r="L61" s="1" t="n"/>
      <c r="M61" s="1" t="n"/>
    </row>
    <row r="62" ht="15" customHeight="1">
      <c r="A62" s="1" t="n"/>
      <c r="B62" s="1" t="n"/>
      <c r="C62" s="1" t="n"/>
      <c r="D62" s="1" t="n"/>
      <c r="E62" s="1" t="n"/>
      <c r="F62" s="1" t="n"/>
      <c r="G62" s="1" t="n"/>
      <c r="H62" s="1" t="n"/>
      <c r="I62" s="1" t="n"/>
      <c r="J62" s="1" t="n"/>
      <c r="K62" s="1" t="n"/>
      <c r="L62" s="1" t="n"/>
      <c r="M62" s="1" t="n"/>
    </row>
    <row r="63" ht="15" customHeight="1">
      <c r="A63" s="1" t="n"/>
      <c r="B63" s="1" t="n"/>
      <c r="C63" s="1" t="n"/>
      <c r="D63" s="1" t="n"/>
      <c r="E63" s="1" t="n"/>
      <c r="F63" s="1" t="n"/>
      <c r="G63" s="1" t="n"/>
      <c r="H63" s="1" t="n"/>
      <c r="I63" s="1" t="n"/>
      <c r="J63" s="1" t="n"/>
      <c r="K63" s="1" t="n"/>
      <c r="L63" s="1" t="n"/>
      <c r="M63" s="1" t="n"/>
    </row>
    <row r="64" ht="15" customHeight="1">
      <c r="A64" s="1" t="n"/>
      <c r="B64" s="1" t="n"/>
      <c r="C64" s="1" t="n"/>
      <c r="D64" s="1" t="n"/>
      <c r="E64" s="1" t="n"/>
      <c r="F64" s="1" t="n"/>
      <c r="G64" s="1" t="n"/>
      <c r="H64" s="1" t="n"/>
      <c r="I64" s="1" t="n"/>
      <c r="J64" s="1" t="n"/>
      <c r="K64" s="1" t="n"/>
      <c r="L64" s="1" t="n"/>
      <c r="M64" s="1" t="n"/>
    </row>
    <row r="65" ht="15" customHeight="1">
      <c r="A65" s="1" t="n"/>
      <c r="B65" s="1" t="n"/>
      <c r="C65" s="1" t="n"/>
      <c r="D65" s="1" t="n"/>
      <c r="E65" s="1" t="n"/>
      <c r="F65" s="1" t="n"/>
      <c r="G65" s="1" t="n"/>
      <c r="H65" s="1" t="n"/>
      <c r="I65" s="1" t="n"/>
      <c r="J65" s="1" t="n"/>
      <c r="K65" s="1" t="n"/>
      <c r="L65" s="1" t="n"/>
      <c r="M65" s="1" t="n"/>
    </row>
    <row r="66" ht="15" customHeight="1">
      <c r="A66" s="1" t="n"/>
      <c r="B66" s="1" t="n"/>
      <c r="C66" s="1" t="n"/>
      <c r="D66" s="1" t="n"/>
      <c r="E66" s="1" t="n"/>
      <c r="F66" s="1" t="n"/>
      <c r="G66" s="1" t="n"/>
      <c r="H66" s="1" t="n"/>
      <c r="I66" s="1" t="n"/>
      <c r="J66" s="1" t="n"/>
      <c r="K66" s="1" t="n"/>
      <c r="L66" s="1" t="n"/>
      <c r="M66" s="1" t="n"/>
    </row>
    <row r="67" ht="15" customHeight="1">
      <c r="A67" s="1" t="n"/>
      <c r="B67" s="1" t="n"/>
      <c r="C67" s="1" t="n"/>
      <c r="D67" s="1" t="n"/>
      <c r="E67" s="1" t="n"/>
      <c r="F67" s="1" t="n"/>
      <c r="G67" s="1" t="n"/>
      <c r="H67" s="1" t="n"/>
      <c r="I67" s="1" t="n"/>
      <c r="J67" s="1" t="n"/>
      <c r="K67" s="1" t="n"/>
      <c r="L67" s="1" t="n"/>
      <c r="M67" s="1" t="n"/>
    </row>
    <row r="68" ht="15" customHeight="1">
      <c r="A68" s="1" t="n"/>
      <c r="B68" s="1" t="n"/>
      <c r="C68" s="1" t="n"/>
      <c r="D68" s="1" t="n"/>
      <c r="E68" s="1" t="n"/>
      <c r="F68" s="1" t="n"/>
      <c r="G68" s="1" t="n"/>
      <c r="H68" s="1" t="n"/>
      <c r="I68" s="1" t="n"/>
      <c r="J68" s="1" t="n"/>
      <c r="K68" s="1" t="n"/>
      <c r="L68" s="1" t="n"/>
      <c r="M68" s="1" t="n"/>
    </row>
    <row r="69" ht="15" customHeight="1">
      <c r="A69" s="1" t="n"/>
      <c r="B69" s="1" t="n"/>
      <c r="C69" s="1" t="n"/>
      <c r="D69" s="1" t="n"/>
      <c r="E69" s="1" t="n"/>
      <c r="F69" s="1" t="n"/>
      <c r="G69" s="1" t="n"/>
      <c r="H69" s="1" t="n"/>
      <c r="I69" s="1" t="n"/>
      <c r="J69" s="1" t="n"/>
      <c r="K69" s="1" t="n"/>
      <c r="L69" s="1" t="n"/>
      <c r="M69" s="1" t="n"/>
    </row>
    <row r="70" ht="15" customHeight="1">
      <c r="A70" s="1" t="n"/>
      <c r="B70" s="1" t="n"/>
      <c r="C70" s="1" t="n"/>
      <c r="D70" s="1" t="n"/>
      <c r="E70" s="1" t="n"/>
      <c r="F70" s="1" t="n"/>
      <c r="G70" s="1" t="n"/>
      <c r="H70" s="1" t="n"/>
      <c r="I70" s="1" t="n"/>
      <c r="J70" s="1" t="n"/>
      <c r="K70" s="1" t="n"/>
      <c r="L70" s="1" t="n"/>
      <c r="M70" s="1" t="n"/>
    </row>
    <row r="71" ht="15" customHeight="1">
      <c r="A71" s="1" t="n"/>
      <c r="B71" s="1" t="n"/>
      <c r="C71" s="1" t="n"/>
      <c r="D71" s="1" t="n"/>
      <c r="E71" s="1" t="n"/>
      <c r="F71" s="1" t="n"/>
      <c r="G71" s="1" t="n"/>
      <c r="H71" s="1" t="n"/>
      <c r="I71" s="1" t="n"/>
      <c r="J71" s="1" t="n"/>
      <c r="K71" s="1" t="n"/>
      <c r="L71" s="1" t="n"/>
      <c r="M71" s="1" t="n"/>
    </row>
    <row r="72" ht="15" customHeight="1">
      <c r="A72" s="1" t="n"/>
      <c r="B72" s="1" t="n"/>
      <c r="C72" s="1" t="n"/>
      <c r="D72" s="1" t="n"/>
      <c r="E72" s="1" t="n"/>
      <c r="F72" s="1" t="n"/>
      <c r="G72" s="1" t="n"/>
      <c r="H72" s="1" t="n"/>
      <c r="I72" s="1" t="n"/>
      <c r="J72" s="1" t="n"/>
      <c r="K72" s="1" t="n"/>
      <c r="L72" s="1" t="n"/>
      <c r="M72" s="1" t="n"/>
    </row>
    <row r="73" ht="15" customHeight="1">
      <c r="A73" s="1" t="n"/>
      <c r="B73" s="1" t="n"/>
      <c r="C73" s="1" t="n"/>
      <c r="D73" s="1" t="n"/>
      <c r="E73" s="1" t="n"/>
      <c r="F73" s="1" t="n"/>
      <c r="G73" s="1" t="n"/>
      <c r="H73" s="1" t="n"/>
      <c r="I73" s="1" t="n"/>
      <c r="J73" s="1" t="n"/>
      <c r="K73" s="1" t="n"/>
      <c r="L73" s="1" t="n"/>
      <c r="M73" s="1" t="n"/>
    </row>
    <row r="74" ht="15" customHeight="1">
      <c r="A74" s="1" t="n"/>
      <c r="B74" s="1" t="n"/>
      <c r="C74" s="1" t="n"/>
      <c r="D74" s="1" t="n"/>
      <c r="E74" s="1" t="n"/>
      <c r="F74" s="1" t="n"/>
      <c r="G74" s="1" t="n"/>
      <c r="H74" s="1" t="n"/>
      <c r="I74" s="1" t="n"/>
      <c r="J74" s="1" t="n"/>
      <c r="K74" s="1" t="n"/>
      <c r="L74" s="1" t="n"/>
      <c r="M74" s="1" t="n"/>
    </row>
    <row r="75" ht="15" customHeight="1">
      <c r="A75" s="1" t="n"/>
      <c r="B75" s="1" t="n"/>
      <c r="C75" s="1" t="n"/>
      <c r="D75" s="1" t="n"/>
      <c r="E75" s="1" t="n"/>
      <c r="F75" s="1" t="n"/>
      <c r="G75" s="1" t="n"/>
      <c r="H75" s="1" t="n"/>
      <c r="I75" s="1" t="n"/>
      <c r="J75" s="1" t="n"/>
      <c r="K75" s="1" t="n"/>
      <c r="L75" s="1" t="n"/>
      <c r="M75" s="1" t="n"/>
    </row>
    <row r="76" ht="15" customHeight="1">
      <c r="A76" s="1" t="n"/>
      <c r="B76" s="1" t="n"/>
      <c r="C76" s="1" t="n"/>
      <c r="D76" s="1" t="n"/>
      <c r="E76" s="1" t="n"/>
      <c r="F76" s="1" t="n"/>
      <c r="G76" s="1" t="n"/>
      <c r="H76" s="1" t="n"/>
      <c r="I76" s="1" t="n"/>
      <c r="J76" s="1" t="n"/>
      <c r="K76" s="1" t="n"/>
      <c r="L76" s="1" t="n"/>
      <c r="M76" s="1" t="n"/>
    </row>
    <row r="77" ht="15" customHeight="1">
      <c r="A77" s="1" t="n"/>
      <c r="B77" s="1" t="n"/>
      <c r="C77" s="1" t="n"/>
      <c r="D77" s="1" t="n"/>
      <c r="E77" s="1" t="n"/>
      <c r="F77" s="1" t="n"/>
      <c r="G77" s="1" t="n"/>
      <c r="H77" s="1" t="n"/>
      <c r="I77" s="1" t="n"/>
      <c r="J77" s="1" t="n"/>
      <c r="K77" s="1" t="n"/>
      <c r="L77" s="1" t="n"/>
      <c r="M77" s="1" t="n"/>
    </row>
    <row r="78" ht="15" customHeight="1">
      <c r="A78" s="1" t="n"/>
      <c r="B78" s="1" t="n"/>
      <c r="C78" s="1" t="n"/>
      <c r="D78" s="1" t="n"/>
      <c r="E78" s="1" t="n"/>
      <c r="F78" s="1" t="n"/>
      <c r="G78" s="1" t="n"/>
      <c r="H78" s="1" t="n"/>
      <c r="I78" s="1" t="n"/>
      <c r="J78" s="1" t="n"/>
      <c r="K78" s="1" t="n"/>
      <c r="L78" s="1" t="n"/>
      <c r="M78" s="1" t="n"/>
    </row>
    <row r="79" ht="15" customHeight="1">
      <c r="A79" s="1" t="n"/>
      <c r="B79" s="1" t="n"/>
      <c r="C79" s="1" t="n"/>
      <c r="D79" s="1" t="n"/>
      <c r="E79" s="1" t="n"/>
      <c r="F79" s="1" t="n"/>
      <c r="G79" s="1" t="n"/>
      <c r="H79" s="1" t="n"/>
      <c r="I79" s="1" t="n"/>
      <c r="J79" s="1" t="n"/>
      <c r="K79" s="1" t="n"/>
      <c r="L79" s="1" t="n"/>
      <c r="M79" s="1" t="n"/>
    </row>
    <row r="80" ht="15" customHeight="1">
      <c r="A80" s="1" t="n"/>
      <c r="B80" s="1" t="n"/>
      <c r="C80" s="1" t="n"/>
      <c r="D80" s="1" t="n"/>
      <c r="E80" s="1" t="n"/>
      <c r="F80" s="1" t="n"/>
      <c r="G80" s="1" t="n"/>
      <c r="H80" s="1" t="n"/>
      <c r="I80" s="1" t="n"/>
      <c r="J80" s="1" t="n"/>
      <c r="K80" s="1" t="n"/>
      <c r="L80" s="1" t="n"/>
      <c r="M80" s="1" t="n"/>
    </row>
    <row r="81" ht="15" customHeight="1">
      <c r="A81" s="1" t="n"/>
      <c r="B81" s="1" t="n"/>
      <c r="C81" s="1" t="n"/>
      <c r="D81" s="1" t="n"/>
      <c r="E81" s="1" t="n"/>
      <c r="F81" s="1" t="n"/>
      <c r="G81" s="1" t="n"/>
      <c r="H81" s="1" t="n"/>
      <c r="I81" s="1" t="n"/>
      <c r="J81" s="1" t="n"/>
      <c r="K81" s="1" t="n"/>
      <c r="L81" s="1" t="n"/>
      <c r="M81" s="1" t="n"/>
    </row>
    <row r="82" ht="15" customHeight="1">
      <c r="A82" s="1" t="n"/>
      <c r="B82" s="1" t="n"/>
      <c r="C82" s="1" t="n"/>
      <c r="D82" s="1" t="n"/>
      <c r="E82" s="1" t="n"/>
      <c r="F82" s="1" t="n"/>
      <c r="G82" s="1" t="n"/>
      <c r="H82" s="1" t="n"/>
      <c r="I82" s="1" t="n"/>
      <c r="J82" s="1" t="n"/>
      <c r="K82" s="1" t="n"/>
      <c r="L82" s="1" t="n"/>
      <c r="M82" s="1" t="n"/>
    </row>
    <row r="83" ht="15" customHeight="1">
      <c r="A83" s="1" t="n"/>
      <c r="B83" s="1" t="n"/>
      <c r="C83" s="1" t="n"/>
      <c r="D83" s="1" t="n"/>
      <c r="E83" s="1" t="n"/>
      <c r="F83" s="1" t="n"/>
      <c r="G83" s="1" t="n"/>
      <c r="H83" s="1" t="n"/>
      <c r="I83" s="1" t="n"/>
      <c r="J83" s="1" t="n"/>
      <c r="K83" s="1" t="n"/>
      <c r="L83" s="1" t="n"/>
      <c r="M83" s="1" t="n"/>
    </row>
    <row r="84" ht="15" customHeight="1">
      <c r="A84" s="1" t="n"/>
      <c r="B84" s="1" t="n"/>
      <c r="C84" s="1" t="n"/>
      <c r="D84" s="1" t="n"/>
      <c r="E84" s="1" t="n"/>
      <c r="F84" s="1" t="n"/>
      <c r="G84" s="1" t="n"/>
      <c r="H84" s="1" t="n"/>
      <c r="I84" s="1" t="n"/>
      <c r="J84" s="1" t="n"/>
      <c r="K84" s="1" t="n"/>
      <c r="L84" s="1" t="n"/>
      <c r="M84" s="1" t="n"/>
    </row>
    <row r="85" ht="15" customHeight="1">
      <c r="A85" s="1" t="n"/>
      <c r="B85" s="1" t="n"/>
      <c r="C85" s="1" t="n"/>
      <c r="D85" s="1" t="n"/>
      <c r="E85" s="1" t="n"/>
      <c r="F85" s="1" t="n"/>
      <c r="G85" s="1" t="n"/>
      <c r="H85" s="1" t="n"/>
      <c r="I85" s="1" t="n"/>
      <c r="J85" s="1" t="n"/>
      <c r="K85" s="1" t="n"/>
      <c r="L85" s="1" t="n"/>
      <c r="M85" s="1" t="n"/>
    </row>
    <row r="86" ht="15" customHeight="1">
      <c r="A86" s="1" t="n"/>
      <c r="B86" s="1" t="n"/>
      <c r="C86" s="1" t="n"/>
      <c r="D86" s="1" t="n"/>
      <c r="E86" s="1" t="n"/>
      <c r="F86" s="1" t="n"/>
      <c r="G86" s="1" t="n"/>
      <c r="H86" s="1" t="n"/>
      <c r="I86" s="1" t="n"/>
      <c r="J86" s="1" t="n"/>
      <c r="K86" s="1" t="n"/>
      <c r="L86" s="1" t="n"/>
      <c r="M86" s="1" t="n"/>
    </row>
    <row r="87" ht="15" customHeight="1">
      <c r="A87" s="1" t="n"/>
      <c r="B87" s="1" t="n"/>
      <c r="C87" s="1" t="n"/>
      <c r="D87" s="1" t="n"/>
      <c r="E87" s="1" t="n"/>
      <c r="F87" s="1" t="n"/>
      <c r="G87" s="1" t="n"/>
      <c r="H87" s="1" t="n"/>
      <c r="I87" s="1" t="n"/>
      <c r="J87" s="1" t="n"/>
      <c r="K87" s="1" t="n"/>
      <c r="L87" s="1" t="n"/>
      <c r="M87" s="1" t="n"/>
    </row>
    <row r="88" ht="15" customHeight="1">
      <c r="A88" s="1" t="n"/>
      <c r="B88" s="1" t="n"/>
      <c r="C88" s="1" t="n"/>
      <c r="D88" s="1" t="n"/>
      <c r="E88" s="1" t="n"/>
      <c r="F88" s="1" t="n"/>
      <c r="G88" s="1" t="n"/>
      <c r="H88" s="1" t="n"/>
      <c r="I88" s="1" t="n"/>
      <c r="J88" s="1" t="n"/>
      <c r="K88" s="1" t="n"/>
      <c r="L88" s="1" t="n"/>
      <c r="M88" s="1" t="n"/>
    </row>
    <row r="89" ht="15" customHeight="1">
      <c r="A89" s="1" t="n"/>
      <c r="B89" s="1" t="n"/>
      <c r="C89" s="1" t="n"/>
      <c r="D89" s="1" t="n"/>
      <c r="E89" s="1" t="n"/>
      <c r="F89" s="1" t="n"/>
      <c r="G89" s="1" t="n"/>
      <c r="H89" s="1" t="n"/>
      <c r="I89" s="1" t="n"/>
      <c r="J89" s="1" t="n"/>
      <c r="K89" s="1" t="n"/>
      <c r="L89" s="1" t="n"/>
      <c r="M89" s="1" t="n"/>
    </row>
    <row r="90" ht="15" customHeight="1">
      <c r="A90" s="1" t="n"/>
      <c r="B90" s="1" t="n"/>
      <c r="C90" s="1" t="n"/>
      <c r="D90" s="1" t="n"/>
      <c r="E90" s="1" t="n"/>
      <c r="F90" s="1" t="n"/>
      <c r="G90" s="1" t="n"/>
      <c r="H90" s="1" t="n"/>
      <c r="I90" s="1" t="n"/>
      <c r="J90" s="1" t="n"/>
      <c r="K90" s="1" t="n"/>
      <c r="L90" s="1" t="n"/>
      <c r="M90" s="1" t="n"/>
    </row>
    <row r="91" ht="15" customHeight="1">
      <c r="A91" s="1" t="n"/>
      <c r="B91" s="1" t="n"/>
      <c r="C91" s="1" t="n"/>
      <c r="D91" s="1" t="n"/>
      <c r="E91" s="1" t="n"/>
      <c r="F91" s="1" t="n"/>
      <c r="G91" s="1" t="n"/>
      <c r="H91" s="1" t="n"/>
      <c r="I91" s="1" t="n"/>
      <c r="J91" s="1" t="n"/>
      <c r="K91" s="1" t="n"/>
      <c r="L91" s="1" t="n"/>
      <c r="M91" s="1" t="n"/>
    </row>
    <row r="92" ht="15" customHeight="1">
      <c r="A92" s="1" t="n"/>
      <c r="B92" s="1" t="n"/>
      <c r="C92" s="1" t="n"/>
      <c r="D92" s="1" t="n"/>
      <c r="E92" s="1" t="n"/>
      <c r="F92" s="1" t="n"/>
      <c r="G92" s="1" t="n"/>
      <c r="H92" s="1" t="n"/>
      <c r="I92" s="1" t="n"/>
      <c r="J92" s="1" t="n"/>
      <c r="K92" s="1" t="n"/>
      <c r="L92" s="1" t="n"/>
      <c r="M92" s="1" t="n"/>
    </row>
    <row r="93" ht="15" customHeight="1">
      <c r="A93" s="1" t="n"/>
      <c r="B93" s="1" t="n"/>
      <c r="C93" s="1" t="n"/>
      <c r="D93" s="1" t="n"/>
      <c r="E93" s="1" t="n"/>
      <c r="F93" s="1" t="n"/>
      <c r="G93" s="1" t="n"/>
      <c r="H93" s="1" t="n"/>
      <c r="I93" s="1" t="n"/>
      <c r="J93" s="1" t="n"/>
      <c r="K93" s="1" t="n"/>
      <c r="L93" s="1" t="n"/>
      <c r="M93" s="1" t="n"/>
    </row>
    <row r="94" ht="15" customHeight="1">
      <c r="A94" s="1" t="n"/>
      <c r="B94" s="1" t="n"/>
      <c r="C94" s="1" t="n"/>
      <c r="D94" s="1" t="n"/>
      <c r="E94" s="1" t="n"/>
      <c r="F94" s="1" t="n"/>
      <c r="G94" s="1" t="n"/>
      <c r="H94" s="1" t="n"/>
      <c r="I94" s="1" t="n"/>
      <c r="J94" s="1" t="n"/>
      <c r="K94" s="1" t="n"/>
      <c r="L94" s="1" t="n"/>
      <c r="M94" s="1" t="n"/>
    </row>
    <row r="95" ht="15" customHeight="1">
      <c r="A95" s="1" t="n"/>
      <c r="B95" s="1" t="n"/>
      <c r="C95" s="1" t="n"/>
      <c r="D95" s="1" t="n"/>
      <c r="E95" s="1" t="n"/>
      <c r="F95" s="1" t="n"/>
      <c r="G95" s="1" t="n"/>
      <c r="H95" s="1" t="n"/>
      <c r="I95" s="1" t="n"/>
      <c r="J95" s="1" t="n"/>
      <c r="K95" s="1" t="n"/>
      <c r="L95" s="1" t="n"/>
      <c r="M95" s="1" t="n"/>
    </row>
    <row r="96" ht="15" customHeight="1">
      <c r="A96" s="1" t="n"/>
      <c r="B96" s="1" t="n"/>
      <c r="C96" s="1" t="n"/>
      <c r="D96" s="1" t="n"/>
      <c r="E96" s="1" t="n"/>
      <c r="F96" s="1" t="n"/>
      <c r="G96" s="1" t="n"/>
      <c r="H96" s="1" t="n"/>
      <c r="I96" s="1" t="n"/>
      <c r="J96" s="1" t="n"/>
      <c r="K96" s="1" t="n"/>
      <c r="L96" s="1" t="n"/>
      <c r="M96" s="1" t="n"/>
    </row>
    <row r="97" ht="15" customHeight="1">
      <c r="A97" s="1" t="n"/>
      <c r="B97" s="1" t="n"/>
      <c r="C97" s="1" t="n"/>
      <c r="D97" s="1" t="n"/>
      <c r="E97" s="1" t="n"/>
      <c r="F97" s="1" t="n"/>
      <c r="G97" s="1" t="n"/>
      <c r="H97" s="1" t="n"/>
      <c r="I97" s="1" t="n"/>
      <c r="J97" s="1" t="n"/>
      <c r="K97" s="1" t="n"/>
      <c r="L97" s="1" t="n"/>
      <c r="M97" s="1" t="n"/>
    </row>
    <row r="98" ht="15" customHeight="1">
      <c r="A98" s="1" t="n"/>
      <c r="B98" s="1" t="n"/>
      <c r="C98" s="1" t="n"/>
      <c r="D98" s="1" t="n"/>
      <c r="E98" s="1" t="n"/>
      <c r="F98" s="1" t="n"/>
      <c r="G98" s="1" t="n"/>
      <c r="H98" s="1" t="n"/>
      <c r="I98" s="1" t="n"/>
      <c r="J98" s="1" t="n"/>
      <c r="K98" s="1" t="n"/>
      <c r="L98" s="1" t="n"/>
      <c r="M98" s="1" t="n"/>
    </row>
    <row r="99" ht="15" customHeight="1">
      <c r="A99" s="1" t="n"/>
      <c r="B99" s="1" t="n"/>
      <c r="C99" s="1" t="n"/>
      <c r="D99" s="1" t="n"/>
      <c r="E99" s="1" t="n"/>
      <c r="F99" s="1" t="n"/>
      <c r="G99" s="1" t="n"/>
      <c r="H99" s="1" t="n"/>
      <c r="I99" s="1" t="n"/>
      <c r="J99" s="1" t="n"/>
      <c r="K99" s="1" t="n"/>
      <c r="L99" s="1" t="n"/>
      <c r="M99" s="1" t="n"/>
    </row>
    <row r="100" ht="15" customHeight="1">
      <c r="A100" s="1" t="n"/>
      <c r="B100" s="1" t="n"/>
      <c r="C100" s="1" t="n"/>
      <c r="D100" s="1" t="n"/>
      <c r="E100" s="1" t="n"/>
      <c r="F100" s="1" t="n"/>
      <c r="G100" s="1" t="n"/>
      <c r="H100" s="1" t="n"/>
      <c r="I100" s="1" t="n"/>
      <c r="J100" s="1" t="n"/>
      <c r="K100" s="1" t="n"/>
      <c r="L100" s="1" t="n"/>
      <c r="M100" s="1" t="n"/>
    </row>
    <row r="101" ht="15" customHeight="1">
      <c r="A101" s="1" t="n"/>
      <c r="B101" s="1" t="n"/>
      <c r="C101" s="1" t="n"/>
      <c r="D101" s="1" t="n"/>
      <c r="E101" s="1" t="n"/>
      <c r="F101" s="1" t="n"/>
      <c r="G101" s="1" t="n"/>
      <c r="H101" s="1" t="n"/>
      <c r="I101" s="1" t="n"/>
      <c r="J101" s="1" t="n"/>
      <c r="K101" s="1" t="n"/>
      <c r="L101" s="1" t="n"/>
      <c r="M101" s="1" t="n"/>
    </row>
    <row r="102" ht="15" customHeight="1">
      <c r="A102" s="1" t="n"/>
      <c r="B102" s="1" t="n"/>
      <c r="C102" s="1" t="n"/>
      <c r="D102" s="1" t="n"/>
      <c r="E102" s="1" t="n"/>
      <c r="F102" s="1" t="n"/>
      <c r="G102" s="1" t="n"/>
      <c r="H102" s="1" t="n"/>
      <c r="I102" s="1" t="n"/>
      <c r="J102" s="1" t="n"/>
      <c r="K102" s="1" t="n"/>
      <c r="L102" s="1" t="n"/>
      <c r="M102" s="1" t="n"/>
    </row>
    <row r="103" ht="15" customHeight="1">
      <c r="A103" s="1" t="n"/>
      <c r="B103" s="1" t="n"/>
      <c r="C103" s="1" t="n"/>
      <c r="D103" s="1" t="n"/>
      <c r="E103" s="1" t="n"/>
      <c r="F103" s="1" t="n"/>
      <c r="G103" s="1" t="n"/>
      <c r="H103" s="1" t="n"/>
      <c r="I103" s="1" t="n"/>
      <c r="J103" s="1" t="n"/>
      <c r="K103" s="1" t="n"/>
      <c r="L103" s="1" t="n"/>
      <c r="M103" s="1" t="n"/>
    </row>
    <row r="104" ht="15" customHeight="1">
      <c r="A104" s="1" t="n"/>
      <c r="B104" s="1" t="n"/>
      <c r="C104" s="1" t="n"/>
      <c r="D104" s="1" t="n"/>
      <c r="E104" s="1" t="n"/>
      <c r="F104" s="1" t="n"/>
      <c r="G104" s="1" t="n"/>
      <c r="H104" s="1" t="n"/>
      <c r="I104" s="1" t="n"/>
      <c r="J104" s="1" t="n"/>
      <c r="K104" s="1" t="n"/>
      <c r="L104" s="1" t="n"/>
      <c r="M104" s="1" t="n"/>
    </row>
    <row r="105" ht="15" customHeight="1">
      <c r="A105" s="1" t="n"/>
      <c r="B105" s="1" t="n"/>
      <c r="C105" s="1" t="n"/>
      <c r="D105" s="1" t="n"/>
      <c r="E105" s="1" t="n"/>
      <c r="F105" s="1" t="n"/>
      <c r="G105" s="1" t="n"/>
      <c r="H105" s="1" t="n"/>
      <c r="I105" s="1" t="n"/>
      <c r="J105" s="1" t="n"/>
      <c r="K105" s="1" t="n"/>
      <c r="L105" s="1" t="n"/>
      <c r="M105" s="1" t="n"/>
    </row>
    <row r="106" ht="15" customHeight="1">
      <c r="A106" s="1" t="n"/>
      <c r="B106" s="1" t="n"/>
      <c r="C106" s="1" t="n"/>
      <c r="D106" s="1" t="n"/>
      <c r="E106" s="1" t="n"/>
      <c r="F106" s="1" t="n"/>
      <c r="G106" s="1" t="n"/>
      <c r="H106" s="1" t="n"/>
      <c r="I106" s="1" t="n"/>
      <c r="J106" s="1" t="n"/>
      <c r="K106" s="1" t="n"/>
      <c r="L106" s="1" t="n"/>
      <c r="M106" s="1" t="n"/>
    </row>
    <row r="107" ht="15" customHeight="1">
      <c r="A107" s="1" t="n"/>
      <c r="B107" s="1" t="n"/>
      <c r="C107" s="1" t="n"/>
      <c r="D107" s="1" t="n"/>
      <c r="E107" s="1" t="n"/>
      <c r="F107" s="1" t="n"/>
      <c r="G107" s="1" t="n"/>
      <c r="H107" s="1" t="n"/>
      <c r="I107" s="1" t="n"/>
      <c r="J107" s="1" t="n"/>
      <c r="K107" s="1" t="n"/>
      <c r="L107" s="1" t="n"/>
      <c r="M107" s="1" t="n"/>
    </row>
    <row r="108" ht="15" customHeight="1">
      <c r="A108" s="1" t="n"/>
      <c r="B108" s="1" t="n"/>
      <c r="C108" s="1" t="n"/>
      <c r="D108" s="1" t="n"/>
      <c r="E108" s="1" t="n"/>
      <c r="F108" s="1" t="n"/>
      <c r="G108" s="1" t="n"/>
      <c r="H108" s="1" t="n"/>
      <c r="I108" s="1" t="n"/>
      <c r="J108" s="1" t="n"/>
      <c r="K108" s="1" t="n"/>
      <c r="L108" s="1" t="n"/>
      <c r="M108" s="1" t="n"/>
    </row>
    <row r="109" ht="15" customHeight="1">
      <c r="A109" s="1" t="n"/>
      <c r="B109" s="1" t="n"/>
      <c r="C109" s="1" t="n"/>
      <c r="D109" s="1" t="n"/>
      <c r="E109" s="1" t="n"/>
      <c r="F109" s="1" t="n"/>
      <c r="G109" s="1" t="n"/>
      <c r="H109" s="1" t="n"/>
      <c r="I109" s="1" t="n"/>
      <c r="J109" s="1" t="n"/>
      <c r="K109" s="1" t="n"/>
      <c r="L109" s="1" t="n"/>
      <c r="M109" s="1" t="n"/>
    </row>
    <row r="110" ht="15" customHeight="1">
      <c r="A110" s="1" t="n"/>
      <c r="B110" s="1" t="n"/>
      <c r="C110" s="1" t="n"/>
      <c r="D110" s="1" t="n"/>
      <c r="E110" s="1" t="n"/>
      <c r="F110" s="1" t="n"/>
      <c r="G110" s="1" t="n"/>
      <c r="H110" s="1" t="n"/>
      <c r="I110" s="1" t="n"/>
      <c r="J110" s="1" t="n"/>
      <c r="K110" s="1" t="n"/>
      <c r="L110" s="1" t="n"/>
      <c r="M110" s="1" t="n"/>
    </row>
    <row r="111" ht="15" customHeight="1">
      <c r="A111" s="1" t="n"/>
      <c r="B111" s="1" t="n"/>
      <c r="C111" s="1" t="n"/>
      <c r="D111" s="1" t="n"/>
      <c r="E111" s="1" t="n"/>
      <c r="F111" s="1" t="n"/>
      <c r="G111" s="1" t="n"/>
      <c r="H111" s="1" t="n"/>
      <c r="I111" s="1" t="n"/>
      <c r="J111" s="1" t="n"/>
      <c r="K111" s="1" t="n"/>
      <c r="L111" s="1" t="n"/>
      <c r="M111" s="1" t="n"/>
    </row>
    <row r="112" ht="15" customHeight="1">
      <c r="A112" s="1" t="n"/>
      <c r="B112" s="1" t="n"/>
      <c r="C112" s="1" t="n"/>
      <c r="D112" s="1" t="n"/>
      <c r="E112" s="1" t="n"/>
      <c r="F112" s="1" t="n"/>
      <c r="G112" s="1" t="n"/>
      <c r="H112" s="1" t="n"/>
      <c r="I112" s="1" t="n"/>
      <c r="J112" s="1" t="n"/>
      <c r="K112" s="1" t="n"/>
      <c r="L112" s="1" t="n"/>
      <c r="M112" s="1" t="n"/>
    </row>
    <row r="113" ht="15" customHeight="1">
      <c r="A113" s="1" t="n"/>
      <c r="B113" s="1" t="n"/>
      <c r="C113" s="1" t="n"/>
      <c r="D113" s="1" t="n"/>
      <c r="E113" s="1" t="n"/>
      <c r="F113" s="1" t="n"/>
      <c r="G113" s="1" t="n"/>
      <c r="H113" s="1" t="n"/>
      <c r="I113" s="1" t="n"/>
      <c r="J113" s="1" t="n"/>
      <c r="K113" s="1" t="n"/>
      <c r="L113" s="1" t="n"/>
      <c r="M113" s="1" t="n"/>
    </row>
    <row r="114" ht="15" customHeight="1">
      <c r="A114" s="1" t="n"/>
      <c r="B114" s="1" t="n"/>
      <c r="C114" s="1" t="n"/>
      <c r="D114" s="1" t="n"/>
      <c r="E114" s="1" t="n"/>
      <c r="F114" s="1" t="n"/>
      <c r="G114" s="1" t="n"/>
      <c r="H114" s="1" t="n"/>
      <c r="I114" s="1" t="n"/>
      <c r="J114" s="1" t="n"/>
      <c r="K114" s="1" t="n"/>
      <c r="L114" s="1" t="n"/>
      <c r="M114" s="1" t="n"/>
    </row>
    <row r="115" ht="15" customHeight="1">
      <c r="A115" s="1" t="n"/>
      <c r="B115" s="1" t="n"/>
      <c r="C115" s="1" t="n"/>
      <c r="D115" s="1" t="n"/>
      <c r="E115" s="1" t="n"/>
      <c r="F115" s="1" t="n"/>
      <c r="G115" s="1" t="n"/>
      <c r="H115" s="1" t="n"/>
      <c r="I115" s="1" t="n"/>
      <c r="J115" s="1" t="n"/>
      <c r="K115" s="1" t="n"/>
      <c r="L115" s="1" t="n"/>
      <c r="M115" s="1" t="n"/>
    </row>
    <row r="116" ht="15" customHeight="1">
      <c r="A116" s="1" t="n"/>
      <c r="B116" s="1" t="n"/>
      <c r="C116" s="1" t="n"/>
      <c r="D116" s="1" t="n"/>
      <c r="E116" s="1" t="n"/>
      <c r="F116" s="1" t="n"/>
      <c r="G116" s="1" t="n"/>
      <c r="H116" s="1" t="n"/>
      <c r="I116" s="1" t="n"/>
      <c r="J116" s="1" t="n"/>
      <c r="K116" s="1" t="n"/>
      <c r="L116" s="1" t="n"/>
      <c r="M116" s="1" t="n"/>
    </row>
    <row r="117" ht="15" customHeight="1">
      <c r="A117" s="1" t="n"/>
      <c r="B117" s="1" t="n"/>
      <c r="C117" s="1" t="n"/>
      <c r="D117" s="1" t="n"/>
      <c r="E117" s="1" t="n"/>
      <c r="F117" s="1" t="n"/>
      <c r="G117" s="1" t="n"/>
      <c r="H117" s="1" t="n"/>
      <c r="I117" s="1" t="n"/>
      <c r="J117" s="1" t="n"/>
      <c r="K117" s="1" t="n"/>
      <c r="L117" s="1" t="n"/>
      <c r="M117" s="1" t="n"/>
    </row>
    <row r="118" ht="15" customHeight="1">
      <c r="A118" s="1" t="n"/>
      <c r="B118" s="1" t="n"/>
      <c r="C118" s="1" t="n"/>
      <c r="D118" s="1" t="n"/>
      <c r="E118" s="1" t="n"/>
      <c r="F118" s="1" t="n"/>
      <c r="G118" s="1" t="n"/>
      <c r="H118" s="1" t="n"/>
      <c r="I118" s="1" t="n"/>
      <c r="J118" s="1" t="n"/>
      <c r="K118" s="1" t="n"/>
      <c r="L118" s="1" t="n"/>
      <c r="M118" s="1" t="n"/>
    </row>
    <row r="119" ht="15" customHeight="1">
      <c r="A119" s="1" t="n"/>
      <c r="B119" s="1" t="n"/>
      <c r="C119" s="1" t="n"/>
      <c r="D119" s="1" t="n"/>
      <c r="E119" s="1" t="n"/>
      <c r="F119" s="1" t="n"/>
      <c r="G119" s="1" t="n"/>
      <c r="H119" s="1" t="n"/>
      <c r="I119" s="1" t="n"/>
      <c r="J119" s="1" t="n"/>
      <c r="K119" s="1" t="n"/>
      <c r="L119" s="1" t="n"/>
      <c r="M119" s="1" t="n"/>
    </row>
    <row r="120" ht="15" customHeight="1">
      <c r="A120" s="1" t="n"/>
      <c r="B120" s="1" t="n"/>
      <c r="C120" s="1" t="n"/>
      <c r="D120" s="1" t="n"/>
      <c r="E120" s="1" t="n"/>
      <c r="F120" s="1" t="n"/>
      <c r="G120" s="1" t="n"/>
      <c r="H120" s="1" t="n"/>
      <c r="I120" s="1" t="n"/>
      <c r="J120" s="1" t="n"/>
      <c r="K120" s="1" t="n"/>
      <c r="L120" s="1" t="n"/>
      <c r="M120" s="1" t="n"/>
    </row>
    <row r="121" ht="15" customHeight="1">
      <c r="A121" s="1" t="n"/>
      <c r="B121" s="1" t="n"/>
      <c r="C121" s="1" t="n"/>
      <c r="D121" s="1" t="n"/>
      <c r="E121" s="1" t="n"/>
      <c r="F121" s="1" t="n"/>
      <c r="G121" s="1" t="n"/>
      <c r="H121" s="1" t="n"/>
      <c r="I121" s="1" t="n"/>
      <c r="J121" s="1" t="n"/>
      <c r="K121" s="1" t="n"/>
      <c r="L121" s="1" t="n"/>
      <c r="M121" s="1" t="n"/>
    </row>
    <row r="122" ht="15" customHeight="1">
      <c r="A122" s="1" t="n"/>
      <c r="B122" s="1" t="n"/>
      <c r="C122" s="1" t="n"/>
      <c r="D122" s="1" t="n"/>
      <c r="E122" s="1" t="n"/>
      <c r="F122" s="1" t="n"/>
      <c r="G122" s="1" t="n"/>
      <c r="H122" s="1" t="n"/>
      <c r="I122" s="1" t="n"/>
      <c r="J122" s="1" t="n"/>
      <c r="K122" s="1" t="n"/>
      <c r="L122" s="1" t="n"/>
      <c r="M122" s="1" t="n"/>
    </row>
    <row r="123" ht="15" customHeight="1">
      <c r="A123" s="1" t="n"/>
      <c r="B123" s="1" t="n"/>
      <c r="C123" s="1" t="n"/>
      <c r="D123" s="1" t="n"/>
      <c r="E123" s="1" t="n"/>
      <c r="F123" s="1" t="n"/>
      <c r="G123" s="1" t="n"/>
      <c r="H123" s="1" t="n"/>
      <c r="I123" s="1" t="n"/>
      <c r="J123" s="1" t="n"/>
      <c r="K123" s="1" t="n"/>
      <c r="L123" s="1" t="n"/>
      <c r="M123" s="1" t="n"/>
    </row>
    <row r="124" ht="15" customHeight="1">
      <c r="A124" s="1" t="n"/>
      <c r="B124" s="1" t="n"/>
      <c r="C124" s="1" t="n"/>
      <c r="D124" s="1" t="n"/>
      <c r="E124" s="1" t="n"/>
      <c r="F124" s="1" t="n"/>
      <c r="G124" s="1" t="n"/>
      <c r="H124" s="1" t="n"/>
      <c r="I124" s="1" t="n"/>
      <c r="J124" s="1" t="n"/>
      <c r="K124" s="1" t="n"/>
      <c r="L124" s="1" t="n"/>
      <c r="M124" s="1" t="n"/>
    </row>
    <row r="125" ht="15" customHeight="1">
      <c r="A125" s="1" t="n"/>
      <c r="B125" s="1" t="n"/>
      <c r="C125" s="1" t="n"/>
      <c r="D125" s="1" t="n"/>
      <c r="E125" s="1" t="n"/>
      <c r="F125" s="1" t="n"/>
      <c r="G125" s="1" t="n"/>
      <c r="H125" s="1" t="n"/>
      <c r="I125" s="1" t="n"/>
      <c r="J125" s="1" t="n"/>
      <c r="K125" s="1" t="n"/>
      <c r="L125" s="1" t="n"/>
      <c r="M125" s="1" t="n"/>
    </row>
    <row r="126" ht="15" customHeight="1">
      <c r="A126" s="1" t="n"/>
      <c r="B126" s="1" t="n"/>
      <c r="C126" s="1" t="n"/>
      <c r="D126" s="1" t="n"/>
      <c r="E126" s="1" t="n"/>
      <c r="F126" s="1" t="n"/>
      <c r="G126" s="1" t="n"/>
      <c r="H126" s="1" t="n"/>
      <c r="I126" s="1" t="n"/>
      <c r="J126" s="1" t="n"/>
      <c r="K126" s="1" t="n"/>
      <c r="L126" s="1" t="n"/>
      <c r="M126" s="1" t="n"/>
    </row>
    <row r="127" ht="15" customHeight="1">
      <c r="A127" s="1" t="n"/>
      <c r="B127" s="1" t="n"/>
      <c r="C127" s="1" t="n"/>
      <c r="D127" s="1" t="n"/>
      <c r="E127" s="1" t="n"/>
      <c r="F127" s="1" t="n"/>
      <c r="G127" s="1" t="n"/>
      <c r="H127" s="1" t="n"/>
      <c r="I127" s="1" t="n"/>
      <c r="J127" s="1" t="n"/>
      <c r="K127" s="1" t="n"/>
      <c r="L127" s="1" t="n"/>
      <c r="M127" s="1" t="n"/>
    </row>
    <row r="128" ht="15" customHeight="1">
      <c r="A128" s="1" t="n"/>
      <c r="B128" s="1" t="n"/>
      <c r="C128" s="1" t="n"/>
      <c r="D128" s="1" t="n"/>
      <c r="E128" s="1" t="n"/>
      <c r="F128" s="1" t="n"/>
      <c r="G128" s="1" t="n"/>
      <c r="H128" s="1" t="n"/>
      <c r="I128" s="1" t="n"/>
      <c r="J128" s="1" t="n"/>
      <c r="K128" s="1" t="n"/>
      <c r="L128" s="1" t="n"/>
      <c r="M128" s="1" t="n"/>
    </row>
    <row r="129" ht="15" customHeight="1">
      <c r="A129" s="1" t="n"/>
      <c r="B129" s="1" t="n"/>
      <c r="C129" s="1" t="n"/>
      <c r="D129" s="1" t="n"/>
      <c r="E129" s="1" t="n"/>
      <c r="F129" s="1" t="n"/>
      <c r="G129" s="1" t="n"/>
      <c r="H129" s="1" t="n"/>
      <c r="I129" s="1" t="n"/>
      <c r="J129" s="1" t="n"/>
      <c r="K129" s="1" t="n"/>
      <c r="L129" s="1" t="n"/>
      <c r="M129" s="1" t="n"/>
    </row>
    <row r="130" ht="15" customHeight="1">
      <c r="A130" s="1" t="n"/>
      <c r="B130" s="1" t="n"/>
      <c r="C130" s="1" t="n"/>
      <c r="D130" s="1" t="n"/>
      <c r="E130" s="1" t="n"/>
      <c r="F130" s="1" t="n"/>
      <c r="G130" s="1" t="n"/>
      <c r="H130" s="1" t="n"/>
      <c r="I130" s="1" t="n"/>
      <c r="J130" s="1" t="n"/>
      <c r="K130" s="1" t="n"/>
      <c r="L130" s="1" t="n"/>
      <c r="M130" s="1" t="n"/>
    </row>
    <row r="131" ht="15" customHeight="1">
      <c r="A131" s="1" t="n"/>
      <c r="B131" s="1" t="n"/>
      <c r="C131" s="1" t="n"/>
      <c r="D131" s="1" t="n"/>
      <c r="E131" s="1" t="n"/>
      <c r="F131" s="1" t="n"/>
      <c r="G131" s="1" t="n"/>
      <c r="H131" s="1" t="n"/>
      <c r="I131" s="1" t="n"/>
      <c r="J131" s="1" t="n"/>
      <c r="K131" s="1" t="n"/>
      <c r="L131" s="1" t="n"/>
      <c r="M131" s="1" t="n"/>
    </row>
    <row r="132" ht="15" customHeight="1">
      <c r="A132" s="1" t="n"/>
      <c r="B132" s="1" t="n"/>
      <c r="C132" s="1" t="n"/>
      <c r="D132" s="1" t="n"/>
      <c r="E132" s="1" t="n"/>
      <c r="F132" s="1" t="n"/>
      <c r="G132" s="1" t="n"/>
      <c r="H132" s="1" t="n"/>
      <c r="I132" s="1" t="n"/>
      <c r="J132" s="1" t="n"/>
      <c r="K132" s="1" t="n"/>
      <c r="L132" s="1" t="n"/>
      <c r="M132" s="1" t="n"/>
    </row>
    <row r="133" ht="15" customHeight="1">
      <c r="A133" s="1" t="n"/>
      <c r="B133" s="1" t="n"/>
      <c r="C133" s="1" t="n"/>
      <c r="D133" s="1" t="n"/>
      <c r="E133" s="1" t="n"/>
      <c r="F133" s="1" t="n"/>
      <c r="G133" s="1" t="n"/>
      <c r="H133" s="1" t="n"/>
      <c r="I133" s="1" t="n"/>
      <c r="J133" s="1" t="n"/>
      <c r="K133" s="1" t="n"/>
      <c r="L133" s="1" t="n"/>
      <c r="M133" s="1" t="n"/>
    </row>
    <row r="134" ht="15" customHeight="1">
      <c r="A134" s="1" t="n"/>
      <c r="B134" s="1" t="n"/>
      <c r="C134" s="1" t="n"/>
      <c r="D134" s="1" t="n"/>
      <c r="E134" s="1" t="n"/>
      <c r="F134" s="1" t="n"/>
      <c r="G134" s="1" t="n"/>
      <c r="H134" s="1" t="n"/>
      <c r="I134" s="1" t="n"/>
      <c r="J134" s="1" t="n"/>
      <c r="K134" s="1" t="n"/>
      <c r="L134" s="1" t="n"/>
      <c r="M134" s="1" t="n"/>
    </row>
    <row r="135" ht="15" customHeight="1">
      <c r="A135" s="1" t="n"/>
      <c r="B135" s="1" t="n"/>
      <c r="C135" s="1" t="n"/>
      <c r="D135" s="1" t="n"/>
      <c r="E135" s="1" t="n"/>
      <c r="F135" s="1" t="n"/>
      <c r="G135" s="1" t="n"/>
      <c r="H135" s="1" t="n"/>
      <c r="I135" s="1" t="n"/>
      <c r="J135" s="1" t="n"/>
      <c r="K135" s="1" t="n"/>
      <c r="L135" s="1" t="n"/>
      <c r="M135" s="1" t="n"/>
    </row>
    <row r="136" ht="15" customHeight="1">
      <c r="A136" s="1" t="n"/>
      <c r="B136" s="1" t="n"/>
      <c r="C136" s="1" t="n"/>
      <c r="D136" s="1" t="n"/>
      <c r="E136" s="1" t="n"/>
      <c r="F136" s="1" t="n"/>
      <c r="G136" s="1" t="n"/>
      <c r="H136" s="1" t="n"/>
      <c r="I136" s="1" t="n"/>
      <c r="J136" s="1" t="n"/>
      <c r="K136" s="1" t="n"/>
      <c r="L136" s="1" t="n"/>
      <c r="M136" s="1" t="n"/>
    </row>
    <row r="137" ht="15" customHeight="1">
      <c r="A137" s="1" t="n"/>
      <c r="B137" s="1" t="n"/>
      <c r="C137" s="1" t="n"/>
      <c r="D137" s="1" t="n"/>
      <c r="E137" s="1" t="n"/>
      <c r="F137" s="1" t="n"/>
      <c r="G137" s="1" t="n"/>
      <c r="H137" s="1" t="n"/>
      <c r="I137" s="1" t="n"/>
      <c r="J137" s="1" t="n"/>
      <c r="K137" s="1" t="n"/>
      <c r="L137" s="1" t="n"/>
      <c r="M137" s="1" t="n"/>
    </row>
    <row r="138" ht="15" customHeight="1">
      <c r="A138" s="1" t="n"/>
      <c r="B138" s="1" t="n"/>
      <c r="C138" s="1" t="n"/>
      <c r="D138" s="1" t="n"/>
      <c r="E138" s="1" t="n"/>
      <c r="F138" s="1" t="n"/>
      <c r="G138" s="1" t="n"/>
      <c r="H138" s="1" t="n"/>
      <c r="I138" s="1" t="n"/>
      <c r="J138" s="1" t="n"/>
      <c r="K138" s="1" t="n"/>
      <c r="L138" s="1" t="n"/>
      <c r="M138" s="1" t="n"/>
    </row>
    <row r="139" ht="15" customHeight="1">
      <c r="A139" s="1" t="n"/>
      <c r="B139" s="1" t="n"/>
      <c r="C139" s="1" t="n"/>
      <c r="D139" s="1" t="n"/>
      <c r="E139" s="1" t="n"/>
      <c r="F139" s="1" t="n"/>
      <c r="G139" s="1" t="n"/>
      <c r="H139" s="1" t="n"/>
      <c r="I139" s="1" t="n"/>
      <c r="J139" s="1" t="n"/>
      <c r="K139" s="1" t="n"/>
      <c r="L139" s="1" t="n"/>
      <c r="M139" s="1" t="n"/>
    </row>
    <row r="140" ht="15" customHeight="1">
      <c r="A140" s="1" t="n"/>
      <c r="B140" s="1" t="n"/>
      <c r="C140" s="1" t="n"/>
      <c r="D140" s="1" t="n"/>
      <c r="E140" s="1" t="n"/>
      <c r="F140" s="1" t="n"/>
      <c r="G140" s="1" t="n"/>
      <c r="H140" s="1" t="n"/>
      <c r="I140" s="1" t="n"/>
      <c r="J140" s="1" t="n"/>
      <c r="K140" s="1" t="n"/>
      <c r="L140" s="1" t="n"/>
      <c r="M140" s="1" t="n"/>
    </row>
    <row r="141" ht="15" customHeight="1">
      <c r="A141" s="1" t="n"/>
      <c r="B141" s="1" t="n"/>
      <c r="C141" s="1" t="n"/>
      <c r="D141" s="1" t="n"/>
      <c r="E141" s="1" t="n"/>
      <c r="F141" s="1" t="n"/>
      <c r="G141" s="1" t="n"/>
      <c r="H141" s="1" t="n"/>
      <c r="I141" s="1" t="n"/>
      <c r="J141" s="1" t="n"/>
      <c r="K141" s="1" t="n"/>
      <c r="L141" s="1" t="n"/>
      <c r="M141" s="1" t="n"/>
    </row>
    <row r="142" ht="15" customHeight="1">
      <c r="A142" s="1" t="n"/>
      <c r="B142" s="1" t="n"/>
      <c r="C142" s="1" t="n"/>
      <c r="D142" s="1" t="n"/>
      <c r="E142" s="1" t="n"/>
      <c r="F142" s="1" t="n"/>
      <c r="G142" s="1" t="n"/>
      <c r="H142" s="1" t="n"/>
      <c r="I142" s="1" t="n"/>
      <c r="J142" s="1" t="n"/>
      <c r="K142" s="1" t="n"/>
      <c r="L142" s="1" t="n"/>
      <c r="M142" s="1" t="n"/>
    </row>
    <row r="143" ht="15" customHeight="1">
      <c r="A143" s="1" t="n"/>
      <c r="B143" s="1" t="n"/>
      <c r="C143" s="1" t="n"/>
      <c r="D143" s="1" t="n"/>
      <c r="E143" s="1" t="n"/>
      <c r="F143" s="1" t="n"/>
      <c r="G143" s="1" t="n"/>
      <c r="H143" s="1" t="n"/>
      <c r="I143" s="1" t="n"/>
      <c r="J143" s="1" t="n"/>
      <c r="K143" s="1" t="n"/>
      <c r="L143" s="1" t="n"/>
      <c r="M143" s="1" t="n"/>
    </row>
    <row r="144" ht="15" customHeight="1">
      <c r="A144" s="1" t="n"/>
      <c r="B144" s="1" t="n"/>
      <c r="C144" s="1" t="n"/>
      <c r="D144" s="1" t="n"/>
      <c r="E144" s="1" t="n"/>
      <c r="F144" s="1" t="n"/>
      <c r="G144" s="1" t="n"/>
      <c r="H144" s="1" t="n"/>
      <c r="I144" s="1" t="n"/>
      <c r="J144" s="1" t="n"/>
      <c r="K144" s="1" t="n"/>
      <c r="L144" s="1" t="n"/>
      <c r="M144" s="1" t="n"/>
    </row>
    <row r="145" ht="15" customHeight="1">
      <c r="A145" s="1" t="n"/>
      <c r="B145" s="1" t="n"/>
      <c r="C145" s="1" t="n"/>
      <c r="D145" s="1" t="n"/>
      <c r="E145" s="1" t="n"/>
      <c r="F145" s="1" t="n"/>
      <c r="G145" s="1" t="n"/>
      <c r="H145" s="1" t="n"/>
      <c r="I145" s="1" t="n"/>
      <c r="J145" s="1" t="n"/>
      <c r="K145" s="1" t="n"/>
      <c r="L145" s="1" t="n"/>
      <c r="M145" s="1" t="n"/>
    </row>
    <row r="146" ht="15" customHeight="1">
      <c r="A146" s="1" t="n"/>
      <c r="B146" s="1" t="n"/>
      <c r="C146" s="1" t="n"/>
      <c r="D146" s="1" t="n"/>
      <c r="E146" s="1" t="n"/>
      <c r="F146" s="1" t="n"/>
      <c r="G146" s="1" t="n"/>
      <c r="H146" s="1" t="n"/>
      <c r="I146" s="1" t="n"/>
      <c r="J146" s="1" t="n"/>
      <c r="K146" s="1" t="n"/>
      <c r="L146" s="1" t="n"/>
      <c r="M146" s="1" t="n"/>
    </row>
    <row r="147" ht="15" customHeight="1">
      <c r="A147" s="1" t="n"/>
      <c r="B147" s="1" t="n"/>
      <c r="C147" s="1" t="n"/>
      <c r="D147" s="1" t="n"/>
      <c r="E147" s="1" t="n"/>
      <c r="F147" s="1" t="n"/>
      <c r="G147" s="1" t="n"/>
      <c r="H147" s="1" t="n"/>
      <c r="I147" s="1" t="n"/>
      <c r="J147" s="1" t="n"/>
      <c r="K147" s="1" t="n"/>
      <c r="L147" s="1" t="n"/>
      <c r="M147" s="1" t="n"/>
    </row>
    <row r="148" ht="15" customHeight="1">
      <c r="A148" s="1" t="n"/>
      <c r="B148" s="1" t="n"/>
      <c r="C148" s="1" t="n"/>
      <c r="D148" s="1" t="n"/>
      <c r="E148" s="1" t="n"/>
      <c r="F148" s="1" t="n"/>
      <c r="G148" s="1" t="n"/>
      <c r="H148" s="1" t="n"/>
      <c r="I148" s="1" t="n"/>
      <c r="J148" s="1" t="n"/>
      <c r="K148" s="1" t="n"/>
      <c r="L148" s="1" t="n"/>
      <c r="M148" s="1" t="n"/>
    </row>
    <row r="149" ht="15" customHeight="1">
      <c r="A149" s="1" t="n"/>
      <c r="B149" s="1" t="n"/>
      <c r="C149" s="1" t="n"/>
      <c r="D149" s="1" t="n"/>
      <c r="E149" s="1" t="n"/>
      <c r="F149" s="1" t="n"/>
      <c r="G149" s="1" t="n"/>
      <c r="H149" s="1" t="n"/>
      <c r="I149" s="1" t="n"/>
      <c r="J149" s="1" t="n"/>
      <c r="K149" s="1" t="n"/>
      <c r="L149" s="1" t="n"/>
      <c r="M149" s="1" t="n"/>
    </row>
    <row r="150" ht="15" customHeight="1">
      <c r="A150" s="1" t="n"/>
      <c r="B150" s="1" t="n"/>
      <c r="C150" s="1" t="n"/>
      <c r="D150" s="1" t="n"/>
      <c r="E150" s="1" t="n"/>
      <c r="F150" s="1" t="n"/>
      <c r="G150" s="1" t="n"/>
      <c r="H150" s="1" t="n"/>
      <c r="I150" s="1" t="n"/>
      <c r="J150" s="1" t="n"/>
      <c r="K150" s="1" t="n"/>
      <c r="L150" s="1" t="n"/>
      <c r="M150" s="1" t="n"/>
    </row>
    <row r="151" ht="15" customHeight="1">
      <c r="A151" s="1" t="n"/>
      <c r="B151" s="1" t="n"/>
      <c r="C151" s="1" t="n"/>
      <c r="D151" s="1" t="n"/>
      <c r="E151" s="1" t="n"/>
      <c r="F151" s="1" t="n"/>
      <c r="G151" s="1" t="n"/>
      <c r="H151" s="1" t="n"/>
      <c r="I151" s="1" t="n"/>
      <c r="J151" s="1" t="n"/>
      <c r="K151" s="1" t="n"/>
      <c r="L151" s="1" t="n"/>
      <c r="M151" s="1" t="n"/>
    </row>
    <row r="152" ht="15" customHeight="1">
      <c r="A152" s="1" t="n"/>
      <c r="B152" s="1" t="n"/>
      <c r="C152" s="1" t="n"/>
      <c r="D152" s="1" t="n"/>
      <c r="E152" s="1" t="n"/>
      <c r="F152" s="1" t="n"/>
      <c r="G152" s="1" t="n"/>
      <c r="H152" s="1" t="n"/>
      <c r="I152" s="1" t="n"/>
      <c r="J152" s="1" t="n"/>
      <c r="K152" s="1" t="n"/>
      <c r="L152" s="1" t="n"/>
      <c r="M152" s="1" t="n"/>
    </row>
    <row r="153" ht="15" customHeight="1">
      <c r="A153" s="1" t="n"/>
      <c r="B153" s="1" t="n"/>
      <c r="C153" s="1" t="n"/>
      <c r="D153" s="1" t="n"/>
      <c r="E153" s="1" t="n"/>
      <c r="F153" s="1" t="n"/>
      <c r="G153" s="1" t="n"/>
      <c r="H153" s="1" t="n"/>
      <c r="I153" s="1" t="n"/>
      <c r="J153" s="1" t="n"/>
      <c r="K153" s="1" t="n"/>
      <c r="L153" s="1" t="n"/>
      <c r="M153" s="1" t="n"/>
    </row>
    <row r="154" ht="15" customHeight="1">
      <c r="A154" s="1" t="n"/>
      <c r="B154" s="1" t="n"/>
      <c r="C154" s="1" t="n"/>
      <c r="D154" s="1" t="n"/>
      <c r="E154" s="1" t="n"/>
      <c r="F154" s="1" t="n"/>
      <c r="G154" s="1" t="n"/>
      <c r="H154" s="1" t="n"/>
      <c r="I154" s="1" t="n"/>
      <c r="J154" s="1" t="n"/>
      <c r="K154" s="1" t="n"/>
      <c r="L154" s="1" t="n"/>
      <c r="M154" s="1" t="n"/>
    </row>
    <row r="155" ht="15" customHeight="1">
      <c r="A155" s="1" t="n"/>
      <c r="B155" s="1" t="n"/>
      <c r="C155" s="1" t="n"/>
      <c r="D155" s="1" t="n"/>
      <c r="E155" s="1" t="n"/>
      <c r="F155" s="1" t="n"/>
      <c r="G155" s="1" t="n"/>
      <c r="H155" s="1" t="n"/>
      <c r="I155" s="1" t="n"/>
      <c r="J155" s="1" t="n"/>
      <c r="K155" s="1" t="n"/>
      <c r="L155" s="1" t="n"/>
      <c r="M155" s="1" t="n"/>
    </row>
    <row r="156" ht="15" customHeight="1">
      <c r="A156" s="1" t="n"/>
      <c r="B156" s="1" t="n"/>
      <c r="C156" s="1" t="n"/>
      <c r="D156" s="1" t="n"/>
      <c r="E156" s="1" t="n"/>
      <c r="F156" s="1" t="n"/>
      <c r="G156" s="1" t="n"/>
      <c r="H156" s="1" t="n"/>
      <c r="I156" s="1" t="n"/>
      <c r="J156" s="1" t="n"/>
      <c r="K156" s="1" t="n"/>
      <c r="L156" s="1" t="n"/>
      <c r="M156" s="1" t="n"/>
    </row>
    <row r="157" ht="15" customHeight="1">
      <c r="A157" s="1" t="n"/>
      <c r="B157" s="1" t="n"/>
      <c r="C157" s="1" t="n"/>
      <c r="D157" s="1" t="n"/>
      <c r="E157" s="1" t="n"/>
      <c r="F157" s="1" t="n"/>
      <c r="G157" s="1" t="n"/>
      <c r="H157" s="1" t="n"/>
      <c r="I157" s="1" t="n"/>
      <c r="J157" s="1" t="n"/>
      <c r="K157" s="1" t="n"/>
      <c r="L157" s="1" t="n"/>
      <c r="M157" s="1" t="n"/>
    </row>
    <row r="158" ht="15" customHeight="1">
      <c r="A158" s="1" t="n"/>
      <c r="B158" s="1" t="n"/>
      <c r="C158" s="1" t="n"/>
      <c r="D158" s="1" t="n"/>
      <c r="E158" s="1" t="n"/>
      <c r="F158" s="1" t="n"/>
      <c r="G158" s="1" t="n"/>
      <c r="H158" s="1" t="n"/>
      <c r="I158" s="1" t="n"/>
      <c r="J158" s="1" t="n"/>
      <c r="K158" s="1" t="n"/>
      <c r="L158" s="1" t="n"/>
      <c r="M158" s="1" t="n"/>
    </row>
    <row r="159" ht="15" customHeight="1">
      <c r="A159" s="1" t="n"/>
      <c r="B159" s="1" t="n"/>
      <c r="C159" s="1" t="n"/>
      <c r="D159" s="1" t="n"/>
      <c r="E159" s="1" t="n"/>
      <c r="F159" s="1" t="n"/>
      <c r="G159" s="1" t="n"/>
      <c r="H159" s="1" t="n"/>
      <c r="I159" s="1" t="n"/>
      <c r="J159" s="1" t="n"/>
      <c r="K159" s="1" t="n"/>
      <c r="L159" s="1" t="n"/>
      <c r="M159" s="1" t="n"/>
    </row>
    <row r="160" ht="15" customHeight="1">
      <c r="A160" s="1" t="n"/>
      <c r="B160" s="1" t="n"/>
      <c r="C160" s="1" t="n"/>
      <c r="D160" s="1" t="n"/>
      <c r="E160" s="1" t="n"/>
      <c r="F160" s="1" t="n"/>
      <c r="G160" s="1" t="n"/>
      <c r="H160" s="1" t="n"/>
      <c r="I160" s="1" t="n"/>
      <c r="J160" s="1" t="n"/>
      <c r="K160" s="1" t="n"/>
      <c r="L160" s="1" t="n"/>
      <c r="M160" s="1" t="n"/>
    </row>
    <row r="161" ht="15" customHeight="1">
      <c r="A161" s="1" t="n"/>
      <c r="B161" s="1" t="n"/>
      <c r="C161" s="1" t="n"/>
      <c r="D161" s="1" t="n"/>
      <c r="E161" s="1" t="n"/>
      <c r="F161" s="1" t="n"/>
      <c r="G161" s="1" t="n"/>
      <c r="H161" s="1" t="n"/>
      <c r="I161" s="1" t="n"/>
      <c r="J161" s="1" t="n"/>
      <c r="K161" s="1" t="n"/>
      <c r="L161" s="1" t="n"/>
      <c r="M161" s="1" t="n"/>
    </row>
    <row r="162" ht="15" customHeight="1">
      <c r="A162" s="1" t="n"/>
      <c r="B162" s="1" t="n"/>
      <c r="C162" s="1" t="n"/>
      <c r="D162" s="1" t="n"/>
      <c r="E162" s="1" t="n"/>
      <c r="F162" s="1" t="n"/>
      <c r="G162" s="1" t="n"/>
      <c r="H162" s="1" t="n"/>
      <c r="I162" s="1" t="n"/>
      <c r="J162" s="1" t="n"/>
      <c r="K162" s="1" t="n"/>
      <c r="L162" s="1" t="n"/>
      <c r="M162" s="1" t="n"/>
    </row>
    <row r="163" ht="15" customHeight="1">
      <c r="A163" s="1" t="n"/>
      <c r="B163" s="1" t="n"/>
      <c r="C163" s="1" t="n"/>
      <c r="D163" s="1" t="n"/>
      <c r="E163" s="1" t="n"/>
      <c r="F163" s="1" t="n"/>
      <c r="G163" s="1" t="n"/>
      <c r="H163" s="1" t="n"/>
      <c r="I163" s="1" t="n"/>
      <c r="J163" s="1" t="n"/>
      <c r="K163" s="1" t="n"/>
      <c r="L163" s="1" t="n"/>
      <c r="M163" s="1" t="n"/>
    </row>
    <row r="164" ht="15" customHeight="1">
      <c r="A164" s="1" t="n"/>
      <c r="B164" s="1" t="n"/>
      <c r="C164" s="1" t="n"/>
      <c r="D164" s="1" t="n"/>
      <c r="E164" s="1" t="n"/>
      <c r="F164" s="1" t="n"/>
      <c r="G164" s="1" t="n"/>
      <c r="H164" s="1" t="n"/>
      <c r="I164" s="1" t="n"/>
      <c r="J164" s="1" t="n"/>
      <c r="K164" s="1" t="n"/>
      <c r="L164" s="1" t="n"/>
      <c r="M164" s="1" t="n"/>
    </row>
    <row r="165" ht="15" customHeight="1">
      <c r="A165" s="1" t="n"/>
      <c r="B165" s="1" t="n"/>
      <c r="C165" s="1" t="n"/>
      <c r="D165" s="1" t="n"/>
      <c r="E165" s="1" t="n"/>
      <c r="F165" s="1" t="n"/>
      <c r="G165" s="1" t="n"/>
      <c r="H165" s="1" t="n"/>
      <c r="I165" s="1" t="n"/>
      <c r="J165" s="1" t="n"/>
      <c r="K165" s="1" t="n"/>
      <c r="L165" s="1" t="n"/>
      <c r="M165" s="1" t="n"/>
    </row>
    <row r="166" ht="15" customHeight="1">
      <c r="A166" s="1" t="n"/>
      <c r="B166" s="1" t="n"/>
      <c r="C166" s="1" t="n"/>
      <c r="D166" s="1" t="n"/>
      <c r="E166" s="1" t="n"/>
      <c r="F166" s="1" t="n"/>
      <c r="G166" s="1" t="n"/>
      <c r="H166" s="1" t="n"/>
      <c r="I166" s="1" t="n"/>
      <c r="J166" s="1" t="n"/>
      <c r="K166" s="1" t="n"/>
      <c r="L166" s="1" t="n"/>
      <c r="M166" s="1" t="n"/>
    </row>
    <row r="167" ht="15" customHeight="1">
      <c r="A167" s="1" t="n"/>
      <c r="B167" s="1" t="n"/>
      <c r="C167" s="1" t="n"/>
      <c r="D167" s="1" t="n"/>
      <c r="E167" s="1" t="n"/>
      <c r="F167" s="1" t="n"/>
      <c r="G167" s="1" t="n"/>
      <c r="H167" s="1" t="n"/>
      <c r="I167" s="1" t="n"/>
      <c r="J167" s="1" t="n"/>
      <c r="K167" s="1" t="n"/>
      <c r="L167" s="1" t="n"/>
      <c r="M167" s="1" t="n"/>
    </row>
    <row r="168" ht="15" customHeight="1">
      <c r="A168" s="1" t="n"/>
      <c r="B168" s="1" t="n"/>
      <c r="C168" s="1" t="n"/>
      <c r="D168" s="1" t="n"/>
      <c r="E168" s="1" t="n"/>
      <c r="F168" s="1" t="n"/>
      <c r="G168" s="1" t="n"/>
      <c r="H168" s="1" t="n"/>
      <c r="I168" s="1" t="n"/>
      <c r="J168" s="1" t="n"/>
      <c r="K168" s="1" t="n"/>
      <c r="L168" s="1" t="n"/>
      <c r="M168" s="1" t="n"/>
    </row>
    <row r="169" ht="15" customHeight="1">
      <c r="A169" s="1" t="n"/>
      <c r="B169" s="1" t="n"/>
      <c r="C169" s="1" t="n"/>
      <c r="D169" s="1" t="n"/>
      <c r="E169" s="1" t="n"/>
      <c r="F169" s="1" t="n"/>
      <c r="G169" s="1" t="n"/>
      <c r="H169" s="1" t="n"/>
      <c r="I169" s="1" t="n"/>
      <c r="J169" s="1" t="n"/>
      <c r="K169" s="1" t="n"/>
      <c r="L169" s="1" t="n"/>
      <c r="M169" s="1" t="n"/>
    </row>
    <row r="170" ht="15" customHeight="1">
      <c r="A170" s="1" t="n"/>
      <c r="B170" s="1" t="n"/>
      <c r="C170" s="1" t="n"/>
      <c r="D170" s="1" t="n"/>
      <c r="E170" s="1" t="n"/>
      <c r="F170" s="1" t="n"/>
      <c r="G170" s="1" t="n"/>
      <c r="H170" s="1" t="n"/>
      <c r="I170" s="1" t="n"/>
      <c r="J170" s="1" t="n"/>
      <c r="K170" s="1" t="n"/>
      <c r="L170" s="1" t="n"/>
      <c r="M170" s="1" t="n"/>
    </row>
    <row r="171" ht="15" customHeight="1">
      <c r="A171" s="1" t="n"/>
      <c r="B171" s="1" t="n"/>
      <c r="C171" s="1" t="n"/>
      <c r="D171" s="1" t="n"/>
      <c r="E171" s="1" t="n"/>
      <c r="F171" s="1" t="n"/>
      <c r="G171" s="1" t="n"/>
      <c r="H171" s="1" t="n"/>
      <c r="I171" s="1" t="n"/>
      <c r="J171" s="1" t="n"/>
      <c r="K171" s="1" t="n"/>
      <c r="L171" s="1" t="n"/>
      <c r="M171" s="1" t="n"/>
    </row>
    <row r="172" ht="15" customHeight="1">
      <c r="A172" s="1" t="n"/>
      <c r="B172" s="1" t="n"/>
      <c r="C172" s="1" t="n"/>
      <c r="D172" s="1" t="n"/>
      <c r="E172" s="1" t="n"/>
      <c r="F172" s="1" t="n"/>
      <c r="G172" s="1" t="n"/>
      <c r="H172" s="1" t="n"/>
      <c r="I172" s="1" t="n"/>
      <c r="J172" s="1" t="n"/>
      <c r="K172" s="1" t="n"/>
      <c r="L172" s="1" t="n"/>
      <c r="M172" s="1" t="n"/>
    </row>
    <row r="173" ht="15" customHeight="1">
      <c r="A173" s="1" t="n"/>
      <c r="B173" s="1" t="n"/>
      <c r="C173" s="1" t="n"/>
      <c r="D173" s="1" t="n"/>
      <c r="E173" s="1" t="n"/>
      <c r="F173" s="1" t="n"/>
      <c r="G173" s="1" t="n"/>
      <c r="H173" s="1" t="n"/>
      <c r="I173" s="1" t="n"/>
      <c r="J173" s="1" t="n"/>
      <c r="K173" s="1" t="n"/>
      <c r="L173" s="1" t="n"/>
      <c r="M173" s="1" t="n"/>
    </row>
    <row r="174" ht="15" customHeight="1">
      <c r="A174" s="1" t="n"/>
      <c r="B174" s="1" t="n"/>
      <c r="C174" s="1" t="n"/>
      <c r="D174" s="1" t="n"/>
      <c r="E174" s="1" t="n"/>
      <c r="F174" s="1" t="n"/>
      <c r="G174" s="1" t="n"/>
      <c r="H174" s="1" t="n"/>
      <c r="I174" s="1" t="n"/>
      <c r="J174" s="1" t="n"/>
      <c r="K174" s="1" t="n"/>
      <c r="L174" s="1" t="n"/>
      <c r="M174" s="1" t="n"/>
    </row>
    <row r="175" ht="15" customHeight="1">
      <c r="A175" s="1" t="n"/>
      <c r="B175" s="1" t="n"/>
      <c r="C175" s="1" t="n"/>
      <c r="D175" s="1" t="n"/>
      <c r="E175" s="1" t="n"/>
      <c r="F175" s="1" t="n"/>
      <c r="G175" s="1" t="n"/>
      <c r="H175" s="1" t="n"/>
      <c r="I175" s="1" t="n"/>
      <c r="J175" s="1" t="n"/>
      <c r="K175" s="1" t="n"/>
      <c r="L175" s="1" t="n"/>
      <c r="M175" s="1" t="n"/>
    </row>
    <row r="176" ht="15" customHeight="1">
      <c r="A176" s="1" t="n"/>
      <c r="B176" s="1" t="n"/>
      <c r="C176" s="1" t="n"/>
      <c r="D176" s="1" t="n"/>
      <c r="E176" s="1" t="n"/>
      <c r="F176" s="1" t="n"/>
      <c r="G176" s="1" t="n"/>
      <c r="H176" s="1" t="n"/>
      <c r="I176" s="1" t="n"/>
      <c r="J176" s="1" t="n"/>
      <c r="K176" s="1" t="n"/>
      <c r="L176" s="1" t="n"/>
      <c r="M176" s="1" t="n"/>
    </row>
    <row r="177" ht="15" customHeight="1">
      <c r="A177" s="1" t="n"/>
      <c r="B177" s="1" t="n"/>
      <c r="C177" s="1" t="n"/>
      <c r="D177" s="1" t="n"/>
      <c r="E177" s="1" t="n"/>
      <c r="F177" s="1" t="n"/>
      <c r="G177" s="1" t="n"/>
      <c r="H177" s="1" t="n"/>
      <c r="I177" s="1" t="n"/>
      <c r="J177" s="1" t="n"/>
      <c r="K177" s="1" t="n"/>
      <c r="L177" s="1" t="n"/>
      <c r="M177" s="1" t="n"/>
    </row>
    <row r="178" ht="15" customHeight="1">
      <c r="A178" s="1" t="n"/>
      <c r="B178" s="1" t="n"/>
      <c r="C178" s="1" t="n"/>
      <c r="D178" s="1" t="n"/>
      <c r="E178" s="1" t="n"/>
      <c r="F178" s="1" t="n"/>
      <c r="G178" s="1" t="n"/>
      <c r="H178" s="1" t="n"/>
      <c r="I178" s="1" t="n"/>
      <c r="J178" s="1" t="n"/>
      <c r="K178" s="1" t="n"/>
      <c r="L178" s="1" t="n"/>
      <c r="M178" s="1" t="n"/>
    </row>
    <row r="179" ht="15" customHeight="1">
      <c r="A179" s="1" t="n"/>
      <c r="B179" s="1" t="n"/>
      <c r="C179" s="1" t="n"/>
      <c r="D179" s="1" t="n"/>
      <c r="E179" s="1" t="n"/>
      <c r="F179" s="1" t="n"/>
      <c r="G179" s="1" t="n"/>
      <c r="H179" s="1" t="n"/>
      <c r="I179" s="1" t="n"/>
      <c r="J179" s="1" t="n"/>
      <c r="K179" s="1" t="n"/>
      <c r="L179" s="1" t="n"/>
      <c r="M179" s="1" t="n"/>
    </row>
    <row r="180" ht="15" customHeight="1">
      <c r="A180" s="1" t="n"/>
      <c r="B180" s="1" t="n"/>
      <c r="C180" s="1" t="n"/>
      <c r="D180" s="1" t="n"/>
      <c r="E180" s="1" t="n"/>
      <c r="F180" s="1" t="n"/>
      <c r="G180" s="1" t="n"/>
      <c r="H180" s="1" t="n"/>
      <c r="I180" s="1" t="n"/>
      <c r="J180" s="1" t="n"/>
      <c r="K180" s="1" t="n"/>
      <c r="L180" s="1" t="n"/>
      <c r="M180" s="1" t="n"/>
    </row>
    <row r="181" ht="15" customHeight="1">
      <c r="A181" s="1" t="n"/>
      <c r="B181" s="1" t="n"/>
      <c r="C181" s="1" t="n"/>
      <c r="D181" s="1" t="n"/>
      <c r="E181" s="1" t="n"/>
      <c r="F181" s="1" t="n"/>
      <c r="G181" s="1" t="n"/>
      <c r="H181" s="1" t="n"/>
      <c r="I181" s="1" t="n"/>
      <c r="J181" s="1" t="n"/>
      <c r="K181" s="1" t="n"/>
      <c r="L181" s="1" t="n"/>
      <c r="M181" s="1" t="n"/>
    </row>
    <row r="182" ht="15" customHeight="1">
      <c r="A182" s="1" t="n"/>
      <c r="B182" s="1" t="n"/>
      <c r="C182" s="1" t="n"/>
      <c r="D182" s="1" t="n"/>
      <c r="E182" s="1" t="n"/>
      <c r="F182" s="1" t="n"/>
      <c r="G182" s="1" t="n"/>
      <c r="H182" s="1" t="n"/>
      <c r="I182" s="1" t="n"/>
      <c r="J182" s="1" t="n"/>
      <c r="K182" s="1" t="n"/>
      <c r="L182" s="1" t="n"/>
      <c r="M182" s="1" t="n"/>
    </row>
    <row r="183" ht="15" customHeight="1">
      <c r="A183" s="1" t="n"/>
      <c r="B183" s="1" t="n"/>
      <c r="C183" s="1" t="n"/>
      <c r="D183" s="1" t="n"/>
      <c r="E183" s="1" t="n"/>
      <c r="F183" s="1" t="n"/>
      <c r="G183" s="1" t="n"/>
      <c r="H183" s="1" t="n"/>
      <c r="I183" s="1" t="n"/>
      <c r="J183" s="1" t="n"/>
      <c r="K183" s="1" t="n"/>
      <c r="L183" s="1" t="n"/>
      <c r="M183" s="1" t="n"/>
    </row>
    <row r="184" ht="15" customHeight="1">
      <c r="A184" s="1" t="n"/>
      <c r="B184" s="1" t="n"/>
      <c r="C184" s="1" t="n"/>
      <c r="D184" s="1" t="n"/>
      <c r="E184" s="1" t="n"/>
      <c r="F184" s="1" t="n"/>
      <c r="G184" s="1" t="n"/>
      <c r="H184" s="1" t="n"/>
      <c r="I184" s="1" t="n"/>
      <c r="J184" s="1" t="n"/>
      <c r="K184" s="1" t="n"/>
      <c r="L184" s="1" t="n"/>
      <c r="M184" s="1" t="n"/>
    </row>
    <row r="185" ht="15" customHeight="1">
      <c r="A185" s="1" t="n"/>
      <c r="B185" s="1" t="n"/>
      <c r="C185" s="1" t="n"/>
      <c r="D185" s="1" t="n"/>
      <c r="E185" s="1" t="n"/>
      <c r="F185" s="1" t="n"/>
      <c r="G185" s="1" t="n"/>
      <c r="H185" s="1" t="n"/>
      <c r="I185" s="1" t="n"/>
      <c r="J185" s="1" t="n"/>
      <c r="K185" s="1" t="n"/>
      <c r="L185" s="1" t="n"/>
      <c r="M185" s="1" t="n"/>
    </row>
    <row r="186" ht="15" customHeight="1">
      <c r="A186" s="1" t="n"/>
      <c r="B186" s="1" t="n"/>
      <c r="C186" s="1" t="n"/>
      <c r="D186" s="1" t="n"/>
      <c r="E186" s="1" t="n"/>
      <c r="F186" s="1" t="n"/>
      <c r="G186" s="1" t="n"/>
      <c r="H186" s="1" t="n"/>
      <c r="I186" s="1" t="n"/>
      <c r="J186" s="1" t="n"/>
      <c r="K186" s="1" t="n"/>
      <c r="L186" s="1" t="n"/>
      <c r="M186" s="1" t="n"/>
    </row>
    <row r="187" ht="15" customHeight="1">
      <c r="A187" s="1" t="n"/>
      <c r="B187" s="1" t="n"/>
      <c r="C187" s="1" t="n"/>
      <c r="D187" s="1" t="n"/>
      <c r="E187" s="1" t="n"/>
      <c r="F187" s="1" t="n"/>
      <c r="G187" s="1" t="n"/>
      <c r="H187" s="1" t="n"/>
      <c r="I187" s="1" t="n"/>
      <c r="J187" s="1" t="n"/>
      <c r="K187" s="1" t="n"/>
      <c r="L187" s="1" t="n"/>
      <c r="M187" s="1" t="n"/>
    </row>
    <row r="188" ht="15" customHeight="1">
      <c r="A188" s="1" t="n"/>
      <c r="B188" s="1" t="n"/>
      <c r="C188" s="1" t="n"/>
      <c r="D188" s="1" t="n"/>
      <c r="E188" s="1" t="n"/>
      <c r="F188" s="1" t="n"/>
      <c r="G188" s="1" t="n"/>
      <c r="H188" s="1" t="n"/>
      <c r="I188" s="1" t="n"/>
      <c r="J188" s="1" t="n"/>
      <c r="K188" s="1" t="n"/>
      <c r="L188" s="1" t="n"/>
      <c r="M188" s="1" t="n"/>
    </row>
    <row r="189" ht="15" customHeight="1">
      <c r="A189" s="1" t="n"/>
      <c r="B189" s="1" t="n"/>
      <c r="C189" s="1" t="n"/>
      <c r="D189" s="1" t="n"/>
      <c r="E189" s="1" t="n"/>
      <c r="F189" s="1" t="n"/>
      <c r="G189" s="1" t="n"/>
      <c r="H189" s="1" t="n"/>
      <c r="I189" s="1" t="n"/>
      <c r="J189" s="1" t="n"/>
      <c r="K189" s="1" t="n"/>
      <c r="L189" s="1" t="n"/>
      <c r="M189" s="1" t="n"/>
    </row>
    <row r="190" ht="15" customHeight="1">
      <c r="A190" s="1" t="n"/>
      <c r="B190" s="1" t="n"/>
      <c r="C190" s="1" t="n"/>
      <c r="D190" s="1" t="n"/>
      <c r="E190" s="1" t="n"/>
      <c r="F190" s="1" t="n"/>
      <c r="G190" s="1" t="n"/>
      <c r="H190" s="1" t="n"/>
      <c r="I190" s="1" t="n"/>
      <c r="J190" s="1" t="n"/>
      <c r="K190" s="1" t="n"/>
      <c r="L190" s="1" t="n"/>
      <c r="M190" s="1" t="n"/>
    </row>
    <row r="191" ht="15" customHeight="1">
      <c r="A191" s="1" t="n"/>
      <c r="B191" s="1" t="n"/>
      <c r="C191" s="1" t="n"/>
      <c r="D191" s="1" t="n"/>
      <c r="E191" s="1" t="n"/>
      <c r="F191" s="1" t="n"/>
      <c r="G191" s="1" t="n"/>
      <c r="H191" s="1" t="n"/>
      <c r="I191" s="1" t="n"/>
      <c r="J191" s="1" t="n"/>
      <c r="K191" s="1" t="n"/>
      <c r="L191" s="1" t="n"/>
      <c r="M191" s="1" t="n"/>
    </row>
    <row r="192" ht="15" customHeight="1">
      <c r="A192" s="1" t="n"/>
      <c r="B192" s="1" t="n"/>
      <c r="C192" s="1" t="n"/>
      <c r="D192" s="1" t="n"/>
      <c r="E192" s="1" t="n"/>
      <c r="F192" s="1" t="n"/>
      <c r="G192" s="1" t="n"/>
      <c r="H192" s="1" t="n"/>
      <c r="I192" s="1" t="n"/>
      <c r="J192" s="1" t="n"/>
      <c r="K192" s="1" t="n"/>
      <c r="L192" s="1" t="n"/>
      <c r="M192" s="1" t="n"/>
    </row>
    <row r="193" ht="15" customHeight="1">
      <c r="A193" s="1" t="n"/>
      <c r="B193" s="1" t="n"/>
      <c r="C193" s="1" t="n"/>
      <c r="D193" s="1" t="n"/>
      <c r="E193" s="1" t="n"/>
      <c r="F193" s="1" t="n"/>
      <c r="G193" s="1" t="n"/>
      <c r="H193" s="1" t="n"/>
      <c r="I193" s="1" t="n"/>
      <c r="J193" s="1" t="n"/>
      <c r="K193" s="1" t="n"/>
      <c r="L193" s="1" t="n"/>
      <c r="M193" s="1" t="n"/>
    </row>
    <row r="194" ht="15" customHeight="1">
      <c r="A194" s="1" t="n"/>
      <c r="B194" s="1" t="n"/>
      <c r="C194" s="1" t="n"/>
      <c r="D194" s="1" t="n"/>
      <c r="E194" s="1" t="n"/>
      <c r="F194" s="1" t="n"/>
      <c r="G194" s="1" t="n"/>
      <c r="H194" s="1" t="n"/>
      <c r="I194" s="1" t="n"/>
      <c r="J194" s="1" t="n"/>
      <c r="K194" s="1" t="n"/>
      <c r="L194" s="1" t="n"/>
      <c r="M194" s="1" t="n"/>
    </row>
    <row r="195" ht="15" customHeight="1">
      <c r="A195" s="1" t="n"/>
      <c r="B195" s="1" t="n"/>
      <c r="C195" s="1" t="n"/>
      <c r="D195" s="1" t="n"/>
      <c r="E195" s="1" t="n"/>
      <c r="F195" s="1" t="n"/>
      <c r="G195" s="1" t="n"/>
      <c r="H195" s="1" t="n"/>
      <c r="I195" s="1" t="n"/>
      <c r="J195" s="1" t="n"/>
      <c r="K195" s="1" t="n"/>
      <c r="L195" s="1" t="n"/>
      <c r="M195" s="1" t="n"/>
    </row>
    <row r="196" ht="15" customHeight="1">
      <c r="A196" s="1" t="n"/>
      <c r="B196" s="1" t="n"/>
      <c r="C196" s="1" t="n"/>
      <c r="D196" s="1" t="n"/>
      <c r="E196" s="1" t="n"/>
      <c r="F196" s="1" t="n"/>
      <c r="G196" s="1" t="n"/>
      <c r="H196" s="1" t="n"/>
      <c r="I196" s="1" t="n"/>
      <c r="J196" s="1" t="n"/>
      <c r="K196" s="1" t="n"/>
      <c r="L196" s="1" t="n"/>
      <c r="M196" s="1" t="n"/>
    </row>
    <row r="197" ht="15" customHeight="1">
      <c r="A197" s="1" t="n"/>
      <c r="B197" s="1" t="n"/>
      <c r="C197" s="1" t="n"/>
      <c r="D197" s="1" t="n"/>
      <c r="E197" s="1" t="n"/>
      <c r="F197" s="1" t="n"/>
      <c r="G197" s="1" t="n"/>
      <c r="H197" s="1" t="n"/>
      <c r="I197" s="1" t="n"/>
      <c r="J197" s="1" t="n"/>
      <c r="K197" s="1" t="n"/>
      <c r="L197" s="1" t="n"/>
      <c r="M197" s="1" t="n"/>
    </row>
    <row r="198" ht="15" customHeight="1">
      <c r="A198" s="1" t="n"/>
      <c r="B198" s="1" t="n"/>
      <c r="C198" s="1" t="n"/>
      <c r="D198" s="1" t="n"/>
      <c r="E198" s="1" t="n"/>
      <c r="F198" s="1" t="n"/>
      <c r="G198" s="1" t="n"/>
      <c r="H198" s="1" t="n"/>
      <c r="I198" s="1" t="n"/>
      <c r="J198" s="1" t="n"/>
      <c r="K198" s="1" t="n"/>
      <c r="L198" s="1" t="n"/>
      <c r="M198" s="1" t="n"/>
    </row>
    <row r="199" ht="15" customHeight="1">
      <c r="A199" s="1" t="n"/>
      <c r="B199" s="1" t="n"/>
      <c r="C199" s="1" t="n"/>
      <c r="D199" s="1" t="n"/>
      <c r="E199" s="1" t="n"/>
      <c r="F199" s="1" t="n"/>
      <c r="G199" s="1" t="n"/>
      <c r="H199" s="1" t="n"/>
      <c r="I199" s="1" t="n"/>
      <c r="J199" s="1" t="n"/>
      <c r="K199" s="1" t="n"/>
      <c r="L199" s="1" t="n"/>
      <c r="M199" s="1" t="n"/>
    </row>
    <row r="200" ht="15" customHeight="1">
      <c r="A200" s="1" t="n"/>
      <c r="B200" s="1" t="n"/>
      <c r="C200" s="1" t="n"/>
      <c r="D200" s="1" t="n"/>
      <c r="E200" s="1" t="n"/>
      <c r="F200" s="1" t="n"/>
      <c r="G200" s="1" t="n"/>
      <c r="H200" s="1" t="n"/>
      <c r="I200" s="1" t="n"/>
      <c r="J200" s="1" t="n"/>
      <c r="K200" s="1" t="n"/>
      <c r="L200" s="1" t="n"/>
      <c r="M200" s="1" t="n"/>
    </row>
  </sheetData>
  <mergeCells count="2">
    <mergeCell ref="A2:K2"/>
    <mergeCell ref="A1:K1"/>
  </mergeCells>
  <conditionalFormatting sqref="E5:E20">
    <cfRule type="expression" priority="1" dxfId="1">
      <formula>E5="Yes"</formula>
    </cfRule>
  </conditionalFormatting>
  <conditionalFormatting sqref="I5:I20">
    <cfRule type="expression" priority="2" dxfId="2">
      <formula>ISNUMBER(SEARCH("Needs",I5))</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0"/>
  <sheetViews>
    <sheetView workbookViewId="0">
      <selection activeCell="A1" sqref="A1:J1"/>
    </sheetView>
  </sheetViews>
  <sheetFormatPr baseColWidth="10" defaultColWidth="8.83203125" defaultRowHeight="14"/>
  <cols>
    <col width="18" customWidth="1" min="1" max="1"/>
    <col width="32" customWidth="1" min="2" max="2"/>
    <col width="55" customWidth="1" min="3" max="3"/>
    <col width="17" customWidth="1" min="4" max="4"/>
    <col width="18" customWidth="1" min="5" max="5"/>
    <col width="36" customWidth="1" min="6" max="6"/>
    <col width="31" customWidth="1" min="7" max="7"/>
    <col width="42" customWidth="1" min="8" max="8"/>
    <col width="14" customWidth="1" min="9" max="9"/>
    <col width="28" customWidth="1" min="10" max="10"/>
  </cols>
  <sheetData>
    <row r="1" ht="42.75" customHeight="1">
      <c r="A1" s="16" t="inlineStr">
        <is>
          <t>Proposed Results Page</t>
        </is>
      </c>
      <c r="K1" s="1" t="n"/>
      <c r="L1" s="1" t="n"/>
      <c r="M1" s="1" t="n"/>
    </row>
    <row r="2" ht="40" customHeight="1">
      <c r="A2" s="17" t="inlineStr">
        <is>
          <t>The user should receive a useful financial estimate before seeing any Jaspen connection. Standard turnover costs and added institutional-memory costs are separated for clarity.</t>
        </is>
      </c>
      <c r="K2" s="1" t="n"/>
      <c r="L2" s="1" t="n"/>
      <c r="M2" s="1" t="n"/>
    </row>
    <row r="3" ht="15" customHeight="1">
      <c r="A3" s="1" t="n"/>
      <c r="B3" s="1" t="n"/>
      <c r="C3" s="1" t="n"/>
      <c r="D3" s="1" t="n"/>
      <c r="E3" s="1" t="n"/>
      <c r="F3" s="1" t="n"/>
      <c r="G3" s="1" t="n"/>
      <c r="H3" s="1" t="n"/>
      <c r="I3" s="1" t="n"/>
      <c r="J3" s="1" t="n"/>
      <c r="K3" s="1" t="n"/>
      <c r="L3" s="1" t="n"/>
      <c r="M3" s="1" t="n"/>
    </row>
    <row r="4" ht="15" customHeight="1">
      <c r="A4" s="4" t="inlineStr">
        <is>
          <t>Section</t>
        </is>
      </c>
      <c r="B4" s="4" t="inlineStr">
        <is>
          <t>Displayed Result</t>
        </is>
      </c>
      <c r="C4" s="4" t="inlineStr">
        <is>
          <t>Definition</t>
        </is>
      </c>
      <c r="D4" s="4" t="inlineStr">
        <is>
          <t>Additive to Total?</t>
        </is>
      </c>
      <c r="E4" s="4" t="inlineStr">
        <is>
          <t>Format</t>
        </is>
      </c>
      <c r="F4" s="4" t="inlineStr">
        <is>
          <t>Formula Source</t>
        </is>
      </c>
      <c r="G4" s="4" t="inlineStr">
        <is>
          <t>User Value</t>
        </is>
      </c>
      <c r="H4" s="4" t="inlineStr">
        <is>
          <t>Jaspen Relevance</t>
        </is>
      </c>
      <c r="I4" s="4" t="inlineStr">
        <is>
          <t>V1?</t>
        </is>
      </c>
      <c r="J4" s="4" t="inlineStr">
        <is>
          <t>Review Decision</t>
        </is>
      </c>
      <c r="K4" s="1" t="n"/>
      <c r="L4" s="1" t="n"/>
      <c r="M4" s="1" t="n"/>
    </row>
    <row r="5" ht="30" customHeight="1">
      <c r="A5" s="3" t="inlineStr">
        <is>
          <t>Hero</t>
        </is>
      </c>
      <c r="B5" s="3" t="inlineStr">
        <is>
          <t>Estimated cost of losing this role</t>
        </is>
      </c>
      <c r="C5" s="3" t="inlineStr">
        <is>
          <t>Total modeled turnover and knowledge-loss cost for the selected number of departures</t>
        </is>
      </c>
      <c r="D5" s="3" t="inlineStr">
        <is>
          <t>Yes</t>
        </is>
      </c>
      <c r="E5" s="3" t="inlineStr">
        <is>
          <t>Large dollar range + midpoint</t>
        </is>
      </c>
      <c r="F5" s="3" t="inlineStr">
        <is>
          <t>Sum of additive components</t>
        </is>
      </c>
      <c r="G5" s="3" t="inlineStr">
        <is>
          <t>Immediate answer</t>
        </is>
      </c>
      <c r="H5" s="3" t="inlineStr">
        <is>
          <t>None in hero</t>
        </is>
      </c>
      <c r="I5" s="3" t="inlineStr">
        <is>
          <t>Yes</t>
        </is>
      </c>
      <c r="J5" s="3" t="n"/>
      <c r="K5" s="1" t="n"/>
      <c r="L5" s="1" t="n"/>
      <c r="M5" s="1" t="n"/>
    </row>
    <row r="6" ht="15" customHeight="1">
      <c r="A6" s="3" t="inlineStr">
        <is>
          <t>Summary</t>
        </is>
      </c>
      <c r="B6" s="3" t="inlineStr">
        <is>
          <t>Traditional turnover costs</t>
        </is>
      </c>
      <c r="C6" s="3" t="inlineStr">
        <is>
          <t>Recruiting, hiring, vacancy, onboarding, and productivity costs</t>
        </is>
      </c>
      <c r="D6" s="3" t="inlineStr">
        <is>
          <t>Subtotal</t>
        </is>
      </c>
      <c r="E6" s="3" t="inlineStr">
        <is>
          <t>Dollar + % of total</t>
        </is>
      </c>
      <c r="F6" s="3" t="inlineStr">
        <is>
          <t>Standard model components</t>
        </is>
      </c>
      <c r="G6" s="3" t="inlineStr">
        <is>
          <t>Recognizable baseline</t>
        </is>
      </c>
      <c r="H6" s="3" t="inlineStr">
        <is>
          <t>None</t>
        </is>
      </c>
      <c r="I6" s="3" t="inlineStr">
        <is>
          <t>Yes</t>
        </is>
      </c>
      <c r="J6" s="3" t="n"/>
      <c r="K6" s="1" t="n"/>
      <c r="L6" s="1" t="n"/>
      <c r="M6" s="1" t="n"/>
    </row>
    <row r="7" ht="30" customHeight="1">
      <c r="A7" s="3" t="inlineStr">
        <is>
          <t>Summary</t>
        </is>
      </c>
      <c r="B7" s="3" t="inlineStr">
        <is>
          <t>Knowledge and context costs</t>
        </is>
      </c>
      <c r="C7" s="3" t="inlineStr">
        <is>
          <t>Knowledge transfer, rediscovery, institutional-memory reconstruction, and project disruption</t>
        </is>
      </c>
      <c r="D7" s="3" t="inlineStr">
        <is>
          <t>Subtotal</t>
        </is>
      </c>
      <c r="E7" s="3" t="inlineStr">
        <is>
          <t>Dollar + % of total</t>
        </is>
      </c>
      <c r="F7" s="3" t="inlineStr">
        <is>
          <t>Enhanced model components</t>
        </is>
      </c>
      <c r="G7" s="3" t="inlineStr">
        <is>
          <t>Shows commonly omitted costs</t>
        </is>
      </c>
      <c r="H7" s="3" t="inlineStr">
        <is>
          <t>Direct thematic connection</t>
        </is>
      </c>
      <c r="I7" s="3" t="inlineStr">
        <is>
          <t>Yes</t>
        </is>
      </c>
      <c r="J7" s="3" t="n"/>
      <c r="K7" s="1" t="n"/>
      <c r="L7" s="1" t="n"/>
      <c r="M7" s="1" t="n"/>
    </row>
    <row r="8" ht="15" customHeight="1">
      <c r="A8" s="3" t="inlineStr">
        <is>
          <t>Breakdown</t>
        </is>
      </c>
      <c r="B8" s="3" t="inlineStr">
        <is>
          <t>Recruiting and sourcing</t>
        </is>
      </c>
      <c r="C8" s="3" t="inlineStr">
        <is>
          <t>External and internal recruiting cost per replacement</t>
        </is>
      </c>
      <c r="D8" s="3" t="inlineStr">
        <is>
          <t>Yes</t>
        </is>
      </c>
      <c r="E8" s="3" t="inlineStr">
        <is>
          <t>Dollar</t>
        </is>
      </c>
      <c r="F8" s="3" t="inlineStr">
        <is>
          <t>Cost per hire × departures</t>
        </is>
      </c>
      <c r="G8" s="3" t="inlineStr">
        <is>
          <t>Familiar cost</t>
        </is>
      </c>
      <c r="H8" s="3" t="inlineStr">
        <is>
          <t>No direct claim</t>
        </is>
      </c>
      <c r="I8" s="3" t="inlineStr">
        <is>
          <t>Yes</t>
        </is>
      </c>
      <c r="J8" s="3" t="n"/>
      <c r="K8" s="1" t="n"/>
      <c r="L8" s="1" t="n"/>
      <c r="M8" s="1" t="n"/>
    </row>
    <row r="9" ht="30" customHeight="1">
      <c r="A9" s="3" t="inlineStr">
        <is>
          <t>Breakdown</t>
        </is>
      </c>
      <c r="B9" s="3" t="inlineStr">
        <is>
          <t>Hiring administration</t>
        </is>
      </c>
      <c r="C9" s="3" t="inlineStr">
        <is>
          <t>Interview, screening, offer, and administrative labor not already included in chosen cost-per-hire benchmark</t>
        </is>
      </c>
      <c r="D9" s="3" t="inlineStr">
        <is>
          <t>Conditional</t>
        </is>
      </c>
      <c r="E9" s="3" t="inlineStr">
        <is>
          <t>Dollar</t>
        </is>
      </c>
      <c r="F9" s="3" t="inlineStr">
        <is>
          <t>Hours × blended rate</t>
        </is>
      </c>
      <c r="G9" s="3" t="inlineStr">
        <is>
          <t>Makes internal time visible</t>
        </is>
      </c>
      <c r="H9" s="3" t="inlineStr">
        <is>
          <t>No direct claim</t>
        </is>
      </c>
      <c r="I9" s="3" t="inlineStr">
        <is>
          <t>Optional</t>
        </is>
      </c>
      <c r="J9" s="3" t="n"/>
      <c r="K9" s="1" t="n"/>
      <c r="L9" s="1" t="n"/>
      <c r="M9" s="1" t="n"/>
    </row>
    <row r="10" ht="30" customHeight="1">
      <c r="A10" s="3" t="inlineStr">
        <is>
          <t>Breakdown</t>
        </is>
      </c>
      <c r="B10" s="3" t="inlineStr">
        <is>
          <t>Vacancy capacity loss</t>
        </is>
      </c>
      <c r="C10" s="3" t="inlineStr">
        <is>
          <t>Value of work not covered while role is vacant</t>
        </is>
      </c>
      <c r="D10" s="3" t="inlineStr">
        <is>
          <t>Yes</t>
        </is>
      </c>
      <c r="E10" s="3" t="inlineStr">
        <is>
          <t>Dollar</t>
        </is>
      </c>
      <c r="F10" s="3" t="inlineStr">
        <is>
          <t>Vacancy days × daily loaded cost × uncovered %</t>
        </is>
      </c>
      <c r="G10" s="3" t="inlineStr">
        <is>
          <t>Shows cost of empty seat</t>
        </is>
      </c>
      <c r="H10" s="3" t="inlineStr">
        <is>
          <t>No direct claim</t>
        </is>
      </c>
      <c r="I10" s="3" t="inlineStr">
        <is>
          <t>Yes</t>
        </is>
      </c>
      <c r="J10" s="3" t="n"/>
      <c r="K10" s="1" t="n"/>
      <c r="L10" s="1" t="n"/>
      <c r="M10" s="1" t="n"/>
    </row>
    <row r="11" ht="15" customHeight="1">
      <c r="A11" s="3" t="inlineStr">
        <is>
          <t>Breakdown</t>
        </is>
      </c>
      <c r="B11" s="3" t="inlineStr">
        <is>
          <t>Onboarding and direct training</t>
        </is>
      </c>
      <c r="C11" s="3" t="inlineStr">
        <is>
          <t>Cash and labor cost to onboard replacement</t>
        </is>
      </c>
      <c r="D11" s="3" t="inlineStr">
        <is>
          <t>Yes</t>
        </is>
      </c>
      <c r="E11" s="3" t="inlineStr">
        <is>
          <t>Dollar</t>
        </is>
      </c>
      <c r="F11" s="3" t="inlineStr">
        <is>
          <t>Direct cost + onboarding labor</t>
        </is>
      </c>
      <c r="G11" s="3" t="inlineStr">
        <is>
          <t>Familiar cost</t>
        </is>
      </c>
      <c r="H11" s="3" t="inlineStr">
        <is>
          <t>No direct claim</t>
        </is>
      </c>
      <c r="I11" s="3" t="inlineStr">
        <is>
          <t>Yes</t>
        </is>
      </c>
      <c r="J11" s="3" t="n"/>
      <c r="K11" s="1" t="n"/>
      <c r="L11" s="1" t="n"/>
      <c r="M11" s="1" t="n"/>
    </row>
    <row r="12" ht="30" customHeight="1">
      <c r="A12" s="3" t="inlineStr">
        <is>
          <t>Breakdown</t>
        </is>
      </c>
      <c r="B12" s="3" t="inlineStr">
        <is>
          <t>Ramp-up productivity loss</t>
        </is>
      </c>
      <c r="C12" s="3" t="inlineStr">
        <is>
          <t>Difference between expected and actual productivity during ramp-up</t>
        </is>
      </c>
      <c r="D12" s="3" t="inlineStr">
        <is>
          <t>Yes</t>
        </is>
      </c>
      <c r="E12" s="3" t="inlineStr">
        <is>
          <t>Dollar</t>
        </is>
      </c>
      <c r="F12" s="3" t="inlineStr">
        <is>
          <t>Ramp period × avg productivity gap × loaded cost</t>
        </is>
      </c>
      <c r="G12" s="3" t="inlineStr">
        <is>
          <t>Shows hidden labor cost</t>
        </is>
      </c>
      <c r="H12" s="3" t="inlineStr">
        <is>
          <t>No direct claim</t>
        </is>
      </c>
      <c r="I12" s="3" t="inlineStr">
        <is>
          <t>Yes</t>
        </is>
      </c>
      <c r="J12" s="3" t="n"/>
      <c r="K12" s="1" t="n"/>
      <c r="L12" s="1" t="n"/>
      <c r="M12" s="1" t="n"/>
    </row>
    <row r="13" ht="30" customHeight="1">
      <c r="A13" s="3" t="inlineStr">
        <is>
          <t>Breakdown</t>
        </is>
      </c>
      <c r="B13" s="3" t="inlineStr">
        <is>
          <t>Knowledge transfer</t>
        </is>
      </c>
      <c r="C13" s="3" t="inlineStr">
        <is>
          <t>Time spent transferring role-specific knowledge before or after departure</t>
        </is>
      </c>
      <c r="D13" s="3" t="inlineStr">
        <is>
          <t>Yes</t>
        </is>
      </c>
      <c r="E13" s="3" t="inlineStr">
        <is>
          <t>Dollar</t>
        </is>
      </c>
      <c r="F13" s="3" t="inlineStr">
        <is>
          <t>Transfer hours × source/recipient rates</t>
        </is>
      </c>
      <c r="G13" s="3" t="inlineStr">
        <is>
          <t>Values handoff effort</t>
        </is>
      </c>
      <c r="H13" s="3" t="inlineStr">
        <is>
          <t>Jaspen can supplement capture, not replace human handoff</t>
        </is>
      </c>
      <c r="I13" s="3" t="inlineStr">
        <is>
          <t>Yes</t>
        </is>
      </c>
      <c r="J13" s="3" t="n"/>
      <c r="K13" s="1" t="n"/>
      <c r="L13" s="1" t="n"/>
      <c r="M13" s="1" t="n"/>
    </row>
    <row r="14" ht="30" customHeight="1">
      <c r="A14" s="3" t="inlineStr">
        <is>
          <t>Breakdown</t>
        </is>
      </c>
      <c r="B14" s="3" t="inlineStr">
        <is>
          <t>Context rediscovery</t>
        </is>
      </c>
      <c r="C14" s="3" t="inlineStr">
        <is>
          <t>Replacement time spent reconstructing why work is done a certain way and what happened before</t>
        </is>
      </c>
      <c r="D14" s="3" t="inlineStr">
        <is>
          <t>Yes</t>
        </is>
      </c>
      <c r="E14" s="3" t="inlineStr">
        <is>
          <t>Dollar</t>
        </is>
      </c>
      <c r="F14" s="3" t="inlineStr">
        <is>
          <t>Rediscovery hours × replacement rate</t>
        </is>
      </c>
      <c r="G14" s="3" t="inlineStr">
        <is>
          <t>Quantifies repeated learning</t>
        </is>
      </c>
      <c r="H14" s="3" t="inlineStr">
        <is>
          <t>Jaspen can preserve context</t>
        </is>
      </c>
      <c r="I14" s="3" t="inlineStr">
        <is>
          <t>Yes</t>
        </is>
      </c>
      <c r="J14" s="3" t="n"/>
      <c r="K14" s="1" t="n"/>
      <c r="L14" s="1" t="n"/>
      <c r="M14" s="1" t="n"/>
    </row>
    <row r="15" ht="30" customHeight="1">
      <c r="A15" s="3" t="inlineStr">
        <is>
          <t>Breakdown</t>
        </is>
      </c>
      <c r="B15" s="3" t="inlineStr">
        <is>
          <t>Institutional-memory reconstruction</t>
        </is>
      </c>
      <c r="C15" s="3" t="inlineStr">
        <is>
          <t>Coworker and leader time spent recreating missing records, lessons, rationale, and history</t>
        </is>
      </c>
      <c r="D15" s="3" t="inlineStr">
        <is>
          <t>Yes</t>
        </is>
      </c>
      <c r="E15" s="3" t="inlineStr">
        <is>
          <t>Dollar</t>
        </is>
      </c>
      <c r="F15" s="3" t="inlineStr">
        <is>
          <t>Support hours × blended rate</t>
        </is>
      </c>
      <c r="G15" s="3" t="inlineStr">
        <is>
          <t>Quantifies knowledge paid for twice</t>
        </is>
      </c>
      <c r="H15" s="3" t="inlineStr">
        <is>
          <t>Core Jaspen connection</t>
        </is>
      </c>
      <c r="I15" s="3" t="inlineStr">
        <is>
          <t>Yes</t>
        </is>
      </c>
      <c r="J15" s="3" t="n"/>
      <c r="K15" s="1" t="n"/>
      <c r="L15" s="1" t="n"/>
      <c r="M15" s="1" t="n"/>
    </row>
    <row r="16" ht="15" customHeight="1">
      <c r="A16" s="3" t="inlineStr">
        <is>
          <t>Breakdown</t>
        </is>
      </c>
      <c r="B16" s="3" t="inlineStr">
        <is>
          <t>Project disruption</t>
        </is>
      </c>
      <c r="C16" s="3" t="inlineStr">
        <is>
          <t>Additional project-team effort caused by the knowledge gap</t>
        </is>
      </c>
      <c r="D16" s="3" t="inlineStr">
        <is>
          <t>Yes if labor-only</t>
        </is>
      </c>
      <c r="E16" s="3" t="inlineStr">
        <is>
          <t>Dollar</t>
        </is>
      </c>
      <c r="F16" s="3" t="inlineStr">
        <is>
          <t>Projects × added team hours × blended rate</t>
        </is>
      </c>
      <c r="G16" s="3" t="inlineStr">
        <is>
          <t>Makes active initiative impact visible</t>
        </is>
      </c>
      <c r="H16" s="3" t="inlineStr">
        <is>
          <t>Connected project history can reduce context gaps</t>
        </is>
      </c>
      <c r="I16" s="3" t="inlineStr">
        <is>
          <t>Optional v1</t>
        </is>
      </c>
      <c r="J16" s="3" t="n"/>
      <c r="K16" s="1" t="n"/>
      <c r="L16" s="1" t="n"/>
      <c r="M16" s="1" t="n"/>
    </row>
    <row r="17" ht="30" customHeight="1">
      <c r="A17" s="3" t="inlineStr">
        <is>
          <t>Breakdown</t>
        </is>
      </c>
      <c r="B17" s="3" t="inlineStr">
        <is>
          <t>Customer/supplier continuity</t>
        </is>
      </c>
      <c r="C17" s="3" t="inlineStr">
        <is>
          <t>Relationship recovery or customer replacement cost where user provides valid economics</t>
        </is>
      </c>
      <c r="D17" s="3" t="inlineStr">
        <is>
          <t>Optional</t>
        </is>
      </c>
      <c r="E17" s="3" t="inlineStr">
        <is>
          <t>Dollar</t>
        </is>
      </c>
      <c r="F17" s="3" t="inlineStr">
        <is>
          <t>Scenario-specific</t>
        </is>
      </c>
      <c r="G17" s="3" t="inlineStr">
        <is>
          <t>Useful for relationship-heavy roles</t>
        </is>
      </c>
      <c r="H17" s="3" t="inlineStr">
        <is>
          <t>Jaspen does not claim to prevent relationship loss</t>
        </is>
      </c>
      <c r="I17" s="3" t="inlineStr">
        <is>
          <t>Later</t>
        </is>
      </c>
      <c r="J17" s="3" t="n"/>
      <c r="K17" s="1" t="n"/>
      <c r="L17" s="1" t="n"/>
      <c r="M17" s="1" t="n"/>
    </row>
    <row r="18" ht="15" customHeight="1">
      <c r="A18" s="3" t="inlineStr">
        <is>
          <t>Insight</t>
        </is>
      </c>
      <c r="B18" s="3" t="inlineStr">
        <is>
          <t>Largest cost drivers</t>
        </is>
      </c>
      <c r="C18" s="3" t="inlineStr">
        <is>
          <t>Top three additive categories</t>
        </is>
      </c>
      <c r="D18" s="3" t="inlineStr">
        <is>
          <t>No</t>
        </is>
      </c>
      <c r="E18" s="3" t="inlineStr">
        <is>
          <t>Ranked list</t>
        </is>
      </c>
      <c r="F18" s="3" t="inlineStr">
        <is>
          <t>Sort component values</t>
        </is>
      </c>
      <c r="G18" s="3" t="inlineStr">
        <is>
          <t>Prioritizes attention</t>
        </is>
      </c>
      <c r="H18" s="3" t="inlineStr">
        <is>
          <t>No sales language required</t>
        </is>
      </c>
      <c r="I18" s="3" t="inlineStr">
        <is>
          <t>Yes</t>
        </is>
      </c>
      <c r="J18" s="3" t="n"/>
      <c r="K18" s="1" t="n"/>
      <c r="L18" s="1" t="n"/>
      <c r="M18" s="1" t="n"/>
    </row>
    <row r="19" ht="30" customHeight="1">
      <c r="A19" s="3" t="inlineStr">
        <is>
          <t>Transparency</t>
        </is>
      </c>
      <c r="B19" s="3" t="inlineStr">
        <is>
          <t>Estimate Built Using</t>
        </is>
      </c>
      <c r="C19" s="3" t="inlineStr">
        <is>
          <t>Cost-weighted composition of the estimate: Published Benchmarks, Research-Based Estimates, and Your Organization's Inputs (always totals 100%).</t>
        </is>
      </c>
      <c r="D19" s="3" t="inlineStr">
        <is>
          <t>No</t>
        </is>
      </c>
      <c r="E19" s="3" t="inlineStr">
        <is>
          <t>Three percentages (total 100%)</t>
        </is>
      </c>
      <c r="F19" s="3" t="inlineStr">
        <is>
          <t>Cost-weighted input provenance (3-way)</t>
        </is>
      </c>
      <c r="G19" s="3" t="inlineStr">
        <is>
          <t>Transparent model makeup</t>
        </is>
      </c>
      <c r="H19" s="3" t="inlineStr">
        <is>
          <t>Supports trustworthy positioning</t>
        </is>
      </c>
      <c r="I19" s="3" t="inlineStr">
        <is>
          <t>Yes</t>
        </is>
      </c>
      <c r="J19" s="3" t="n"/>
      <c r="K19" s="1" t="n"/>
      <c r="L19" s="1" t="n"/>
      <c r="M19" s="1" t="n"/>
    </row>
    <row r="20" ht="15" customHeight="1">
      <c r="A20" s="3" t="inlineStr">
        <is>
          <t>Transparency</t>
        </is>
      </c>
      <c r="B20" s="3" t="inlineStr">
        <is>
          <t>Key assumptions</t>
        </is>
      </c>
      <c r="C20" s="3" t="inlineStr">
        <is>
          <t>Only assumptions that materially changed the estimate</t>
        </is>
      </c>
      <c r="D20" s="3" t="inlineStr">
        <is>
          <t>No</t>
        </is>
      </c>
      <c r="E20" s="3" t="inlineStr">
        <is>
          <t>Editable list</t>
        </is>
      </c>
      <c r="F20" s="3" t="inlineStr">
        <is>
          <t>Input values + source labels</t>
        </is>
      </c>
      <c r="G20" s="3" t="inlineStr">
        <is>
          <t>Enables review with Finance/HR</t>
        </is>
      </c>
      <c r="H20" s="3" t="inlineStr">
        <is>
          <t>No direct claim</t>
        </is>
      </c>
      <c r="I20" s="3" t="inlineStr">
        <is>
          <t>Yes</t>
        </is>
      </c>
      <c r="J20" s="3" t="n"/>
      <c r="K20" s="1" t="n"/>
      <c r="L20" s="1" t="n"/>
      <c r="M20" s="1" t="n"/>
    </row>
    <row r="21" ht="30" customHeight="1">
      <c r="A21" s="3" t="inlineStr">
        <is>
          <t>Transparency</t>
        </is>
      </c>
      <c r="B21" s="3" t="inlineStr">
        <is>
          <t>Estimate range</t>
        </is>
      </c>
      <c r="C21" s="3" t="inlineStr">
        <is>
          <t>Low, midpoint, and high result based on uncertainty bands for benchmark-driven variables</t>
        </is>
      </c>
      <c r="D21" s="3" t="inlineStr">
        <is>
          <t>No</t>
        </is>
      </c>
      <c r="E21" s="3" t="inlineStr">
        <is>
          <t>Range</t>
        </is>
      </c>
      <c r="F21" s="3" t="inlineStr">
        <is>
          <t>Scenario sensitivity</t>
        </is>
      </c>
      <c r="G21" s="3" t="inlineStr">
        <is>
          <t>Avoids false precision</t>
        </is>
      </c>
      <c r="H21" s="3" t="inlineStr">
        <is>
          <t>Matches Jaspen's honesty principle</t>
        </is>
      </c>
      <c r="I21" s="3" t="inlineStr">
        <is>
          <t>Recommended</t>
        </is>
      </c>
      <c r="J21" s="3" t="n"/>
      <c r="K21" s="1" t="n"/>
      <c r="L21" s="1" t="n"/>
      <c r="M21" s="1" t="n"/>
    </row>
    <row r="22" ht="30" customHeight="1">
      <c r="A22" s="3" t="inlineStr">
        <is>
          <t>CTA</t>
        </is>
      </c>
      <c r="B22" s="3" t="inlineStr">
        <is>
          <t>Preserve more of what your organization already knows</t>
        </is>
      </c>
      <c r="C22" s="3" t="inlineStr">
        <is>
          <t>Brief explanation that Jaspen can retain connected context, project history, lessons, and rationale over time</t>
        </is>
      </c>
      <c r="D22" s="3" t="inlineStr">
        <is>
          <t>No</t>
        </is>
      </c>
      <c r="E22" s="3" t="inlineStr">
        <is>
          <t>Soft CTA</t>
        </is>
      </c>
      <c r="F22" s="3" t="inlineStr">
        <is>
          <t>Marketing copy</t>
        </is>
      </c>
      <c r="G22" s="3" t="inlineStr">
        <is>
          <t>Natural next step</t>
        </is>
      </c>
      <c r="H22" s="3" t="inlineStr">
        <is>
          <t>Does not promise to eliminate turnover cost</t>
        </is>
      </c>
      <c r="I22" s="3" t="inlineStr">
        <is>
          <t>Yes</t>
        </is>
      </c>
      <c r="J22" s="3" t="n"/>
      <c r="K22" s="1" t="n"/>
      <c r="L22" s="1" t="n"/>
      <c r="M22" s="1" t="n"/>
    </row>
    <row r="23" ht="15" customHeight="1">
      <c r="A23" s="1" t="n"/>
      <c r="B23" s="1" t="n"/>
      <c r="C23" s="1" t="n"/>
      <c r="D23" s="1" t="n"/>
      <c r="E23" s="1" t="n"/>
      <c r="F23" s="1" t="n"/>
      <c r="G23" s="1" t="n"/>
      <c r="H23" s="1" t="n"/>
      <c r="I23" s="1" t="n"/>
      <c r="J23" s="1" t="n"/>
      <c r="K23" s="1" t="n"/>
      <c r="L23" s="1" t="n"/>
      <c r="M23" s="1" t="n"/>
    </row>
    <row r="24" ht="15" customHeight="1">
      <c r="A24" s="1" t="n"/>
      <c r="B24" s="1" t="n"/>
      <c r="C24" s="1" t="n"/>
      <c r="D24" s="1" t="n"/>
      <c r="E24" s="1" t="n"/>
      <c r="F24" s="1" t="n"/>
      <c r="G24" s="1" t="n"/>
      <c r="H24" s="1" t="n"/>
      <c r="I24" s="1" t="n"/>
      <c r="J24" s="1" t="n"/>
      <c r="K24" s="1" t="n"/>
      <c r="L24" s="1" t="n"/>
      <c r="M24" s="1" t="n"/>
    </row>
    <row r="25" ht="15" customHeight="1">
      <c r="A25" s="1" t="n"/>
      <c r="B25" s="1" t="n"/>
      <c r="C25" s="1" t="n"/>
      <c r="D25" s="1" t="n"/>
      <c r="E25" s="1" t="n"/>
      <c r="F25" s="1" t="n"/>
      <c r="G25" s="1" t="n"/>
      <c r="H25" s="1" t="n"/>
      <c r="I25" s="1" t="n"/>
      <c r="J25" s="1" t="n"/>
      <c r="K25" s="1" t="n"/>
      <c r="L25" s="1" t="n"/>
      <c r="M25" s="1" t="n"/>
    </row>
    <row r="26" ht="15" customHeight="1">
      <c r="A26" s="1" t="n"/>
      <c r="B26" s="1" t="n"/>
      <c r="C26" s="1" t="n"/>
      <c r="D26" s="1" t="n"/>
      <c r="E26" s="1" t="n"/>
      <c r="F26" s="1" t="n"/>
      <c r="G26" s="1" t="n"/>
      <c r="H26" s="1" t="n"/>
      <c r="I26" s="1" t="n"/>
      <c r="J26" s="1" t="n"/>
      <c r="K26" s="1" t="n"/>
      <c r="L26" s="1" t="n"/>
      <c r="M26" s="1" t="n"/>
    </row>
    <row r="27" ht="15" customHeight="1">
      <c r="A27" s="1" t="n"/>
      <c r="B27" s="1" t="n"/>
      <c r="C27" s="1" t="n"/>
      <c r="D27" s="1" t="n"/>
      <c r="E27" s="1" t="n"/>
      <c r="F27" s="1" t="n"/>
      <c r="G27" s="1" t="n"/>
      <c r="H27" s="1" t="n"/>
      <c r="I27" s="1" t="n"/>
      <c r="J27" s="1" t="n"/>
      <c r="K27" s="1" t="n"/>
      <c r="L27" s="1" t="n"/>
      <c r="M27" s="1" t="n"/>
    </row>
    <row r="28" ht="15" customHeight="1">
      <c r="A28" s="1" t="n"/>
      <c r="B28" s="1" t="n"/>
      <c r="C28" s="1" t="n"/>
      <c r="D28" s="1" t="n"/>
      <c r="E28" s="1" t="n"/>
      <c r="F28" s="1" t="n"/>
      <c r="G28" s="1" t="n"/>
      <c r="H28" s="1" t="n"/>
      <c r="I28" s="1" t="n"/>
      <c r="J28" s="1" t="n"/>
      <c r="K28" s="1" t="n"/>
      <c r="L28" s="1" t="n"/>
      <c r="M28" s="1" t="n"/>
    </row>
    <row r="29" ht="15" customHeight="1">
      <c r="A29" s="1" t="n"/>
      <c r="B29" s="1" t="n"/>
      <c r="C29" s="1" t="n"/>
      <c r="D29" s="1" t="n"/>
      <c r="E29" s="1" t="n"/>
      <c r="F29" s="1" t="n"/>
      <c r="G29" s="1" t="n"/>
      <c r="H29" s="1" t="n"/>
      <c r="I29" s="1" t="n"/>
      <c r="J29" s="1" t="n"/>
      <c r="K29" s="1" t="n"/>
      <c r="L29" s="1" t="n"/>
      <c r="M29" s="1" t="n"/>
    </row>
    <row r="30" ht="15" customHeight="1">
      <c r="A30" s="1" t="n"/>
      <c r="B30" s="1" t="n"/>
      <c r="C30" s="1" t="n"/>
      <c r="D30" s="1" t="n"/>
      <c r="E30" s="1" t="n"/>
      <c r="F30" s="1" t="n"/>
      <c r="G30" s="1" t="n"/>
      <c r="H30" s="1" t="n"/>
      <c r="I30" s="1" t="n"/>
      <c r="J30" s="1" t="n"/>
      <c r="K30" s="1" t="n"/>
      <c r="L30" s="1" t="n"/>
      <c r="M30" s="1" t="n"/>
    </row>
    <row r="31" ht="15" customHeight="1">
      <c r="A31" s="1" t="n"/>
      <c r="B31" s="1" t="n"/>
      <c r="C31" s="1" t="n"/>
      <c r="D31" s="1" t="n"/>
      <c r="E31" s="1" t="n"/>
      <c r="F31" s="1" t="n"/>
      <c r="G31" s="1" t="n"/>
      <c r="H31" s="1" t="n"/>
      <c r="I31" s="1" t="n"/>
      <c r="J31" s="1" t="n"/>
      <c r="K31" s="1" t="n"/>
      <c r="L31" s="1" t="n"/>
      <c r="M31" s="1" t="n"/>
    </row>
    <row r="32" ht="15" customHeight="1">
      <c r="A32" s="1" t="n"/>
      <c r="B32" s="1" t="n"/>
      <c r="C32" s="1" t="n"/>
      <c r="D32" s="1" t="n"/>
      <c r="E32" s="1" t="n"/>
      <c r="F32" s="1" t="n"/>
      <c r="G32" s="1" t="n"/>
      <c r="H32" s="1" t="n"/>
      <c r="I32" s="1" t="n"/>
      <c r="J32" s="1" t="n"/>
      <c r="K32" s="1" t="n"/>
      <c r="L32" s="1" t="n"/>
      <c r="M32" s="1" t="n"/>
    </row>
    <row r="33" ht="15" customHeight="1">
      <c r="A33" s="1" t="n"/>
      <c r="B33" s="1" t="n"/>
      <c r="C33" s="1" t="n"/>
      <c r="D33" s="1" t="n"/>
      <c r="E33" s="1" t="n"/>
      <c r="F33" s="1" t="n"/>
      <c r="G33" s="1" t="n"/>
      <c r="H33" s="1" t="n"/>
      <c r="I33" s="1" t="n"/>
      <c r="J33" s="1" t="n"/>
      <c r="K33" s="1" t="n"/>
      <c r="L33" s="1" t="n"/>
      <c r="M33" s="1" t="n"/>
    </row>
    <row r="34" ht="15" customHeight="1">
      <c r="A34" s="1" t="n"/>
      <c r="B34" s="1" t="n"/>
      <c r="C34" s="1" t="n"/>
      <c r="D34" s="1" t="n"/>
      <c r="E34" s="1" t="n"/>
      <c r="F34" s="1" t="n"/>
      <c r="G34" s="1" t="n"/>
      <c r="H34" s="1" t="n"/>
      <c r="I34" s="1" t="n"/>
      <c r="J34" s="1" t="n"/>
      <c r="K34" s="1" t="n"/>
      <c r="L34" s="1" t="n"/>
      <c r="M34" s="1" t="n"/>
    </row>
    <row r="35" ht="15" customHeight="1">
      <c r="A35" s="1" t="n"/>
      <c r="B35" s="1" t="n"/>
      <c r="C35" s="1" t="n"/>
      <c r="D35" s="1" t="n"/>
      <c r="E35" s="1" t="n"/>
      <c r="F35" s="1" t="n"/>
      <c r="G35" s="1" t="n"/>
      <c r="H35" s="1" t="n"/>
      <c r="I35" s="1" t="n"/>
      <c r="J35" s="1" t="n"/>
      <c r="K35" s="1" t="n"/>
      <c r="L35" s="1" t="n"/>
      <c r="M35" s="1" t="n"/>
    </row>
    <row r="36" ht="15" customHeight="1">
      <c r="A36" s="1" t="n"/>
      <c r="B36" s="1" t="n"/>
      <c r="C36" s="1" t="n"/>
      <c r="D36" s="1" t="n"/>
      <c r="E36" s="1" t="n"/>
      <c r="F36" s="1" t="n"/>
      <c r="G36" s="1" t="n"/>
      <c r="H36" s="1" t="n"/>
      <c r="I36" s="1" t="n"/>
      <c r="J36" s="1" t="n"/>
      <c r="K36" s="1" t="n"/>
      <c r="L36" s="1" t="n"/>
      <c r="M36" s="1" t="n"/>
    </row>
    <row r="37" ht="15" customHeight="1">
      <c r="A37" s="1" t="n"/>
      <c r="B37" s="1" t="n"/>
      <c r="C37" s="1" t="n"/>
      <c r="D37" s="1" t="n"/>
      <c r="E37" s="1" t="n"/>
      <c r="F37" s="1" t="n"/>
      <c r="G37" s="1" t="n"/>
      <c r="H37" s="1" t="n"/>
      <c r="I37" s="1" t="n"/>
      <c r="J37" s="1" t="n"/>
      <c r="K37" s="1" t="n"/>
      <c r="L37" s="1" t="n"/>
      <c r="M37" s="1" t="n"/>
    </row>
    <row r="38" ht="15" customHeight="1">
      <c r="A38" s="1" t="n"/>
      <c r="B38" s="1" t="n"/>
      <c r="C38" s="1" t="n"/>
      <c r="D38" s="1" t="n"/>
      <c r="E38" s="1" t="n"/>
      <c r="F38" s="1" t="n"/>
      <c r="G38" s="1" t="n"/>
      <c r="H38" s="1" t="n"/>
      <c r="I38" s="1" t="n"/>
      <c r="J38" s="1" t="n"/>
      <c r="K38" s="1" t="n"/>
      <c r="L38" s="1" t="n"/>
      <c r="M38" s="1" t="n"/>
    </row>
    <row r="39" ht="15" customHeight="1">
      <c r="A39" s="1" t="n"/>
      <c r="B39" s="1" t="n"/>
      <c r="C39" s="1" t="n"/>
      <c r="D39" s="1" t="n"/>
      <c r="E39" s="1" t="n"/>
      <c r="F39" s="1" t="n"/>
      <c r="G39" s="1" t="n"/>
      <c r="H39" s="1" t="n"/>
      <c r="I39" s="1" t="n"/>
      <c r="J39" s="1" t="n"/>
      <c r="K39" s="1" t="n"/>
      <c r="L39" s="1" t="n"/>
      <c r="M39" s="1" t="n"/>
    </row>
    <row r="40" ht="15" customHeight="1">
      <c r="A40" s="1" t="n"/>
      <c r="B40" s="1" t="n"/>
      <c r="C40" s="1" t="n"/>
      <c r="D40" s="1" t="n"/>
      <c r="E40" s="1" t="n"/>
      <c r="F40" s="1" t="n"/>
      <c r="G40" s="1" t="n"/>
      <c r="H40" s="1" t="n"/>
      <c r="I40" s="1" t="n"/>
      <c r="J40" s="1" t="n"/>
      <c r="K40" s="1" t="n"/>
      <c r="L40" s="1" t="n"/>
      <c r="M40" s="1" t="n"/>
    </row>
    <row r="41" ht="15" customHeight="1">
      <c r="A41" s="1" t="n"/>
      <c r="B41" s="1" t="n"/>
      <c r="C41" s="1" t="n"/>
      <c r="D41" s="1" t="n"/>
      <c r="E41" s="1" t="n"/>
      <c r="F41" s="1" t="n"/>
      <c r="G41" s="1" t="n"/>
      <c r="H41" s="1" t="n"/>
      <c r="I41" s="1" t="n"/>
      <c r="J41" s="1" t="n"/>
      <c r="K41" s="1" t="n"/>
      <c r="L41" s="1" t="n"/>
      <c r="M41" s="1" t="n"/>
    </row>
    <row r="42" ht="15" customHeight="1">
      <c r="A42" s="1" t="n"/>
      <c r="B42" s="1" t="n"/>
      <c r="C42" s="1" t="n"/>
      <c r="D42" s="1" t="n"/>
      <c r="E42" s="1" t="n"/>
      <c r="F42" s="1" t="n"/>
      <c r="G42" s="1" t="n"/>
      <c r="H42" s="1" t="n"/>
      <c r="I42" s="1" t="n"/>
      <c r="J42" s="1" t="n"/>
      <c r="K42" s="1" t="n"/>
      <c r="L42" s="1" t="n"/>
      <c r="M42" s="1" t="n"/>
    </row>
    <row r="43" ht="15" customHeight="1">
      <c r="A43" s="1" t="n"/>
      <c r="B43" s="1" t="n"/>
      <c r="C43" s="1" t="n"/>
      <c r="D43" s="1" t="n"/>
      <c r="E43" s="1" t="n"/>
      <c r="F43" s="1" t="n"/>
      <c r="G43" s="1" t="n"/>
      <c r="H43" s="1" t="n"/>
      <c r="I43" s="1" t="n"/>
      <c r="J43" s="1" t="n"/>
      <c r="K43" s="1" t="n"/>
      <c r="L43" s="1" t="n"/>
      <c r="M43" s="1" t="n"/>
    </row>
    <row r="44" ht="15" customHeight="1">
      <c r="A44" s="1" t="n"/>
      <c r="B44" s="1" t="n"/>
      <c r="C44" s="1" t="n"/>
      <c r="D44" s="1" t="n"/>
      <c r="E44" s="1" t="n"/>
      <c r="F44" s="1" t="n"/>
      <c r="G44" s="1" t="n"/>
      <c r="H44" s="1" t="n"/>
      <c r="I44" s="1" t="n"/>
      <c r="J44" s="1" t="n"/>
      <c r="K44" s="1" t="n"/>
      <c r="L44" s="1" t="n"/>
      <c r="M44" s="1" t="n"/>
    </row>
    <row r="45" ht="15" customHeight="1">
      <c r="A45" s="1" t="n"/>
      <c r="B45" s="1" t="n"/>
      <c r="C45" s="1" t="n"/>
      <c r="D45" s="1" t="n"/>
      <c r="E45" s="1" t="n"/>
      <c r="F45" s="1" t="n"/>
      <c r="G45" s="1" t="n"/>
      <c r="H45" s="1" t="n"/>
      <c r="I45" s="1" t="n"/>
      <c r="J45" s="1" t="n"/>
      <c r="K45" s="1" t="n"/>
      <c r="L45" s="1" t="n"/>
      <c r="M45" s="1" t="n"/>
    </row>
    <row r="46" ht="15" customHeight="1">
      <c r="A46" s="1" t="n"/>
      <c r="B46" s="1" t="n"/>
      <c r="C46" s="1" t="n"/>
      <c r="D46" s="1" t="n"/>
      <c r="E46" s="1" t="n"/>
      <c r="F46" s="1" t="n"/>
      <c r="G46" s="1" t="n"/>
      <c r="H46" s="1" t="n"/>
      <c r="I46" s="1" t="n"/>
      <c r="J46" s="1" t="n"/>
      <c r="K46" s="1" t="n"/>
      <c r="L46" s="1" t="n"/>
      <c r="M46" s="1" t="n"/>
    </row>
    <row r="47" ht="15" customHeight="1">
      <c r="A47" s="1" t="n"/>
      <c r="B47" s="1" t="n"/>
      <c r="C47" s="1" t="n"/>
      <c r="D47" s="1" t="n"/>
      <c r="E47" s="1" t="n"/>
      <c r="F47" s="1" t="n"/>
      <c r="G47" s="1" t="n"/>
      <c r="H47" s="1" t="n"/>
      <c r="I47" s="1" t="n"/>
      <c r="J47" s="1" t="n"/>
      <c r="K47" s="1" t="n"/>
      <c r="L47" s="1" t="n"/>
      <c r="M47" s="1" t="n"/>
    </row>
    <row r="48" ht="15" customHeight="1">
      <c r="A48" s="1" t="n"/>
      <c r="B48" s="1" t="n"/>
      <c r="C48" s="1" t="n"/>
      <c r="D48" s="1" t="n"/>
      <c r="E48" s="1" t="n"/>
      <c r="F48" s="1" t="n"/>
      <c r="G48" s="1" t="n"/>
      <c r="H48" s="1" t="n"/>
      <c r="I48" s="1" t="n"/>
      <c r="J48" s="1" t="n"/>
      <c r="K48" s="1" t="n"/>
      <c r="L48" s="1" t="n"/>
      <c r="M48" s="1" t="n"/>
    </row>
    <row r="49" ht="15" customHeight="1">
      <c r="A49" s="1" t="n"/>
      <c r="B49" s="1" t="n"/>
      <c r="C49" s="1" t="n"/>
      <c r="D49" s="1" t="n"/>
      <c r="E49" s="1" t="n"/>
      <c r="F49" s="1" t="n"/>
      <c r="G49" s="1" t="n"/>
      <c r="H49" s="1" t="n"/>
      <c r="I49" s="1" t="n"/>
      <c r="J49" s="1" t="n"/>
      <c r="K49" s="1" t="n"/>
      <c r="L49" s="1" t="n"/>
      <c r="M49" s="1" t="n"/>
    </row>
    <row r="50" ht="15" customHeight="1">
      <c r="A50" s="1" t="n"/>
      <c r="B50" s="1" t="n"/>
      <c r="C50" s="1" t="n"/>
      <c r="D50" s="1" t="n"/>
      <c r="E50" s="1" t="n"/>
      <c r="F50" s="1" t="n"/>
      <c r="G50" s="1" t="n"/>
      <c r="H50" s="1" t="n"/>
      <c r="I50" s="1" t="n"/>
      <c r="J50" s="1" t="n"/>
      <c r="K50" s="1" t="n"/>
      <c r="L50" s="1" t="n"/>
      <c r="M50" s="1" t="n"/>
    </row>
    <row r="51" ht="15" customHeight="1">
      <c r="A51" s="1" t="n"/>
      <c r="B51" s="1" t="n"/>
      <c r="C51" s="1" t="n"/>
      <c r="D51" s="1" t="n"/>
      <c r="E51" s="1" t="n"/>
      <c r="F51" s="1" t="n"/>
      <c r="G51" s="1" t="n"/>
      <c r="H51" s="1" t="n"/>
      <c r="I51" s="1" t="n"/>
      <c r="J51" s="1" t="n"/>
      <c r="K51" s="1" t="n"/>
      <c r="L51" s="1" t="n"/>
      <c r="M51" s="1" t="n"/>
    </row>
    <row r="52" ht="15" customHeight="1">
      <c r="A52" s="1" t="n"/>
      <c r="B52" s="1" t="n"/>
      <c r="C52" s="1" t="n"/>
      <c r="D52" s="1" t="n"/>
      <c r="E52" s="1" t="n"/>
      <c r="F52" s="1" t="n"/>
      <c r="G52" s="1" t="n"/>
      <c r="H52" s="1" t="n"/>
      <c r="I52" s="1" t="n"/>
      <c r="J52" s="1" t="n"/>
      <c r="K52" s="1" t="n"/>
      <c r="L52" s="1" t="n"/>
      <c r="M52" s="1" t="n"/>
    </row>
    <row r="53" ht="15" customHeight="1">
      <c r="A53" s="1" t="n"/>
      <c r="B53" s="1" t="n"/>
      <c r="C53" s="1" t="n"/>
      <c r="D53" s="1" t="n"/>
      <c r="E53" s="1" t="n"/>
      <c r="F53" s="1" t="n"/>
      <c r="G53" s="1" t="n"/>
      <c r="H53" s="1" t="n"/>
      <c r="I53" s="1" t="n"/>
      <c r="J53" s="1" t="n"/>
      <c r="K53" s="1" t="n"/>
      <c r="L53" s="1" t="n"/>
      <c r="M53" s="1" t="n"/>
    </row>
    <row r="54" ht="15" customHeight="1">
      <c r="A54" s="1" t="n"/>
      <c r="B54" s="1" t="n"/>
      <c r="C54" s="1" t="n"/>
      <c r="D54" s="1" t="n"/>
      <c r="E54" s="1" t="n"/>
      <c r="F54" s="1" t="n"/>
      <c r="G54" s="1" t="n"/>
      <c r="H54" s="1" t="n"/>
      <c r="I54" s="1" t="n"/>
      <c r="J54" s="1" t="n"/>
      <c r="K54" s="1" t="n"/>
      <c r="L54" s="1" t="n"/>
      <c r="M54" s="1" t="n"/>
    </row>
    <row r="55" ht="15" customHeight="1">
      <c r="A55" s="1" t="n"/>
      <c r="B55" s="1" t="n"/>
      <c r="C55" s="1" t="n"/>
      <c r="D55" s="1" t="n"/>
      <c r="E55" s="1" t="n"/>
      <c r="F55" s="1" t="n"/>
      <c r="G55" s="1" t="n"/>
      <c r="H55" s="1" t="n"/>
      <c r="I55" s="1" t="n"/>
      <c r="J55" s="1" t="n"/>
      <c r="K55" s="1" t="n"/>
      <c r="L55" s="1" t="n"/>
      <c r="M55" s="1" t="n"/>
    </row>
    <row r="56" ht="15" customHeight="1">
      <c r="A56" s="1" t="n"/>
      <c r="B56" s="1" t="n"/>
      <c r="C56" s="1" t="n"/>
      <c r="D56" s="1" t="n"/>
      <c r="E56" s="1" t="n"/>
      <c r="F56" s="1" t="n"/>
      <c r="G56" s="1" t="n"/>
      <c r="H56" s="1" t="n"/>
      <c r="I56" s="1" t="n"/>
      <c r="J56" s="1" t="n"/>
      <c r="K56" s="1" t="n"/>
      <c r="L56" s="1" t="n"/>
      <c r="M56" s="1" t="n"/>
    </row>
    <row r="57" ht="15" customHeight="1">
      <c r="A57" s="1" t="n"/>
      <c r="B57" s="1" t="n"/>
      <c r="C57" s="1" t="n"/>
      <c r="D57" s="1" t="n"/>
      <c r="E57" s="1" t="n"/>
      <c r="F57" s="1" t="n"/>
      <c r="G57" s="1" t="n"/>
      <c r="H57" s="1" t="n"/>
      <c r="I57" s="1" t="n"/>
      <c r="J57" s="1" t="n"/>
      <c r="K57" s="1" t="n"/>
      <c r="L57" s="1" t="n"/>
      <c r="M57" s="1" t="n"/>
    </row>
    <row r="58" ht="15" customHeight="1">
      <c r="A58" s="1" t="n"/>
      <c r="B58" s="1" t="n"/>
      <c r="C58" s="1" t="n"/>
      <c r="D58" s="1" t="n"/>
      <c r="E58" s="1" t="n"/>
      <c r="F58" s="1" t="n"/>
      <c r="G58" s="1" t="n"/>
      <c r="H58" s="1" t="n"/>
      <c r="I58" s="1" t="n"/>
      <c r="J58" s="1" t="n"/>
      <c r="K58" s="1" t="n"/>
      <c r="L58" s="1" t="n"/>
      <c r="M58" s="1" t="n"/>
    </row>
    <row r="59" ht="15" customHeight="1">
      <c r="A59" s="1" t="n"/>
      <c r="B59" s="1" t="n"/>
      <c r="C59" s="1" t="n"/>
      <c r="D59" s="1" t="n"/>
      <c r="E59" s="1" t="n"/>
      <c r="F59" s="1" t="n"/>
      <c r="G59" s="1" t="n"/>
      <c r="H59" s="1" t="n"/>
      <c r="I59" s="1" t="n"/>
      <c r="J59" s="1" t="n"/>
      <c r="K59" s="1" t="n"/>
      <c r="L59" s="1" t="n"/>
      <c r="M59" s="1" t="n"/>
    </row>
    <row r="60" ht="15" customHeight="1">
      <c r="A60" s="1" t="n"/>
      <c r="B60" s="1" t="n"/>
      <c r="C60" s="1" t="n"/>
      <c r="D60" s="1" t="n"/>
      <c r="E60" s="1" t="n"/>
      <c r="F60" s="1" t="n"/>
      <c r="G60" s="1" t="n"/>
      <c r="H60" s="1" t="n"/>
      <c r="I60" s="1" t="n"/>
      <c r="J60" s="1" t="n"/>
      <c r="K60" s="1" t="n"/>
      <c r="L60" s="1" t="n"/>
      <c r="M60" s="1" t="n"/>
    </row>
    <row r="61" ht="15" customHeight="1">
      <c r="A61" s="1" t="n"/>
      <c r="B61" s="1" t="n"/>
      <c r="C61" s="1" t="n"/>
      <c r="D61" s="1" t="n"/>
      <c r="E61" s="1" t="n"/>
      <c r="F61" s="1" t="n"/>
      <c r="G61" s="1" t="n"/>
      <c r="H61" s="1" t="n"/>
      <c r="I61" s="1" t="n"/>
      <c r="J61" s="1" t="n"/>
      <c r="K61" s="1" t="n"/>
      <c r="L61" s="1" t="n"/>
      <c r="M61" s="1" t="n"/>
    </row>
    <row r="62" ht="15" customHeight="1">
      <c r="A62" s="1" t="n"/>
      <c r="B62" s="1" t="n"/>
      <c r="C62" s="1" t="n"/>
      <c r="D62" s="1" t="n"/>
      <c r="E62" s="1" t="n"/>
      <c r="F62" s="1" t="n"/>
      <c r="G62" s="1" t="n"/>
      <c r="H62" s="1" t="n"/>
      <c r="I62" s="1" t="n"/>
      <c r="J62" s="1" t="n"/>
      <c r="K62" s="1" t="n"/>
      <c r="L62" s="1" t="n"/>
      <c r="M62" s="1" t="n"/>
    </row>
    <row r="63" ht="15" customHeight="1">
      <c r="A63" s="1" t="n"/>
      <c r="B63" s="1" t="n"/>
      <c r="C63" s="1" t="n"/>
      <c r="D63" s="1" t="n"/>
      <c r="E63" s="1" t="n"/>
      <c r="F63" s="1" t="n"/>
      <c r="G63" s="1" t="n"/>
      <c r="H63" s="1" t="n"/>
      <c r="I63" s="1" t="n"/>
      <c r="J63" s="1" t="n"/>
      <c r="K63" s="1" t="n"/>
      <c r="L63" s="1" t="n"/>
      <c r="M63" s="1" t="n"/>
    </row>
    <row r="64" ht="15" customHeight="1">
      <c r="A64" s="1" t="n"/>
      <c r="B64" s="1" t="n"/>
      <c r="C64" s="1" t="n"/>
      <c r="D64" s="1" t="n"/>
      <c r="E64" s="1" t="n"/>
      <c r="F64" s="1" t="n"/>
      <c r="G64" s="1" t="n"/>
      <c r="H64" s="1" t="n"/>
      <c r="I64" s="1" t="n"/>
      <c r="J64" s="1" t="n"/>
      <c r="K64" s="1" t="n"/>
      <c r="L64" s="1" t="n"/>
      <c r="M64" s="1" t="n"/>
    </row>
    <row r="65" ht="15" customHeight="1">
      <c r="A65" s="1" t="n"/>
      <c r="B65" s="1" t="n"/>
      <c r="C65" s="1" t="n"/>
      <c r="D65" s="1" t="n"/>
      <c r="E65" s="1" t="n"/>
      <c r="F65" s="1" t="n"/>
      <c r="G65" s="1" t="n"/>
      <c r="H65" s="1" t="n"/>
      <c r="I65" s="1" t="n"/>
      <c r="J65" s="1" t="n"/>
      <c r="K65" s="1" t="n"/>
      <c r="L65" s="1" t="n"/>
      <c r="M65" s="1" t="n"/>
    </row>
    <row r="66" ht="15" customHeight="1">
      <c r="A66" s="1" t="n"/>
      <c r="B66" s="1" t="n"/>
      <c r="C66" s="1" t="n"/>
      <c r="D66" s="1" t="n"/>
      <c r="E66" s="1" t="n"/>
      <c r="F66" s="1" t="n"/>
      <c r="G66" s="1" t="n"/>
      <c r="H66" s="1" t="n"/>
      <c r="I66" s="1" t="n"/>
      <c r="J66" s="1" t="n"/>
      <c r="K66" s="1" t="n"/>
      <c r="L66" s="1" t="n"/>
      <c r="M66" s="1" t="n"/>
    </row>
    <row r="67" ht="15" customHeight="1">
      <c r="A67" s="1" t="n"/>
      <c r="B67" s="1" t="n"/>
      <c r="C67" s="1" t="n"/>
      <c r="D67" s="1" t="n"/>
      <c r="E67" s="1" t="n"/>
      <c r="F67" s="1" t="n"/>
      <c r="G67" s="1" t="n"/>
      <c r="H67" s="1" t="n"/>
      <c r="I67" s="1" t="n"/>
      <c r="J67" s="1" t="n"/>
      <c r="K67" s="1" t="n"/>
      <c r="L67" s="1" t="n"/>
      <c r="M67" s="1" t="n"/>
    </row>
    <row r="68" ht="15" customHeight="1">
      <c r="A68" s="1" t="n"/>
      <c r="B68" s="1" t="n"/>
      <c r="C68" s="1" t="n"/>
      <c r="D68" s="1" t="n"/>
      <c r="E68" s="1" t="n"/>
      <c r="F68" s="1" t="n"/>
      <c r="G68" s="1" t="n"/>
      <c r="H68" s="1" t="n"/>
      <c r="I68" s="1" t="n"/>
      <c r="J68" s="1" t="n"/>
      <c r="K68" s="1" t="n"/>
      <c r="L68" s="1" t="n"/>
      <c r="M68" s="1" t="n"/>
    </row>
    <row r="69" ht="15" customHeight="1">
      <c r="A69" s="1" t="n"/>
      <c r="B69" s="1" t="n"/>
      <c r="C69" s="1" t="n"/>
      <c r="D69" s="1" t="n"/>
      <c r="E69" s="1" t="n"/>
      <c r="F69" s="1" t="n"/>
      <c r="G69" s="1" t="n"/>
      <c r="H69" s="1" t="n"/>
      <c r="I69" s="1" t="n"/>
      <c r="J69" s="1" t="n"/>
      <c r="K69" s="1" t="n"/>
      <c r="L69" s="1" t="n"/>
      <c r="M69" s="1" t="n"/>
    </row>
    <row r="70" ht="15" customHeight="1">
      <c r="A70" s="1" t="n"/>
      <c r="B70" s="1" t="n"/>
      <c r="C70" s="1" t="n"/>
      <c r="D70" s="1" t="n"/>
      <c r="E70" s="1" t="n"/>
      <c r="F70" s="1" t="n"/>
      <c r="G70" s="1" t="n"/>
      <c r="H70" s="1" t="n"/>
      <c r="I70" s="1" t="n"/>
      <c r="J70" s="1" t="n"/>
      <c r="K70" s="1" t="n"/>
      <c r="L70" s="1" t="n"/>
      <c r="M70" s="1" t="n"/>
    </row>
    <row r="71" ht="15" customHeight="1">
      <c r="A71" s="1" t="n"/>
      <c r="B71" s="1" t="n"/>
      <c r="C71" s="1" t="n"/>
      <c r="D71" s="1" t="n"/>
      <c r="E71" s="1" t="n"/>
      <c r="F71" s="1" t="n"/>
      <c r="G71" s="1" t="n"/>
      <c r="H71" s="1" t="n"/>
      <c r="I71" s="1" t="n"/>
      <c r="J71" s="1" t="n"/>
      <c r="K71" s="1" t="n"/>
      <c r="L71" s="1" t="n"/>
      <c r="M71" s="1" t="n"/>
    </row>
    <row r="72" ht="15" customHeight="1">
      <c r="A72" s="1" t="n"/>
      <c r="B72" s="1" t="n"/>
      <c r="C72" s="1" t="n"/>
      <c r="D72" s="1" t="n"/>
      <c r="E72" s="1" t="n"/>
      <c r="F72" s="1" t="n"/>
      <c r="G72" s="1" t="n"/>
      <c r="H72" s="1" t="n"/>
      <c r="I72" s="1" t="n"/>
      <c r="J72" s="1" t="n"/>
      <c r="K72" s="1" t="n"/>
      <c r="L72" s="1" t="n"/>
      <c r="M72" s="1" t="n"/>
    </row>
    <row r="73" ht="15" customHeight="1">
      <c r="A73" s="1" t="n"/>
      <c r="B73" s="1" t="n"/>
      <c r="C73" s="1" t="n"/>
      <c r="D73" s="1" t="n"/>
      <c r="E73" s="1" t="n"/>
      <c r="F73" s="1" t="n"/>
      <c r="G73" s="1" t="n"/>
      <c r="H73" s="1" t="n"/>
      <c r="I73" s="1" t="n"/>
      <c r="J73" s="1" t="n"/>
      <c r="K73" s="1" t="n"/>
      <c r="L73" s="1" t="n"/>
      <c r="M73" s="1" t="n"/>
    </row>
    <row r="74" ht="15" customHeight="1">
      <c r="A74" s="1" t="n"/>
      <c r="B74" s="1" t="n"/>
      <c r="C74" s="1" t="n"/>
      <c r="D74" s="1" t="n"/>
      <c r="E74" s="1" t="n"/>
      <c r="F74" s="1" t="n"/>
      <c r="G74" s="1" t="n"/>
      <c r="H74" s="1" t="n"/>
      <c r="I74" s="1" t="n"/>
      <c r="J74" s="1" t="n"/>
      <c r="K74" s="1" t="n"/>
      <c r="L74" s="1" t="n"/>
      <c r="M74" s="1" t="n"/>
    </row>
    <row r="75" ht="15" customHeight="1">
      <c r="A75" s="1" t="n"/>
      <c r="B75" s="1" t="n"/>
      <c r="C75" s="1" t="n"/>
      <c r="D75" s="1" t="n"/>
      <c r="E75" s="1" t="n"/>
      <c r="F75" s="1" t="n"/>
      <c r="G75" s="1" t="n"/>
      <c r="H75" s="1" t="n"/>
      <c r="I75" s="1" t="n"/>
      <c r="J75" s="1" t="n"/>
      <c r="K75" s="1" t="n"/>
      <c r="L75" s="1" t="n"/>
      <c r="M75" s="1" t="n"/>
    </row>
    <row r="76" ht="15" customHeight="1">
      <c r="A76" s="1" t="n"/>
      <c r="B76" s="1" t="n"/>
      <c r="C76" s="1" t="n"/>
      <c r="D76" s="1" t="n"/>
      <c r="E76" s="1" t="n"/>
      <c r="F76" s="1" t="n"/>
      <c r="G76" s="1" t="n"/>
      <c r="H76" s="1" t="n"/>
      <c r="I76" s="1" t="n"/>
      <c r="J76" s="1" t="n"/>
      <c r="K76" s="1" t="n"/>
      <c r="L76" s="1" t="n"/>
      <c r="M76" s="1" t="n"/>
    </row>
    <row r="77" ht="15" customHeight="1">
      <c r="A77" s="1" t="n"/>
      <c r="B77" s="1" t="n"/>
      <c r="C77" s="1" t="n"/>
      <c r="D77" s="1" t="n"/>
      <c r="E77" s="1" t="n"/>
      <c r="F77" s="1" t="n"/>
      <c r="G77" s="1" t="n"/>
      <c r="H77" s="1" t="n"/>
      <c r="I77" s="1" t="n"/>
      <c r="J77" s="1" t="n"/>
      <c r="K77" s="1" t="n"/>
      <c r="L77" s="1" t="n"/>
      <c r="M77" s="1" t="n"/>
    </row>
    <row r="78" ht="15" customHeight="1">
      <c r="A78" s="1" t="n"/>
      <c r="B78" s="1" t="n"/>
      <c r="C78" s="1" t="n"/>
      <c r="D78" s="1" t="n"/>
      <c r="E78" s="1" t="n"/>
      <c r="F78" s="1" t="n"/>
      <c r="G78" s="1" t="n"/>
      <c r="H78" s="1" t="n"/>
      <c r="I78" s="1" t="n"/>
      <c r="J78" s="1" t="n"/>
      <c r="K78" s="1" t="n"/>
      <c r="L78" s="1" t="n"/>
      <c r="M78" s="1" t="n"/>
    </row>
    <row r="79" ht="15" customHeight="1">
      <c r="A79" s="1" t="n"/>
      <c r="B79" s="1" t="n"/>
      <c r="C79" s="1" t="n"/>
      <c r="D79" s="1" t="n"/>
      <c r="E79" s="1" t="n"/>
      <c r="F79" s="1" t="n"/>
      <c r="G79" s="1" t="n"/>
      <c r="H79" s="1" t="n"/>
      <c r="I79" s="1" t="n"/>
      <c r="J79" s="1" t="n"/>
      <c r="K79" s="1" t="n"/>
      <c r="L79" s="1" t="n"/>
      <c r="M79" s="1" t="n"/>
    </row>
    <row r="80" ht="15" customHeight="1">
      <c r="A80" s="1" t="n"/>
      <c r="B80" s="1" t="n"/>
      <c r="C80" s="1" t="n"/>
      <c r="D80" s="1" t="n"/>
      <c r="E80" s="1" t="n"/>
      <c r="F80" s="1" t="n"/>
      <c r="G80" s="1" t="n"/>
      <c r="H80" s="1" t="n"/>
      <c r="I80" s="1" t="n"/>
      <c r="J80" s="1" t="n"/>
      <c r="K80" s="1" t="n"/>
      <c r="L80" s="1" t="n"/>
      <c r="M80" s="1" t="n"/>
    </row>
    <row r="81" ht="15" customHeight="1">
      <c r="A81" s="1" t="n"/>
      <c r="B81" s="1" t="n"/>
      <c r="C81" s="1" t="n"/>
      <c r="D81" s="1" t="n"/>
      <c r="E81" s="1" t="n"/>
      <c r="F81" s="1" t="n"/>
      <c r="G81" s="1" t="n"/>
      <c r="H81" s="1" t="n"/>
      <c r="I81" s="1" t="n"/>
      <c r="J81" s="1" t="n"/>
      <c r="K81" s="1" t="n"/>
      <c r="L81" s="1" t="n"/>
      <c r="M81" s="1" t="n"/>
    </row>
    <row r="82" ht="15" customHeight="1">
      <c r="A82" s="1" t="n"/>
      <c r="B82" s="1" t="n"/>
      <c r="C82" s="1" t="n"/>
      <c r="D82" s="1" t="n"/>
      <c r="E82" s="1" t="n"/>
      <c r="F82" s="1" t="n"/>
      <c r="G82" s="1" t="n"/>
      <c r="H82" s="1" t="n"/>
      <c r="I82" s="1" t="n"/>
      <c r="J82" s="1" t="n"/>
      <c r="K82" s="1" t="n"/>
      <c r="L82" s="1" t="n"/>
      <c r="M82" s="1" t="n"/>
    </row>
    <row r="83" ht="15" customHeight="1">
      <c r="A83" s="1" t="n"/>
      <c r="B83" s="1" t="n"/>
      <c r="C83" s="1" t="n"/>
      <c r="D83" s="1" t="n"/>
      <c r="E83" s="1" t="n"/>
      <c r="F83" s="1" t="n"/>
      <c r="G83" s="1" t="n"/>
      <c r="H83" s="1" t="n"/>
      <c r="I83" s="1" t="n"/>
      <c r="J83" s="1" t="n"/>
      <c r="K83" s="1" t="n"/>
      <c r="L83" s="1" t="n"/>
      <c r="M83" s="1" t="n"/>
    </row>
    <row r="84" ht="15" customHeight="1">
      <c r="A84" s="1" t="n"/>
      <c r="B84" s="1" t="n"/>
      <c r="C84" s="1" t="n"/>
      <c r="D84" s="1" t="n"/>
      <c r="E84" s="1" t="n"/>
      <c r="F84" s="1" t="n"/>
      <c r="G84" s="1" t="n"/>
      <c r="H84" s="1" t="n"/>
      <c r="I84" s="1" t="n"/>
      <c r="J84" s="1" t="n"/>
      <c r="K84" s="1" t="n"/>
      <c r="L84" s="1" t="n"/>
      <c r="M84" s="1" t="n"/>
    </row>
    <row r="85" ht="15" customHeight="1">
      <c r="A85" s="1" t="n"/>
      <c r="B85" s="1" t="n"/>
      <c r="C85" s="1" t="n"/>
      <c r="D85" s="1" t="n"/>
      <c r="E85" s="1" t="n"/>
      <c r="F85" s="1" t="n"/>
      <c r="G85" s="1" t="n"/>
      <c r="H85" s="1" t="n"/>
      <c r="I85" s="1" t="n"/>
      <c r="J85" s="1" t="n"/>
      <c r="K85" s="1" t="n"/>
      <c r="L85" s="1" t="n"/>
      <c r="M85" s="1" t="n"/>
    </row>
    <row r="86" ht="15" customHeight="1">
      <c r="A86" s="1" t="n"/>
      <c r="B86" s="1" t="n"/>
      <c r="C86" s="1" t="n"/>
      <c r="D86" s="1" t="n"/>
      <c r="E86" s="1" t="n"/>
      <c r="F86" s="1" t="n"/>
      <c r="G86" s="1" t="n"/>
      <c r="H86" s="1" t="n"/>
      <c r="I86" s="1" t="n"/>
      <c r="J86" s="1" t="n"/>
      <c r="K86" s="1" t="n"/>
      <c r="L86" s="1" t="n"/>
      <c r="M86" s="1" t="n"/>
    </row>
    <row r="87" ht="15" customHeight="1">
      <c r="A87" s="1" t="n"/>
      <c r="B87" s="1" t="n"/>
      <c r="C87" s="1" t="n"/>
      <c r="D87" s="1" t="n"/>
      <c r="E87" s="1" t="n"/>
      <c r="F87" s="1" t="n"/>
      <c r="G87" s="1" t="n"/>
      <c r="H87" s="1" t="n"/>
      <c r="I87" s="1" t="n"/>
      <c r="J87" s="1" t="n"/>
      <c r="K87" s="1" t="n"/>
      <c r="L87" s="1" t="n"/>
      <c r="M87" s="1" t="n"/>
    </row>
    <row r="88" ht="15" customHeight="1">
      <c r="A88" s="1" t="n"/>
      <c r="B88" s="1" t="n"/>
      <c r="C88" s="1" t="n"/>
      <c r="D88" s="1" t="n"/>
      <c r="E88" s="1" t="n"/>
      <c r="F88" s="1" t="n"/>
      <c r="G88" s="1" t="n"/>
      <c r="H88" s="1" t="n"/>
      <c r="I88" s="1" t="n"/>
      <c r="J88" s="1" t="n"/>
      <c r="K88" s="1" t="n"/>
      <c r="L88" s="1" t="n"/>
      <c r="M88" s="1" t="n"/>
    </row>
    <row r="89" ht="15" customHeight="1">
      <c r="A89" s="1" t="n"/>
      <c r="B89" s="1" t="n"/>
      <c r="C89" s="1" t="n"/>
      <c r="D89" s="1" t="n"/>
      <c r="E89" s="1" t="n"/>
      <c r="F89" s="1" t="n"/>
      <c r="G89" s="1" t="n"/>
      <c r="H89" s="1" t="n"/>
      <c r="I89" s="1" t="n"/>
      <c r="J89" s="1" t="n"/>
      <c r="K89" s="1" t="n"/>
      <c r="L89" s="1" t="n"/>
      <c r="M89" s="1" t="n"/>
    </row>
    <row r="90" ht="15" customHeight="1">
      <c r="A90" s="1" t="n"/>
      <c r="B90" s="1" t="n"/>
      <c r="C90" s="1" t="n"/>
      <c r="D90" s="1" t="n"/>
      <c r="E90" s="1" t="n"/>
      <c r="F90" s="1" t="n"/>
      <c r="G90" s="1" t="n"/>
      <c r="H90" s="1" t="n"/>
      <c r="I90" s="1" t="n"/>
      <c r="J90" s="1" t="n"/>
      <c r="K90" s="1" t="n"/>
      <c r="L90" s="1" t="n"/>
      <c r="M90" s="1" t="n"/>
    </row>
    <row r="91" ht="15" customHeight="1">
      <c r="A91" s="1" t="n"/>
      <c r="B91" s="1" t="n"/>
      <c r="C91" s="1" t="n"/>
      <c r="D91" s="1" t="n"/>
      <c r="E91" s="1" t="n"/>
      <c r="F91" s="1" t="n"/>
      <c r="G91" s="1" t="n"/>
      <c r="H91" s="1" t="n"/>
      <c r="I91" s="1" t="n"/>
      <c r="J91" s="1" t="n"/>
      <c r="K91" s="1" t="n"/>
      <c r="L91" s="1" t="n"/>
      <c r="M91" s="1" t="n"/>
    </row>
    <row r="92" ht="15" customHeight="1">
      <c r="A92" s="1" t="n"/>
      <c r="B92" s="1" t="n"/>
      <c r="C92" s="1" t="n"/>
      <c r="D92" s="1" t="n"/>
      <c r="E92" s="1" t="n"/>
      <c r="F92" s="1" t="n"/>
      <c r="G92" s="1" t="n"/>
      <c r="H92" s="1" t="n"/>
      <c r="I92" s="1" t="n"/>
      <c r="J92" s="1" t="n"/>
      <c r="K92" s="1" t="n"/>
      <c r="L92" s="1" t="n"/>
      <c r="M92" s="1" t="n"/>
    </row>
    <row r="93" ht="15" customHeight="1">
      <c r="A93" s="1" t="n"/>
      <c r="B93" s="1" t="n"/>
      <c r="C93" s="1" t="n"/>
      <c r="D93" s="1" t="n"/>
      <c r="E93" s="1" t="n"/>
      <c r="F93" s="1" t="n"/>
      <c r="G93" s="1" t="n"/>
      <c r="H93" s="1" t="n"/>
      <c r="I93" s="1" t="n"/>
      <c r="J93" s="1" t="n"/>
      <c r="K93" s="1" t="n"/>
      <c r="L93" s="1" t="n"/>
      <c r="M93" s="1" t="n"/>
    </row>
    <row r="94" ht="15" customHeight="1">
      <c r="A94" s="1" t="n"/>
      <c r="B94" s="1" t="n"/>
      <c r="C94" s="1" t="n"/>
      <c r="D94" s="1" t="n"/>
      <c r="E94" s="1" t="n"/>
      <c r="F94" s="1" t="n"/>
      <c r="G94" s="1" t="n"/>
      <c r="H94" s="1" t="n"/>
      <c r="I94" s="1" t="n"/>
      <c r="J94" s="1" t="n"/>
      <c r="K94" s="1" t="n"/>
      <c r="L94" s="1" t="n"/>
      <c r="M94" s="1" t="n"/>
    </row>
    <row r="95" ht="15" customHeight="1">
      <c r="A95" s="1" t="n"/>
      <c r="B95" s="1" t="n"/>
      <c r="C95" s="1" t="n"/>
      <c r="D95" s="1" t="n"/>
      <c r="E95" s="1" t="n"/>
      <c r="F95" s="1" t="n"/>
      <c r="G95" s="1" t="n"/>
      <c r="H95" s="1" t="n"/>
      <c r="I95" s="1" t="n"/>
      <c r="J95" s="1" t="n"/>
      <c r="K95" s="1" t="n"/>
      <c r="L95" s="1" t="n"/>
      <c r="M95" s="1" t="n"/>
    </row>
    <row r="96" ht="15" customHeight="1">
      <c r="A96" s="1" t="n"/>
      <c r="B96" s="1" t="n"/>
      <c r="C96" s="1" t="n"/>
      <c r="D96" s="1" t="n"/>
      <c r="E96" s="1" t="n"/>
      <c r="F96" s="1" t="n"/>
      <c r="G96" s="1" t="n"/>
      <c r="H96" s="1" t="n"/>
      <c r="I96" s="1" t="n"/>
      <c r="J96" s="1" t="n"/>
      <c r="K96" s="1" t="n"/>
      <c r="L96" s="1" t="n"/>
      <c r="M96" s="1" t="n"/>
    </row>
    <row r="97" ht="15" customHeight="1">
      <c r="A97" s="1" t="n"/>
      <c r="B97" s="1" t="n"/>
      <c r="C97" s="1" t="n"/>
      <c r="D97" s="1" t="n"/>
      <c r="E97" s="1" t="n"/>
      <c r="F97" s="1" t="n"/>
      <c r="G97" s="1" t="n"/>
      <c r="H97" s="1" t="n"/>
      <c r="I97" s="1" t="n"/>
      <c r="J97" s="1" t="n"/>
      <c r="K97" s="1" t="n"/>
      <c r="L97" s="1" t="n"/>
      <c r="M97" s="1" t="n"/>
    </row>
    <row r="98" ht="15" customHeight="1">
      <c r="A98" s="1" t="n"/>
      <c r="B98" s="1" t="n"/>
      <c r="C98" s="1" t="n"/>
      <c r="D98" s="1" t="n"/>
      <c r="E98" s="1" t="n"/>
      <c r="F98" s="1" t="n"/>
      <c r="G98" s="1" t="n"/>
      <c r="H98" s="1" t="n"/>
      <c r="I98" s="1" t="n"/>
      <c r="J98" s="1" t="n"/>
      <c r="K98" s="1" t="n"/>
      <c r="L98" s="1" t="n"/>
      <c r="M98" s="1" t="n"/>
    </row>
    <row r="99" ht="15" customHeight="1">
      <c r="A99" s="1" t="n"/>
      <c r="B99" s="1" t="n"/>
      <c r="C99" s="1" t="n"/>
      <c r="D99" s="1" t="n"/>
      <c r="E99" s="1" t="n"/>
      <c r="F99" s="1" t="n"/>
      <c r="G99" s="1" t="n"/>
      <c r="H99" s="1" t="n"/>
      <c r="I99" s="1" t="n"/>
      <c r="J99" s="1" t="n"/>
      <c r="K99" s="1" t="n"/>
      <c r="L99" s="1" t="n"/>
      <c r="M99" s="1" t="n"/>
    </row>
    <row r="100" ht="15" customHeight="1">
      <c r="A100" s="1" t="n"/>
      <c r="B100" s="1" t="n"/>
      <c r="C100" s="1" t="n"/>
      <c r="D100" s="1" t="n"/>
      <c r="E100" s="1" t="n"/>
      <c r="F100" s="1" t="n"/>
      <c r="G100" s="1" t="n"/>
      <c r="H100" s="1" t="n"/>
      <c r="I100" s="1" t="n"/>
      <c r="J100" s="1" t="n"/>
      <c r="K100" s="1" t="n"/>
      <c r="L100" s="1" t="n"/>
      <c r="M100" s="1" t="n"/>
    </row>
    <row r="101" ht="15" customHeight="1">
      <c r="A101" s="1" t="n"/>
      <c r="B101" s="1" t="n"/>
      <c r="C101" s="1" t="n"/>
      <c r="D101" s="1" t="n"/>
      <c r="E101" s="1" t="n"/>
      <c r="F101" s="1" t="n"/>
      <c r="G101" s="1" t="n"/>
      <c r="H101" s="1" t="n"/>
      <c r="I101" s="1" t="n"/>
      <c r="J101" s="1" t="n"/>
      <c r="K101" s="1" t="n"/>
      <c r="L101" s="1" t="n"/>
      <c r="M101" s="1" t="n"/>
    </row>
    <row r="102" ht="15" customHeight="1">
      <c r="A102" s="1" t="n"/>
      <c r="B102" s="1" t="n"/>
      <c r="C102" s="1" t="n"/>
      <c r="D102" s="1" t="n"/>
      <c r="E102" s="1" t="n"/>
      <c r="F102" s="1" t="n"/>
      <c r="G102" s="1" t="n"/>
      <c r="H102" s="1" t="n"/>
      <c r="I102" s="1" t="n"/>
      <c r="J102" s="1" t="n"/>
      <c r="K102" s="1" t="n"/>
      <c r="L102" s="1" t="n"/>
      <c r="M102" s="1" t="n"/>
    </row>
    <row r="103" ht="15" customHeight="1">
      <c r="A103" s="1" t="n"/>
      <c r="B103" s="1" t="n"/>
      <c r="C103" s="1" t="n"/>
      <c r="D103" s="1" t="n"/>
      <c r="E103" s="1" t="n"/>
      <c r="F103" s="1" t="n"/>
      <c r="G103" s="1" t="n"/>
      <c r="H103" s="1" t="n"/>
      <c r="I103" s="1" t="n"/>
      <c r="J103" s="1" t="n"/>
      <c r="K103" s="1" t="n"/>
      <c r="L103" s="1" t="n"/>
      <c r="M103" s="1" t="n"/>
    </row>
    <row r="104" ht="15" customHeight="1">
      <c r="A104" s="1" t="n"/>
      <c r="B104" s="1" t="n"/>
      <c r="C104" s="1" t="n"/>
      <c r="D104" s="1" t="n"/>
      <c r="E104" s="1" t="n"/>
      <c r="F104" s="1" t="n"/>
      <c r="G104" s="1" t="n"/>
      <c r="H104" s="1" t="n"/>
      <c r="I104" s="1" t="n"/>
      <c r="J104" s="1" t="n"/>
      <c r="K104" s="1" t="n"/>
      <c r="L104" s="1" t="n"/>
      <c r="M104" s="1" t="n"/>
    </row>
    <row r="105" ht="15" customHeight="1">
      <c r="A105" s="1" t="n"/>
      <c r="B105" s="1" t="n"/>
      <c r="C105" s="1" t="n"/>
      <c r="D105" s="1" t="n"/>
      <c r="E105" s="1" t="n"/>
      <c r="F105" s="1" t="n"/>
      <c r="G105" s="1" t="n"/>
      <c r="H105" s="1" t="n"/>
      <c r="I105" s="1" t="n"/>
      <c r="J105" s="1" t="n"/>
      <c r="K105" s="1" t="n"/>
      <c r="L105" s="1" t="n"/>
      <c r="M105" s="1" t="n"/>
    </row>
    <row r="106" ht="15" customHeight="1">
      <c r="A106" s="1" t="n"/>
      <c r="B106" s="1" t="n"/>
      <c r="C106" s="1" t="n"/>
      <c r="D106" s="1" t="n"/>
      <c r="E106" s="1" t="n"/>
      <c r="F106" s="1" t="n"/>
      <c r="G106" s="1" t="n"/>
      <c r="H106" s="1" t="n"/>
      <c r="I106" s="1" t="n"/>
      <c r="J106" s="1" t="n"/>
      <c r="K106" s="1" t="n"/>
      <c r="L106" s="1" t="n"/>
      <c r="M106" s="1" t="n"/>
    </row>
    <row r="107" ht="15" customHeight="1">
      <c r="A107" s="1" t="n"/>
      <c r="B107" s="1" t="n"/>
      <c r="C107" s="1" t="n"/>
      <c r="D107" s="1" t="n"/>
      <c r="E107" s="1" t="n"/>
      <c r="F107" s="1" t="n"/>
      <c r="G107" s="1" t="n"/>
      <c r="H107" s="1" t="n"/>
      <c r="I107" s="1" t="n"/>
      <c r="J107" s="1" t="n"/>
      <c r="K107" s="1" t="n"/>
      <c r="L107" s="1" t="n"/>
      <c r="M107" s="1" t="n"/>
    </row>
    <row r="108" ht="15" customHeight="1">
      <c r="A108" s="1" t="n"/>
      <c r="B108" s="1" t="n"/>
      <c r="C108" s="1" t="n"/>
      <c r="D108" s="1" t="n"/>
      <c r="E108" s="1" t="n"/>
      <c r="F108" s="1" t="n"/>
      <c r="G108" s="1" t="n"/>
      <c r="H108" s="1" t="n"/>
      <c r="I108" s="1" t="n"/>
      <c r="J108" s="1" t="n"/>
      <c r="K108" s="1" t="n"/>
      <c r="L108" s="1" t="n"/>
      <c r="M108" s="1" t="n"/>
    </row>
    <row r="109" ht="15" customHeight="1">
      <c r="A109" s="1" t="n"/>
      <c r="B109" s="1" t="n"/>
      <c r="C109" s="1" t="n"/>
      <c r="D109" s="1" t="n"/>
      <c r="E109" s="1" t="n"/>
      <c r="F109" s="1" t="n"/>
      <c r="G109" s="1" t="n"/>
      <c r="H109" s="1" t="n"/>
      <c r="I109" s="1" t="n"/>
      <c r="J109" s="1" t="n"/>
      <c r="K109" s="1" t="n"/>
      <c r="L109" s="1" t="n"/>
      <c r="M109" s="1" t="n"/>
    </row>
    <row r="110" ht="15" customHeight="1">
      <c r="A110" s="1" t="n"/>
      <c r="B110" s="1" t="n"/>
      <c r="C110" s="1" t="n"/>
      <c r="D110" s="1" t="n"/>
      <c r="E110" s="1" t="n"/>
      <c r="F110" s="1" t="n"/>
      <c r="G110" s="1" t="n"/>
      <c r="H110" s="1" t="n"/>
      <c r="I110" s="1" t="n"/>
      <c r="J110" s="1" t="n"/>
      <c r="K110" s="1" t="n"/>
      <c r="L110" s="1" t="n"/>
      <c r="M110" s="1" t="n"/>
    </row>
    <row r="111" ht="15" customHeight="1">
      <c r="A111" s="1" t="n"/>
      <c r="B111" s="1" t="n"/>
      <c r="C111" s="1" t="n"/>
      <c r="D111" s="1" t="n"/>
      <c r="E111" s="1" t="n"/>
      <c r="F111" s="1" t="n"/>
      <c r="G111" s="1" t="n"/>
      <c r="H111" s="1" t="n"/>
      <c r="I111" s="1" t="n"/>
      <c r="J111" s="1" t="n"/>
      <c r="K111" s="1" t="n"/>
      <c r="L111" s="1" t="n"/>
      <c r="M111" s="1" t="n"/>
    </row>
    <row r="112" ht="15" customHeight="1">
      <c r="A112" s="1" t="n"/>
      <c r="B112" s="1" t="n"/>
      <c r="C112" s="1" t="n"/>
      <c r="D112" s="1" t="n"/>
      <c r="E112" s="1" t="n"/>
      <c r="F112" s="1" t="n"/>
      <c r="G112" s="1" t="n"/>
      <c r="H112" s="1" t="n"/>
      <c r="I112" s="1" t="n"/>
      <c r="J112" s="1" t="n"/>
      <c r="K112" s="1" t="n"/>
      <c r="L112" s="1" t="n"/>
      <c r="M112" s="1" t="n"/>
    </row>
    <row r="113" ht="15" customHeight="1">
      <c r="A113" s="1" t="n"/>
      <c r="B113" s="1" t="n"/>
      <c r="C113" s="1" t="n"/>
      <c r="D113" s="1" t="n"/>
      <c r="E113" s="1" t="n"/>
      <c r="F113" s="1" t="n"/>
      <c r="G113" s="1" t="n"/>
      <c r="H113" s="1" t="n"/>
      <c r="I113" s="1" t="n"/>
      <c r="J113" s="1" t="n"/>
      <c r="K113" s="1" t="n"/>
      <c r="L113" s="1" t="n"/>
      <c r="M113" s="1" t="n"/>
    </row>
    <row r="114" ht="15" customHeight="1">
      <c r="A114" s="1" t="n"/>
      <c r="B114" s="1" t="n"/>
      <c r="C114" s="1" t="n"/>
      <c r="D114" s="1" t="n"/>
      <c r="E114" s="1" t="n"/>
      <c r="F114" s="1" t="n"/>
      <c r="G114" s="1" t="n"/>
      <c r="H114" s="1" t="n"/>
      <c r="I114" s="1" t="n"/>
      <c r="J114" s="1" t="n"/>
      <c r="K114" s="1" t="n"/>
      <c r="L114" s="1" t="n"/>
      <c r="M114" s="1" t="n"/>
    </row>
    <row r="115" ht="15" customHeight="1">
      <c r="A115" s="1" t="n"/>
      <c r="B115" s="1" t="n"/>
      <c r="C115" s="1" t="n"/>
      <c r="D115" s="1" t="n"/>
      <c r="E115" s="1" t="n"/>
      <c r="F115" s="1" t="n"/>
      <c r="G115" s="1" t="n"/>
      <c r="H115" s="1" t="n"/>
      <c r="I115" s="1" t="n"/>
      <c r="J115" s="1" t="n"/>
      <c r="K115" s="1" t="n"/>
      <c r="L115" s="1" t="n"/>
      <c r="M115" s="1" t="n"/>
    </row>
    <row r="116" ht="15" customHeight="1">
      <c r="A116" s="1" t="n"/>
      <c r="B116" s="1" t="n"/>
      <c r="C116" s="1" t="n"/>
      <c r="D116" s="1" t="n"/>
      <c r="E116" s="1" t="n"/>
      <c r="F116" s="1" t="n"/>
      <c r="G116" s="1" t="n"/>
      <c r="H116" s="1" t="n"/>
      <c r="I116" s="1" t="n"/>
      <c r="J116" s="1" t="n"/>
      <c r="K116" s="1" t="n"/>
      <c r="L116" s="1" t="n"/>
      <c r="M116" s="1" t="n"/>
    </row>
    <row r="117" ht="15" customHeight="1">
      <c r="A117" s="1" t="n"/>
      <c r="B117" s="1" t="n"/>
      <c r="C117" s="1" t="n"/>
      <c r="D117" s="1" t="n"/>
      <c r="E117" s="1" t="n"/>
      <c r="F117" s="1" t="n"/>
      <c r="G117" s="1" t="n"/>
      <c r="H117" s="1" t="n"/>
      <c r="I117" s="1" t="n"/>
      <c r="J117" s="1" t="n"/>
      <c r="K117" s="1" t="n"/>
      <c r="L117" s="1" t="n"/>
      <c r="M117" s="1" t="n"/>
    </row>
    <row r="118" ht="15" customHeight="1">
      <c r="A118" s="1" t="n"/>
      <c r="B118" s="1" t="n"/>
      <c r="C118" s="1" t="n"/>
      <c r="D118" s="1" t="n"/>
      <c r="E118" s="1" t="n"/>
      <c r="F118" s="1" t="n"/>
      <c r="G118" s="1" t="n"/>
      <c r="H118" s="1" t="n"/>
      <c r="I118" s="1" t="n"/>
      <c r="J118" s="1" t="n"/>
      <c r="K118" s="1" t="n"/>
      <c r="L118" s="1" t="n"/>
      <c r="M118" s="1" t="n"/>
    </row>
    <row r="119" ht="15" customHeight="1">
      <c r="A119" s="1" t="n"/>
      <c r="B119" s="1" t="n"/>
      <c r="C119" s="1" t="n"/>
      <c r="D119" s="1" t="n"/>
      <c r="E119" s="1" t="n"/>
      <c r="F119" s="1" t="n"/>
      <c r="G119" s="1" t="n"/>
      <c r="H119" s="1" t="n"/>
      <c r="I119" s="1" t="n"/>
      <c r="J119" s="1" t="n"/>
      <c r="K119" s="1" t="n"/>
      <c r="L119" s="1" t="n"/>
      <c r="M119" s="1" t="n"/>
    </row>
    <row r="120" ht="15" customHeight="1">
      <c r="A120" s="1" t="n"/>
      <c r="B120" s="1" t="n"/>
      <c r="C120" s="1" t="n"/>
      <c r="D120" s="1" t="n"/>
      <c r="E120" s="1" t="n"/>
      <c r="F120" s="1" t="n"/>
      <c r="G120" s="1" t="n"/>
      <c r="H120" s="1" t="n"/>
      <c r="I120" s="1" t="n"/>
      <c r="J120" s="1" t="n"/>
      <c r="K120" s="1" t="n"/>
      <c r="L120" s="1" t="n"/>
      <c r="M120" s="1" t="n"/>
    </row>
    <row r="121" ht="15" customHeight="1">
      <c r="A121" s="1" t="n"/>
      <c r="B121" s="1" t="n"/>
      <c r="C121" s="1" t="n"/>
      <c r="D121" s="1" t="n"/>
      <c r="E121" s="1" t="n"/>
      <c r="F121" s="1" t="n"/>
      <c r="G121" s="1" t="n"/>
      <c r="H121" s="1" t="n"/>
      <c r="I121" s="1" t="n"/>
      <c r="J121" s="1" t="n"/>
      <c r="K121" s="1" t="n"/>
      <c r="L121" s="1" t="n"/>
      <c r="M121" s="1" t="n"/>
    </row>
    <row r="122" ht="15" customHeight="1">
      <c r="A122" s="1" t="n"/>
      <c r="B122" s="1" t="n"/>
      <c r="C122" s="1" t="n"/>
      <c r="D122" s="1" t="n"/>
      <c r="E122" s="1" t="n"/>
      <c r="F122" s="1" t="n"/>
      <c r="G122" s="1" t="n"/>
      <c r="H122" s="1" t="n"/>
      <c r="I122" s="1" t="n"/>
      <c r="J122" s="1" t="n"/>
      <c r="K122" s="1" t="n"/>
      <c r="L122" s="1" t="n"/>
      <c r="M122" s="1" t="n"/>
    </row>
    <row r="123" ht="15" customHeight="1">
      <c r="A123" s="1" t="n"/>
      <c r="B123" s="1" t="n"/>
      <c r="C123" s="1" t="n"/>
      <c r="D123" s="1" t="n"/>
      <c r="E123" s="1" t="n"/>
      <c r="F123" s="1" t="n"/>
      <c r="G123" s="1" t="n"/>
      <c r="H123" s="1" t="n"/>
      <c r="I123" s="1" t="n"/>
      <c r="J123" s="1" t="n"/>
      <c r="K123" s="1" t="n"/>
      <c r="L123" s="1" t="n"/>
      <c r="M123" s="1" t="n"/>
    </row>
    <row r="124" ht="15" customHeight="1">
      <c r="A124" s="1" t="n"/>
      <c r="B124" s="1" t="n"/>
      <c r="C124" s="1" t="n"/>
      <c r="D124" s="1" t="n"/>
      <c r="E124" s="1" t="n"/>
      <c r="F124" s="1" t="n"/>
      <c r="G124" s="1" t="n"/>
      <c r="H124" s="1" t="n"/>
      <c r="I124" s="1" t="n"/>
      <c r="J124" s="1" t="n"/>
      <c r="K124" s="1" t="n"/>
      <c r="L124" s="1" t="n"/>
      <c r="M124" s="1" t="n"/>
    </row>
    <row r="125" ht="15" customHeight="1">
      <c r="A125" s="1" t="n"/>
      <c r="B125" s="1" t="n"/>
      <c r="C125" s="1" t="n"/>
      <c r="D125" s="1" t="n"/>
      <c r="E125" s="1" t="n"/>
      <c r="F125" s="1" t="n"/>
      <c r="G125" s="1" t="n"/>
      <c r="H125" s="1" t="n"/>
      <c r="I125" s="1" t="n"/>
      <c r="J125" s="1" t="n"/>
      <c r="K125" s="1" t="n"/>
      <c r="L125" s="1" t="n"/>
      <c r="M125" s="1" t="n"/>
    </row>
    <row r="126" ht="15" customHeight="1">
      <c r="A126" s="1" t="n"/>
      <c r="B126" s="1" t="n"/>
      <c r="C126" s="1" t="n"/>
      <c r="D126" s="1" t="n"/>
      <c r="E126" s="1" t="n"/>
      <c r="F126" s="1" t="n"/>
      <c r="G126" s="1" t="n"/>
      <c r="H126" s="1" t="n"/>
      <c r="I126" s="1" t="n"/>
      <c r="J126" s="1" t="n"/>
      <c r="K126" s="1" t="n"/>
      <c r="L126" s="1" t="n"/>
      <c r="M126" s="1" t="n"/>
    </row>
    <row r="127" ht="15" customHeight="1">
      <c r="A127" s="1" t="n"/>
      <c r="B127" s="1" t="n"/>
      <c r="C127" s="1" t="n"/>
      <c r="D127" s="1" t="n"/>
      <c r="E127" s="1" t="n"/>
      <c r="F127" s="1" t="n"/>
      <c r="G127" s="1" t="n"/>
      <c r="H127" s="1" t="n"/>
      <c r="I127" s="1" t="n"/>
      <c r="J127" s="1" t="n"/>
      <c r="K127" s="1" t="n"/>
      <c r="L127" s="1" t="n"/>
      <c r="M127" s="1" t="n"/>
    </row>
    <row r="128" ht="15" customHeight="1">
      <c r="A128" s="1" t="n"/>
      <c r="B128" s="1" t="n"/>
      <c r="C128" s="1" t="n"/>
      <c r="D128" s="1" t="n"/>
      <c r="E128" s="1" t="n"/>
      <c r="F128" s="1" t="n"/>
      <c r="G128" s="1" t="n"/>
      <c r="H128" s="1" t="n"/>
      <c r="I128" s="1" t="n"/>
      <c r="J128" s="1" t="n"/>
      <c r="K128" s="1" t="n"/>
      <c r="L128" s="1" t="n"/>
      <c r="M128" s="1" t="n"/>
    </row>
    <row r="129" ht="15" customHeight="1">
      <c r="A129" s="1" t="n"/>
      <c r="B129" s="1" t="n"/>
      <c r="C129" s="1" t="n"/>
      <c r="D129" s="1" t="n"/>
      <c r="E129" s="1" t="n"/>
      <c r="F129" s="1" t="n"/>
      <c r="G129" s="1" t="n"/>
      <c r="H129" s="1" t="n"/>
      <c r="I129" s="1" t="n"/>
      <c r="J129" s="1" t="n"/>
      <c r="K129" s="1" t="n"/>
      <c r="L129" s="1" t="n"/>
      <c r="M129" s="1" t="n"/>
    </row>
    <row r="130" ht="15" customHeight="1">
      <c r="A130" s="1" t="n"/>
      <c r="B130" s="1" t="n"/>
      <c r="C130" s="1" t="n"/>
      <c r="D130" s="1" t="n"/>
      <c r="E130" s="1" t="n"/>
      <c r="F130" s="1" t="n"/>
      <c r="G130" s="1" t="n"/>
      <c r="H130" s="1" t="n"/>
      <c r="I130" s="1" t="n"/>
      <c r="J130" s="1" t="n"/>
      <c r="K130" s="1" t="n"/>
      <c r="L130" s="1" t="n"/>
      <c r="M130" s="1" t="n"/>
    </row>
    <row r="131" ht="15" customHeight="1">
      <c r="A131" s="1" t="n"/>
      <c r="B131" s="1" t="n"/>
      <c r="C131" s="1" t="n"/>
      <c r="D131" s="1" t="n"/>
      <c r="E131" s="1" t="n"/>
      <c r="F131" s="1" t="n"/>
      <c r="G131" s="1" t="n"/>
      <c r="H131" s="1" t="n"/>
      <c r="I131" s="1" t="n"/>
      <c r="J131" s="1" t="n"/>
      <c r="K131" s="1" t="n"/>
      <c r="L131" s="1" t="n"/>
      <c r="M131" s="1" t="n"/>
    </row>
    <row r="132" ht="15" customHeight="1">
      <c r="A132" s="1" t="n"/>
      <c r="B132" s="1" t="n"/>
      <c r="C132" s="1" t="n"/>
      <c r="D132" s="1" t="n"/>
      <c r="E132" s="1" t="n"/>
      <c r="F132" s="1" t="n"/>
      <c r="G132" s="1" t="n"/>
      <c r="H132" s="1" t="n"/>
      <c r="I132" s="1" t="n"/>
      <c r="J132" s="1" t="n"/>
      <c r="K132" s="1" t="n"/>
      <c r="L132" s="1" t="n"/>
      <c r="M132" s="1" t="n"/>
    </row>
    <row r="133" ht="15" customHeight="1">
      <c r="A133" s="1" t="n"/>
      <c r="B133" s="1" t="n"/>
      <c r="C133" s="1" t="n"/>
      <c r="D133" s="1" t="n"/>
      <c r="E133" s="1" t="n"/>
      <c r="F133" s="1" t="n"/>
      <c r="G133" s="1" t="n"/>
      <c r="H133" s="1" t="n"/>
      <c r="I133" s="1" t="n"/>
      <c r="J133" s="1" t="n"/>
      <c r="K133" s="1" t="n"/>
      <c r="L133" s="1" t="n"/>
      <c r="M133" s="1" t="n"/>
    </row>
    <row r="134" ht="15" customHeight="1">
      <c r="A134" s="1" t="n"/>
      <c r="B134" s="1" t="n"/>
      <c r="C134" s="1" t="n"/>
      <c r="D134" s="1" t="n"/>
      <c r="E134" s="1" t="n"/>
      <c r="F134" s="1" t="n"/>
      <c r="G134" s="1" t="n"/>
      <c r="H134" s="1" t="n"/>
      <c r="I134" s="1" t="n"/>
      <c r="J134" s="1" t="n"/>
      <c r="K134" s="1" t="n"/>
      <c r="L134" s="1" t="n"/>
      <c r="M134" s="1" t="n"/>
    </row>
    <row r="135" ht="15" customHeight="1">
      <c r="A135" s="1" t="n"/>
      <c r="B135" s="1" t="n"/>
      <c r="C135" s="1" t="n"/>
      <c r="D135" s="1" t="n"/>
      <c r="E135" s="1" t="n"/>
      <c r="F135" s="1" t="n"/>
      <c r="G135" s="1" t="n"/>
      <c r="H135" s="1" t="n"/>
      <c r="I135" s="1" t="n"/>
      <c r="J135" s="1" t="n"/>
      <c r="K135" s="1" t="n"/>
      <c r="L135" s="1" t="n"/>
      <c r="M135" s="1" t="n"/>
    </row>
    <row r="136" ht="15" customHeight="1">
      <c r="A136" s="1" t="n"/>
      <c r="B136" s="1" t="n"/>
      <c r="C136" s="1" t="n"/>
      <c r="D136" s="1" t="n"/>
      <c r="E136" s="1" t="n"/>
      <c r="F136" s="1" t="n"/>
      <c r="G136" s="1" t="n"/>
      <c r="H136" s="1" t="n"/>
      <c r="I136" s="1" t="n"/>
      <c r="J136" s="1" t="n"/>
      <c r="K136" s="1" t="n"/>
      <c r="L136" s="1" t="n"/>
      <c r="M136" s="1" t="n"/>
    </row>
    <row r="137" ht="15" customHeight="1">
      <c r="A137" s="1" t="n"/>
      <c r="B137" s="1" t="n"/>
      <c r="C137" s="1" t="n"/>
      <c r="D137" s="1" t="n"/>
      <c r="E137" s="1" t="n"/>
      <c r="F137" s="1" t="n"/>
      <c r="G137" s="1" t="n"/>
      <c r="H137" s="1" t="n"/>
      <c r="I137" s="1" t="n"/>
      <c r="J137" s="1" t="n"/>
      <c r="K137" s="1" t="n"/>
      <c r="L137" s="1" t="n"/>
      <c r="M137" s="1" t="n"/>
    </row>
    <row r="138" ht="15" customHeight="1">
      <c r="A138" s="1" t="n"/>
      <c r="B138" s="1" t="n"/>
      <c r="C138" s="1" t="n"/>
      <c r="D138" s="1" t="n"/>
      <c r="E138" s="1" t="n"/>
      <c r="F138" s="1" t="n"/>
      <c r="G138" s="1" t="n"/>
      <c r="H138" s="1" t="n"/>
      <c r="I138" s="1" t="n"/>
      <c r="J138" s="1" t="n"/>
      <c r="K138" s="1" t="n"/>
      <c r="L138" s="1" t="n"/>
      <c r="M138" s="1" t="n"/>
    </row>
    <row r="139" ht="15" customHeight="1">
      <c r="A139" s="1" t="n"/>
      <c r="B139" s="1" t="n"/>
      <c r="C139" s="1" t="n"/>
      <c r="D139" s="1" t="n"/>
      <c r="E139" s="1" t="n"/>
      <c r="F139" s="1" t="n"/>
      <c r="G139" s="1" t="n"/>
      <c r="H139" s="1" t="n"/>
      <c r="I139" s="1" t="n"/>
      <c r="J139" s="1" t="n"/>
      <c r="K139" s="1" t="n"/>
      <c r="L139" s="1" t="n"/>
      <c r="M139" s="1" t="n"/>
    </row>
    <row r="140" ht="15" customHeight="1">
      <c r="A140" s="1" t="n"/>
      <c r="B140" s="1" t="n"/>
      <c r="C140" s="1" t="n"/>
      <c r="D140" s="1" t="n"/>
      <c r="E140" s="1" t="n"/>
      <c r="F140" s="1" t="n"/>
      <c r="G140" s="1" t="n"/>
      <c r="H140" s="1" t="n"/>
      <c r="I140" s="1" t="n"/>
      <c r="J140" s="1" t="n"/>
      <c r="K140" s="1" t="n"/>
      <c r="L140" s="1" t="n"/>
      <c r="M140" s="1" t="n"/>
    </row>
    <row r="141" ht="15" customHeight="1">
      <c r="A141" s="1" t="n"/>
      <c r="B141" s="1" t="n"/>
      <c r="C141" s="1" t="n"/>
      <c r="D141" s="1" t="n"/>
      <c r="E141" s="1" t="n"/>
      <c r="F141" s="1" t="n"/>
      <c r="G141" s="1" t="n"/>
      <c r="H141" s="1" t="n"/>
      <c r="I141" s="1" t="n"/>
      <c r="J141" s="1" t="n"/>
      <c r="K141" s="1" t="n"/>
      <c r="L141" s="1" t="n"/>
      <c r="M141" s="1" t="n"/>
    </row>
    <row r="142" ht="15" customHeight="1">
      <c r="A142" s="1" t="n"/>
      <c r="B142" s="1" t="n"/>
      <c r="C142" s="1" t="n"/>
      <c r="D142" s="1" t="n"/>
      <c r="E142" s="1" t="n"/>
      <c r="F142" s="1" t="n"/>
      <c r="G142" s="1" t="n"/>
      <c r="H142" s="1" t="n"/>
      <c r="I142" s="1" t="n"/>
      <c r="J142" s="1" t="n"/>
      <c r="K142" s="1" t="n"/>
      <c r="L142" s="1" t="n"/>
      <c r="M142" s="1" t="n"/>
    </row>
    <row r="143" ht="15" customHeight="1">
      <c r="A143" s="1" t="n"/>
      <c r="B143" s="1" t="n"/>
      <c r="C143" s="1" t="n"/>
      <c r="D143" s="1" t="n"/>
      <c r="E143" s="1" t="n"/>
      <c r="F143" s="1" t="n"/>
      <c r="G143" s="1" t="n"/>
      <c r="H143" s="1" t="n"/>
      <c r="I143" s="1" t="n"/>
      <c r="J143" s="1" t="n"/>
      <c r="K143" s="1" t="n"/>
      <c r="L143" s="1" t="n"/>
      <c r="M143" s="1" t="n"/>
    </row>
    <row r="144" ht="15" customHeight="1">
      <c r="A144" s="1" t="n"/>
      <c r="B144" s="1" t="n"/>
      <c r="C144" s="1" t="n"/>
      <c r="D144" s="1" t="n"/>
      <c r="E144" s="1" t="n"/>
      <c r="F144" s="1" t="n"/>
      <c r="G144" s="1" t="n"/>
      <c r="H144" s="1" t="n"/>
      <c r="I144" s="1" t="n"/>
      <c r="J144" s="1" t="n"/>
      <c r="K144" s="1" t="n"/>
      <c r="L144" s="1" t="n"/>
      <c r="M144" s="1" t="n"/>
    </row>
    <row r="145" ht="15" customHeight="1">
      <c r="A145" s="1" t="n"/>
      <c r="B145" s="1" t="n"/>
      <c r="C145" s="1" t="n"/>
      <c r="D145" s="1" t="n"/>
      <c r="E145" s="1" t="n"/>
      <c r="F145" s="1" t="n"/>
      <c r="G145" s="1" t="n"/>
      <c r="H145" s="1" t="n"/>
      <c r="I145" s="1" t="n"/>
      <c r="J145" s="1" t="n"/>
      <c r="K145" s="1" t="n"/>
      <c r="L145" s="1" t="n"/>
      <c r="M145" s="1" t="n"/>
    </row>
    <row r="146" ht="15" customHeight="1">
      <c r="A146" s="1" t="n"/>
      <c r="B146" s="1" t="n"/>
      <c r="C146" s="1" t="n"/>
      <c r="D146" s="1" t="n"/>
      <c r="E146" s="1" t="n"/>
      <c r="F146" s="1" t="n"/>
      <c r="G146" s="1" t="n"/>
      <c r="H146" s="1" t="n"/>
      <c r="I146" s="1" t="n"/>
      <c r="J146" s="1" t="n"/>
      <c r="K146" s="1" t="n"/>
      <c r="L146" s="1" t="n"/>
      <c r="M146" s="1" t="n"/>
    </row>
    <row r="147" ht="15" customHeight="1">
      <c r="A147" s="1" t="n"/>
      <c r="B147" s="1" t="n"/>
      <c r="C147" s="1" t="n"/>
      <c r="D147" s="1" t="n"/>
      <c r="E147" s="1" t="n"/>
      <c r="F147" s="1" t="n"/>
      <c r="G147" s="1" t="n"/>
      <c r="H147" s="1" t="n"/>
      <c r="I147" s="1" t="n"/>
      <c r="J147" s="1" t="n"/>
      <c r="K147" s="1" t="n"/>
      <c r="L147" s="1" t="n"/>
      <c r="M147" s="1" t="n"/>
    </row>
    <row r="148" ht="15" customHeight="1">
      <c r="A148" s="1" t="n"/>
      <c r="B148" s="1" t="n"/>
      <c r="C148" s="1" t="n"/>
      <c r="D148" s="1" t="n"/>
      <c r="E148" s="1" t="n"/>
      <c r="F148" s="1" t="n"/>
      <c r="G148" s="1" t="n"/>
      <c r="H148" s="1" t="n"/>
      <c r="I148" s="1" t="n"/>
      <c r="J148" s="1" t="n"/>
      <c r="K148" s="1" t="n"/>
      <c r="L148" s="1" t="n"/>
      <c r="M148" s="1" t="n"/>
    </row>
    <row r="149" ht="15" customHeight="1">
      <c r="A149" s="1" t="n"/>
      <c r="B149" s="1" t="n"/>
      <c r="C149" s="1" t="n"/>
      <c r="D149" s="1" t="n"/>
      <c r="E149" s="1" t="n"/>
      <c r="F149" s="1" t="n"/>
      <c r="G149" s="1" t="n"/>
      <c r="H149" s="1" t="n"/>
      <c r="I149" s="1" t="n"/>
      <c r="J149" s="1" t="n"/>
      <c r="K149" s="1" t="n"/>
      <c r="L149" s="1" t="n"/>
      <c r="M149" s="1" t="n"/>
    </row>
    <row r="150" ht="15" customHeight="1">
      <c r="A150" s="1" t="n"/>
      <c r="B150" s="1" t="n"/>
      <c r="C150" s="1" t="n"/>
      <c r="D150" s="1" t="n"/>
      <c r="E150" s="1" t="n"/>
      <c r="F150" s="1" t="n"/>
      <c r="G150" s="1" t="n"/>
      <c r="H150" s="1" t="n"/>
      <c r="I150" s="1" t="n"/>
      <c r="J150" s="1" t="n"/>
      <c r="K150" s="1" t="n"/>
      <c r="L150" s="1" t="n"/>
      <c r="M150" s="1" t="n"/>
    </row>
    <row r="151" ht="15" customHeight="1">
      <c r="A151" s="1" t="n"/>
      <c r="B151" s="1" t="n"/>
      <c r="C151" s="1" t="n"/>
      <c r="D151" s="1" t="n"/>
      <c r="E151" s="1" t="n"/>
      <c r="F151" s="1" t="n"/>
      <c r="G151" s="1" t="n"/>
      <c r="H151" s="1" t="n"/>
      <c r="I151" s="1" t="n"/>
      <c r="J151" s="1" t="n"/>
      <c r="K151" s="1" t="n"/>
      <c r="L151" s="1" t="n"/>
      <c r="M151" s="1" t="n"/>
    </row>
    <row r="152" ht="15" customHeight="1">
      <c r="A152" s="1" t="n"/>
      <c r="B152" s="1" t="n"/>
      <c r="C152" s="1" t="n"/>
      <c r="D152" s="1" t="n"/>
      <c r="E152" s="1" t="n"/>
      <c r="F152" s="1" t="n"/>
      <c r="G152" s="1" t="n"/>
      <c r="H152" s="1" t="n"/>
      <c r="I152" s="1" t="n"/>
      <c r="J152" s="1" t="n"/>
      <c r="K152" s="1" t="n"/>
      <c r="L152" s="1" t="n"/>
      <c r="M152" s="1" t="n"/>
    </row>
    <row r="153" ht="15" customHeight="1">
      <c r="A153" s="1" t="n"/>
      <c r="B153" s="1" t="n"/>
      <c r="C153" s="1" t="n"/>
      <c r="D153" s="1" t="n"/>
      <c r="E153" s="1" t="n"/>
      <c r="F153" s="1" t="n"/>
      <c r="G153" s="1" t="n"/>
      <c r="H153" s="1" t="n"/>
      <c r="I153" s="1" t="n"/>
      <c r="J153" s="1" t="n"/>
      <c r="K153" s="1" t="n"/>
      <c r="L153" s="1" t="n"/>
      <c r="M153" s="1" t="n"/>
    </row>
    <row r="154" ht="15" customHeight="1">
      <c r="A154" s="1" t="n"/>
      <c r="B154" s="1" t="n"/>
      <c r="C154" s="1" t="n"/>
      <c r="D154" s="1" t="n"/>
      <c r="E154" s="1" t="n"/>
      <c r="F154" s="1" t="n"/>
      <c r="G154" s="1" t="n"/>
      <c r="H154" s="1" t="n"/>
      <c r="I154" s="1" t="n"/>
      <c r="J154" s="1" t="n"/>
      <c r="K154" s="1" t="n"/>
      <c r="L154" s="1" t="n"/>
      <c r="M154" s="1" t="n"/>
    </row>
    <row r="155" ht="15" customHeight="1">
      <c r="A155" s="1" t="n"/>
      <c r="B155" s="1" t="n"/>
      <c r="C155" s="1" t="n"/>
      <c r="D155" s="1" t="n"/>
      <c r="E155" s="1" t="n"/>
      <c r="F155" s="1" t="n"/>
      <c r="G155" s="1" t="n"/>
      <c r="H155" s="1" t="n"/>
      <c r="I155" s="1" t="n"/>
      <c r="J155" s="1" t="n"/>
      <c r="K155" s="1" t="n"/>
      <c r="L155" s="1" t="n"/>
      <c r="M155" s="1" t="n"/>
    </row>
    <row r="156" ht="15" customHeight="1">
      <c r="A156" s="1" t="n"/>
      <c r="B156" s="1" t="n"/>
      <c r="C156" s="1" t="n"/>
      <c r="D156" s="1" t="n"/>
      <c r="E156" s="1" t="n"/>
      <c r="F156" s="1" t="n"/>
      <c r="G156" s="1" t="n"/>
      <c r="H156" s="1" t="n"/>
      <c r="I156" s="1" t="n"/>
      <c r="J156" s="1" t="n"/>
      <c r="K156" s="1" t="n"/>
      <c r="L156" s="1" t="n"/>
      <c r="M156" s="1" t="n"/>
    </row>
    <row r="157" ht="15" customHeight="1">
      <c r="A157" s="1" t="n"/>
      <c r="B157" s="1" t="n"/>
      <c r="C157" s="1" t="n"/>
      <c r="D157" s="1" t="n"/>
      <c r="E157" s="1" t="n"/>
      <c r="F157" s="1" t="n"/>
      <c r="G157" s="1" t="n"/>
      <c r="H157" s="1" t="n"/>
      <c r="I157" s="1" t="n"/>
      <c r="J157" s="1" t="n"/>
      <c r="K157" s="1" t="n"/>
      <c r="L157" s="1" t="n"/>
      <c r="M157" s="1" t="n"/>
    </row>
    <row r="158" ht="15" customHeight="1">
      <c r="A158" s="1" t="n"/>
      <c r="B158" s="1" t="n"/>
      <c r="C158" s="1" t="n"/>
      <c r="D158" s="1" t="n"/>
      <c r="E158" s="1" t="n"/>
      <c r="F158" s="1" t="n"/>
      <c r="G158" s="1" t="n"/>
      <c r="H158" s="1" t="n"/>
      <c r="I158" s="1" t="n"/>
      <c r="J158" s="1" t="n"/>
      <c r="K158" s="1" t="n"/>
      <c r="L158" s="1" t="n"/>
      <c r="M158" s="1" t="n"/>
    </row>
    <row r="159" ht="15" customHeight="1">
      <c r="A159" s="1" t="n"/>
      <c r="B159" s="1" t="n"/>
      <c r="C159" s="1" t="n"/>
      <c r="D159" s="1" t="n"/>
      <c r="E159" s="1" t="n"/>
      <c r="F159" s="1" t="n"/>
      <c r="G159" s="1" t="n"/>
      <c r="H159" s="1" t="n"/>
      <c r="I159" s="1" t="n"/>
      <c r="J159" s="1" t="n"/>
      <c r="K159" s="1" t="n"/>
      <c r="L159" s="1" t="n"/>
      <c r="M159" s="1" t="n"/>
    </row>
    <row r="160" ht="15" customHeight="1">
      <c r="A160" s="1" t="n"/>
      <c r="B160" s="1" t="n"/>
      <c r="C160" s="1" t="n"/>
      <c r="D160" s="1" t="n"/>
      <c r="E160" s="1" t="n"/>
      <c r="F160" s="1" t="n"/>
      <c r="G160" s="1" t="n"/>
      <c r="H160" s="1" t="n"/>
      <c r="I160" s="1" t="n"/>
      <c r="J160" s="1" t="n"/>
      <c r="K160" s="1" t="n"/>
      <c r="L160" s="1" t="n"/>
      <c r="M160" s="1" t="n"/>
    </row>
    <row r="161" ht="15" customHeight="1">
      <c r="A161" s="1" t="n"/>
      <c r="B161" s="1" t="n"/>
      <c r="C161" s="1" t="n"/>
      <c r="D161" s="1" t="n"/>
      <c r="E161" s="1" t="n"/>
      <c r="F161" s="1" t="n"/>
      <c r="G161" s="1" t="n"/>
      <c r="H161" s="1" t="n"/>
      <c r="I161" s="1" t="n"/>
      <c r="J161" s="1" t="n"/>
      <c r="K161" s="1" t="n"/>
      <c r="L161" s="1" t="n"/>
      <c r="M161" s="1" t="n"/>
    </row>
    <row r="162" ht="15" customHeight="1">
      <c r="A162" s="1" t="n"/>
      <c r="B162" s="1" t="n"/>
      <c r="C162" s="1" t="n"/>
      <c r="D162" s="1" t="n"/>
      <c r="E162" s="1" t="n"/>
      <c r="F162" s="1" t="n"/>
      <c r="G162" s="1" t="n"/>
      <c r="H162" s="1" t="n"/>
      <c r="I162" s="1" t="n"/>
      <c r="J162" s="1" t="n"/>
      <c r="K162" s="1" t="n"/>
      <c r="L162" s="1" t="n"/>
      <c r="M162" s="1" t="n"/>
    </row>
    <row r="163" ht="15" customHeight="1">
      <c r="A163" s="1" t="n"/>
      <c r="B163" s="1" t="n"/>
      <c r="C163" s="1" t="n"/>
      <c r="D163" s="1" t="n"/>
      <c r="E163" s="1" t="n"/>
      <c r="F163" s="1" t="n"/>
      <c r="G163" s="1" t="n"/>
      <c r="H163" s="1" t="n"/>
      <c r="I163" s="1" t="n"/>
      <c r="J163" s="1" t="n"/>
      <c r="K163" s="1" t="n"/>
      <c r="L163" s="1" t="n"/>
      <c r="M163" s="1" t="n"/>
    </row>
    <row r="164" ht="15" customHeight="1">
      <c r="A164" s="1" t="n"/>
      <c r="B164" s="1" t="n"/>
      <c r="C164" s="1" t="n"/>
      <c r="D164" s="1" t="n"/>
      <c r="E164" s="1" t="n"/>
      <c r="F164" s="1" t="n"/>
      <c r="G164" s="1" t="n"/>
      <c r="H164" s="1" t="n"/>
      <c r="I164" s="1" t="n"/>
      <c r="J164" s="1" t="n"/>
      <c r="K164" s="1" t="n"/>
      <c r="L164" s="1" t="n"/>
      <c r="M164" s="1" t="n"/>
    </row>
    <row r="165" ht="15" customHeight="1">
      <c r="A165" s="1" t="n"/>
      <c r="B165" s="1" t="n"/>
      <c r="C165" s="1" t="n"/>
      <c r="D165" s="1" t="n"/>
      <c r="E165" s="1" t="n"/>
      <c r="F165" s="1" t="n"/>
      <c r="G165" s="1" t="n"/>
      <c r="H165" s="1" t="n"/>
      <c r="I165" s="1" t="n"/>
      <c r="J165" s="1" t="n"/>
      <c r="K165" s="1" t="n"/>
      <c r="L165" s="1" t="n"/>
      <c r="M165" s="1" t="n"/>
    </row>
    <row r="166" ht="15" customHeight="1">
      <c r="A166" s="1" t="n"/>
      <c r="B166" s="1" t="n"/>
      <c r="C166" s="1" t="n"/>
      <c r="D166" s="1" t="n"/>
      <c r="E166" s="1" t="n"/>
      <c r="F166" s="1" t="n"/>
      <c r="G166" s="1" t="n"/>
      <c r="H166" s="1" t="n"/>
      <c r="I166" s="1" t="n"/>
      <c r="J166" s="1" t="n"/>
      <c r="K166" s="1" t="n"/>
      <c r="L166" s="1" t="n"/>
      <c r="M166" s="1" t="n"/>
    </row>
    <row r="167" ht="15" customHeight="1">
      <c r="A167" s="1" t="n"/>
      <c r="B167" s="1" t="n"/>
      <c r="C167" s="1" t="n"/>
      <c r="D167" s="1" t="n"/>
      <c r="E167" s="1" t="n"/>
      <c r="F167" s="1" t="n"/>
      <c r="G167" s="1" t="n"/>
      <c r="H167" s="1" t="n"/>
      <c r="I167" s="1" t="n"/>
      <c r="J167" s="1" t="n"/>
      <c r="K167" s="1" t="n"/>
      <c r="L167" s="1" t="n"/>
      <c r="M167" s="1" t="n"/>
    </row>
    <row r="168" ht="15" customHeight="1">
      <c r="A168" s="1" t="n"/>
      <c r="B168" s="1" t="n"/>
      <c r="C168" s="1" t="n"/>
      <c r="D168" s="1" t="n"/>
      <c r="E168" s="1" t="n"/>
      <c r="F168" s="1" t="n"/>
      <c r="G168" s="1" t="n"/>
      <c r="H168" s="1" t="n"/>
      <c r="I168" s="1" t="n"/>
      <c r="J168" s="1" t="n"/>
      <c r="K168" s="1" t="n"/>
      <c r="L168" s="1" t="n"/>
      <c r="M168" s="1" t="n"/>
    </row>
    <row r="169" ht="15" customHeight="1">
      <c r="A169" s="1" t="n"/>
      <c r="B169" s="1" t="n"/>
      <c r="C169" s="1" t="n"/>
      <c r="D169" s="1" t="n"/>
      <c r="E169" s="1" t="n"/>
      <c r="F169" s="1" t="n"/>
      <c r="G169" s="1" t="n"/>
      <c r="H169" s="1" t="n"/>
      <c r="I169" s="1" t="n"/>
      <c r="J169" s="1" t="n"/>
      <c r="K169" s="1" t="n"/>
      <c r="L169" s="1" t="n"/>
      <c r="M169" s="1" t="n"/>
    </row>
    <row r="170" ht="15" customHeight="1">
      <c r="A170" s="1" t="n"/>
      <c r="B170" s="1" t="n"/>
      <c r="C170" s="1" t="n"/>
      <c r="D170" s="1" t="n"/>
      <c r="E170" s="1" t="n"/>
      <c r="F170" s="1" t="n"/>
      <c r="G170" s="1" t="n"/>
      <c r="H170" s="1" t="n"/>
      <c r="I170" s="1" t="n"/>
      <c r="J170" s="1" t="n"/>
      <c r="K170" s="1" t="n"/>
      <c r="L170" s="1" t="n"/>
      <c r="M170" s="1" t="n"/>
    </row>
    <row r="171" ht="15" customHeight="1">
      <c r="A171" s="1" t="n"/>
      <c r="B171" s="1" t="n"/>
      <c r="C171" s="1" t="n"/>
      <c r="D171" s="1" t="n"/>
      <c r="E171" s="1" t="n"/>
      <c r="F171" s="1" t="n"/>
      <c r="G171" s="1" t="n"/>
      <c r="H171" s="1" t="n"/>
      <c r="I171" s="1" t="n"/>
      <c r="J171" s="1" t="n"/>
      <c r="K171" s="1" t="n"/>
      <c r="L171" s="1" t="n"/>
      <c r="M171" s="1" t="n"/>
    </row>
    <row r="172" ht="15" customHeight="1">
      <c r="A172" s="1" t="n"/>
      <c r="B172" s="1" t="n"/>
      <c r="C172" s="1" t="n"/>
      <c r="D172" s="1" t="n"/>
      <c r="E172" s="1" t="n"/>
      <c r="F172" s="1" t="n"/>
      <c r="G172" s="1" t="n"/>
      <c r="H172" s="1" t="n"/>
      <c r="I172" s="1" t="n"/>
      <c r="J172" s="1" t="n"/>
      <c r="K172" s="1" t="n"/>
      <c r="L172" s="1" t="n"/>
      <c r="M172" s="1" t="n"/>
    </row>
    <row r="173" ht="15" customHeight="1">
      <c r="A173" s="1" t="n"/>
      <c r="B173" s="1" t="n"/>
      <c r="C173" s="1" t="n"/>
      <c r="D173" s="1" t="n"/>
      <c r="E173" s="1" t="n"/>
      <c r="F173" s="1" t="n"/>
      <c r="G173" s="1" t="n"/>
      <c r="H173" s="1" t="n"/>
      <c r="I173" s="1" t="n"/>
      <c r="J173" s="1" t="n"/>
      <c r="K173" s="1" t="n"/>
      <c r="L173" s="1" t="n"/>
      <c r="M173" s="1" t="n"/>
    </row>
    <row r="174" ht="15" customHeight="1">
      <c r="A174" s="1" t="n"/>
      <c r="B174" s="1" t="n"/>
      <c r="C174" s="1" t="n"/>
      <c r="D174" s="1" t="n"/>
      <c r="E174" s="1" t="n"/>
      <c r="F174" s="1" t="n"/>
      <c r="G174" s="1" t="n"/>
      <c r="H174" s="1" t="n"/>
      <c r="I174" s="1" t="n"/>
      <c r="J174" s="1" t="n"/>
      <c r="K174" s="1" t="n"/>
      <c r="L174" s="1" t="n"/>
      <c r="M174" s="1" t="n"/>
    </row>
    <row r="175" ht="15" customHeight="1">
      <c r="A175" s="1" t="n"/>
      <c r="B175" s="1" t="n"/>
      <c r="C175" s="1" t="n"/>
      <c r="D175" s="1" t="n"/>
      <c r="E175" s="1" t="n"/>
      <c r="F175" s="1" t="n"/>
      <c r="G175" s="1" t="n"/>
      <c r="H175" s="1" t="n"/>
      <c r="I175" s="1" t="n"/>
      <c r="J175" s="1" t="n"/>
      <c r="K175" s="1" t="n"/>
      <c r="L175" s="1" t="n"/>
      <c r="M175" s="1" t="n"/>
    </row>
    <row r="176" ht="15" customHeight="1">
      <c r="A176" s="1" t="n"/>
      <c r="B176" s="1" t="n"/>
      <c r="C176" s="1" t="n"/>
      <c r="D176" s="1" t="n"/>
      <c r="E176" s="1" t="n"/>
      <c r="F176" s="1" t="n"/>
      <c r="G176" s="1" t="n"/>
      <c r="H176" s="1" t="n"/>
      <c r="I176" s="1" t="n"/>
      <c r="J176" s="1" t="n"/>
      <c r="K176" s="1" t="n"/>
      <c r="L176" s="1" t="n"/>
      <c r="M176" s="1" t="n"/>
    </row>
    <row r="177" ht="15" customHeight="1">
      <c r="A177" s="1" t="n"/>
      <c r="B177" s="1" t="n"/>
      <c r="C177" s="1" t="n"/>
      <c r="D177" s="1" t="n"/>
      <c r="E177" s="1" t="n"/>
      <c r="F177" s="1" t="n"/>
      <c r="G177" s="1" t="n"/>
      <c r="H177" s="1" t="n"/>
      <c r="I177" s="1" t="n"/>
      <c r="J177" s="1" t="n"/>
      <c r="K177" s="1" t="n"/>
      <c r="L177" s="1" t="n"/>
      <c r="M177" s="1" t="n"/>
    </row>
    <row r="178" ht="15" customHeight="1">
      <c r="A178" s="1" t="n"/>
      <c r="B178" s="1" t="n"/>
      <c r="C178" s="1" t="n"/>
      <c r="D178" s="1" t="n"/>
      <c r="E178" s="1" t="n"/>
      <c r="F178" s="1" t="n"/>
      <c r="G178" s="1" t="n"/>
      <c r="H178" s="1" t="n"/>
      <c r="I178" s="1" t="n"/>
      <c r="J178" s="1" t="n"/>
      <c r="K178" s="1" t="n"/>
      <c r="L178" s="1" t="n"/>
      <c r="M178" s="1" t="n"/>
    </row>
    <row r="179" ht="15" customHeight="1">
      <c r="A179" s="1" t="n"/>
      <c r="B179" s="1" t="n"/>
      <c r="C179" s="1" t="n"/>
      <c r="D179" s="1" t="n"/>
      <c r="E179" s="1" t="n"/>
      <c r="F179" s="1" t="n"/>
      <c r="G179" s="1" t="n"/>
      <c r="H179" s="1" t="n"/>
      <c r="I179" s="1" t="n"/>
      <c r="J179" s="1" t="n"/>
      <c r="K179" s="1" t="n"/>
      <c r="L179" s="1" t="n"/>
      <c r="M179" s="1" t="n"/>
    </row>
    <row r="180" ht="15" customHeight="1">
      <c r="A180" s="1" t="n"/>
      <c r="B180" s="1" t="n"/>
      <c r="C180" s="1" t="n"/>
      <c r="D180" s="1" t="n"/>
      <c r="E180" s="1" t="n"/>
      <c r="F180" s="1" t="n"/>
      <c r="G180" s="1" t="n"/>
      <c r="H180" s="1" t="n"/>
      <c r="I180" s="1" t="n"/>
      <c r="J180" s="1" t="n"/>
      <c r="K180" s="1" t="n"/>
      <c r="L180" s="1" t="n"/>
      <c r="M180" s="1" t="n"/>
    </row>
    <row r="181" ht="15" customHeight="1">
      <c r="A181" s="1" t="n"/>
      <c r="B181" s="1" t="n"/>
      <c r="C181" s="1" t="n"/>
      <c r="D181" s="1" t="n"/>
      <c r="E181" s="1" t="n"/>
      <c r="F181" s="1" t="n"/>
      <c r="G181" s="1" t="n"/>
      <c r="H181" s="1" t="n"/>
      <c r="I181" s="1" t="n"/>
      <c r="J181" s="1" t="n"/>
      <c r="K181" s="1" t="n"/>
      <c r="L181" s="1" t="n"/>
      <c r="M181" s="1" t="n"/>
    </row>
    <row r="182" ht="15" customHeight="1">
      <c r="A182" s="1" t="n"/>
      <c r="B182" s="1" t="n"/>
      <c r="C182" s="1" t="n"/>
      <c r="D182" s="1" t="n"/>
      <c r="E182" s="1" t="n"/>
      <c r="F182" s="1" t="n"/>
      <c r="G182" s="1" t="n"/>
      <c r="H182" s="1" t="n"/>
      <c r="I182" s="1" t="n"/>
      <c r="J182" s="1" t="n"/>
      <c r="K182" s="1" t="n"/>
      <c r="L182" s="1" t="n"/>
      <c r="M182" s="1" t="n"/>
    </row>
    <row r="183" ht="15" customHeight="1">
      <c r="A183" s="1" t="n"/>
      <c r="B183" s="1" t="n"/>
      <c r="C183" s="1" t="n"/>
      <c r="D183" s="1" t="n"/>
      <c r="E183" s="1" t="n"/>
      <c r="F183" s="1" t="n"/>
      <c r="G183" s="1" t="n"/>
      <c r="H183" s="1" t="n"/>
      <c r="I183" s="1" t="n"/>
      <c r="J183" s="1" t="n"/>
      <c r="K183" s="1" t="n"/>
      <c r="L183" s="1" t="n"/>
      <c r="M183" s="1" t="n"/>
    </row>
    <row r="184" ht="15" customHeight="1">
      <c r="A184" s="1" t="n"/>
      <c r="B184" s="1" t="n"/>
      <c r="C184" s="1" t="n"/>
      <c r="D184" s="1" t="n"/>
      <c r="E184" s="1" t="n"/>
      <c r="F184" s="1" t="n"/>
      <c r="G184" s="1" t="n"/>
      <c r="H184" s="1" t="n"/>
      <c r="I184" s="1" t="n"/>
      <c r="J184" s="1" t="n"/>
      <c r="K184" s="1" t="n"/>
      <c r="L184" s="1" t="n"/>
      <c r="M184" s="1" t="n"/>
    </row>
    <row r="185" ht="15" customHeight="1">
      <c r="A185" s="1" t="n"/>
      <c r="B185" s="1" t="n"/>
      <c r="C185" s="1" t="n"/>
      <c r="D185" s="1" t="n"/>
      <c r="E185" s="1" t="n"/>
      <c r="F185" s="1" t="n"/>
      <c r="G185" s="1" t="n"/>
      <c r="H185" s="1" t="n"/>
      <c r="I185" s="1" t="n"/>
      <c r="J185" s="1" t="n"/>
      <c r="K185" s="1" t="n"/>
      <c r="L185" s="1" t="n"/>
      <c r="M185" s="1" t="n"/>
    </row>
    <row r="186" ht="15" customHeight="1">
      <c r="A186" s="1" t="n"/>
      <c r="B186" s="1" t="n"/>
      <c r="C186" s="1" t="n"/>
      <c r="D186" s="1" t="n"/>
      <c r="E186" s="1" t="n"/>
      <c r="F186" s="1" t="n"/>
      <c r="G186" s="1" t="n"/>
      <c r="H186" s="1" t="n"/>
      <c r="I186" s="1" t="n"/>
      <c r="J186" s="1" t="n"/>
      <c r="K186" s="1" t="n"/>
      <c r="L186" s="1" t="n"/>
      <c r="M186" s="1" t="n"/>
    </row>
    <row r="187" ht="15" customHeight="1">
      <c r="A187" s="1" t="n"/>
      <c r="B187" s="1" t="n"/>
      <c r="C187" s="1" t="n"/>
      <c r="D187" s="1" t="n"/>
      <c r="E187" s="1" t="n"/>
      <c r="F187" s="1" t="n"/>
      <c r="G187" s="1" t="n"/>
      <c r="H187" s="1" t="n"/>
      <c r="I187" s="1" t="n"/>
      <c r="J187" s="1" t="n"/>
      <c r="K187" s="1" t="n"/>
      <c r="L187" s="1" t="n"/>
      <c r="M187" s="1" t="n"/>
    </row>
    <row r="188" ht="15" customHeight="1">
      <c r="A188" s="1" t="n"/>
      <c r="B188" s="1" t="n"/>
      <c r="C188" s="1" t="n"/>
      <c r="D188" s="1" t="n"/>
      <c r="E188" s="1" t="n"/>
      <c r="F188" s="1" t="n"/>
      <c r="G188" s="1" t="n"/>
      <c r="H188" s="1" t="n"/>
      <c r="I188" s="1" t="n"/>
      <c r="J188" s="1" t="n"/>
      <c r="K188" s="1" t="n"/>
      <c r="L188" s="1" t="n"/>
      <c r="M188" s="1" t="n"/>
    </row>
    <row r="189" ht="15" customHeight="1">
      <c r="A189" s="1" t="n"/>
      <c r="B189" s="1" t="n"/>
      <c r="C189" s="1" t="n"/>
      <c r="D189" s="1" t="n"/>
      <c r="E189" s="1" t="n"/>
      <c r="F189" s="1" t="n"/>
      <c r="G189" s="1" t="n"/>
      <c r="H189" s="1" t="n"/>
      <c r="I189" s="1" t="n"/>
      <c r="J189" s="1" t="n"/>
      <c r="K189" s="1" t="n"/>
      <c r="L189" s="1" t="n"/>
      <c r="M189" s="1" t="n"/>
    </row>
    <row r="190" ht="15" customHeight="1">
      <c r="A190" s="1" t="n"/>
      <c r="B190" s="1" t="n"/>
      <c r="C190" s="1" t="n"/>
      <c r="D190" s="1" t="n"/>
      <c r="E190" s="1" t="n"/>
      <c r="F190" s="1" t="n"/>
      <c r="G190" s="1" t="n"/>
      <c r="H190" s="1" t="n"/>
      <c r="I190" s="1" t="n"/>
      <c r="J190" s="1" t="n"/>
      <c r="K190" s="1" t="n"/>
      <c r="L190" s="1" t="n"/>
      <c r="M190" s="1" t="n"/>
    </row>
    <row r="191" ht="15" customHeight="1">
      <c r="A191" s="1" t="n"/>
      <c r="B191" s="1" t="n"/>
      <c r="C191" s="1" t="n"/>
      <c r="D191" s="1" t="n"/>
      <c r="E191" s="1" t="n"/>
      <c r="F191" s="1" t="n"/>
      <c r="G191" s="1" t="n"/>
      <c r="H191" s="1" t="n"/>
      <c r="I191" s="1" t="n"/>
      <c r="J191" s="1" t="n"/>
      <c r="K191" s="1" t="n"/>
      <c r="L191" s="1" t="n"/>
      <c r="M191" s="1" t="n"/>
    </row>
    <row r="192" ht="15" customHeight="1">
      <c r="A192" s="1" t="n"/>
      <c r="B192" s="1" t="n"/>
      <c r="C192" s="1" t="n"/>
      <c r="D192" s="1" t="n"/>
      <c r="E192" s="1" t="n"/>
      <c r="F192" s="1" t="n"/>
      <c r="G192" s="1" t="n"/>
      <c r="H192" s="1" t="n"/>
      <c r="I192" s="1" t="n"/>
      <c r="J192" s="1" t="n"/>
      <c r="K192" s="1" t="n"/>
      <c r="L192" s="1" t="n"/>
      <c r="M192" s="1" t="n"/>
    </row>
    <row r="193" ht="15" customHeight="1">
      <c r="A193" s="1" t="n"/>
      <c r="B193" s="1" t="n"/>
      <c r="C193" s="1" t="n"/>
      <c r="D193" s="1" t="n"/>
      <c r="E193" s="1" t="n"/>
      <c r="F193" s="1" t="n"/>
      <c r="G193" s="1" t="n"/>
      <c r="H193" s="1" t="n"/>
      <c r="I193" s="1" t="n"/>
      <c r="J193" s="1" t="n"/>
      <c r="K193" s="1" t="n"/>
      <c r="L193" s="1" t="n"/>
      <c r="M193" s="1" t="n"/>
    </row>
    <row r="194" ht="15" customHeight="1">
      <c r="A194" s="1" t="n"/>
      <c r="B194" s="1" t="n"/>
      <c r="C194" s="1" t="n"/>
      <c r="D194" s="1" t="n"/>
      <c r="E194" s="1" t="n"/>
      <c r="F194" s="1" t="n"/>
      <c r="G194" s="1" t="n"/>
      <c r="H194" s="1" t="n"/>
      <c r="I194" s="1" t="n"/>
      <c r="J194" s="1" t="n"/>
      <c r="K194" s="1" t="n"/>
      <c r="L194" s="1" t="n"/>
      <c r="M194" s="1" t="n"/>
    </row>
    <row r="195" ht="15" customHeight="1">
      <c r="A195" s="1" t="n"/>
      <c r="B195" s="1" t="n"/>
      <c r="C195" s="1" t="n"/>
      <c r="D195" s="1" t="n"/>
      <c r="E195" s="1" t="n"/>
      <c r="F195" s="1" t="n"/>
      <c r="G195" s="1" t="n"/>
      <c r="H195" s="1" t="n"/>
      <c r="I195" s="1" t="n"/>
      <c r="J195" s="1" t="n"/>
      <c r="K195" s="1" t="n"/>
      <c r="L195" s="1" t="n"/>
      <c r="M195" s="1" t="n"/>
    </row>
    <row r="196" ht="15" customHeight="1">
      <c r="A196" s="1" t="n"/>
      <c r="B196" s="1" t="n"/>
      <c r="C196" s="1" t="n"/>
      <c r="D196" s="1" t="n"/>
      <c r="E196" s="1" t="n"/>
      <c r="F196" s="1" t="n"/>
      <c r="G196" s="1" t="n"/>
      <c r="H196" s="1" t="n"/>
      <c r="I196" s="1" t="n"/>
      <c r="J196" s="1" t="n"/>
      <c r="K196" s="1" t="n"/>
      <c r="L196" s="1" t="n"/>
      <c r="M196" s="1" t="n"/>
    </row>
    <row r="197" ht="15" customHeight="1">
      <c r="A197" s="1" t="n"/>
      <c r="B197" s="1" t="n"/>
      <c r="C197" s="1" t="n"/>
      <c r="D197" s="1" t="n"/>
      <c r="E197" s="1" t="n"/>
      <c r="F197" s="1" t="n"/>
      <c r="G197" s="1" t="n"/>
      <c r="H197" s="1" t="n"/>
      <c r="I197" s="1" t="n"/>
      <c r="J197" s="1" t="n"/>
      <c r="K197" s="1" t="n"/>
      <c r="L197" s="1" t="n"/>
      <c r="M197" s="1" t="n"/>
    </row>
    <row r="198" ht="15" customHeight="1">
      <c r="A198" s="1" t="n"/>
      <c r="B198" s="1" t="n"/>
      <c r="C198" s="1" t="n"/>
      <c r="D198" s="1" t="n"/>
      <c r="E198" s="1" t="n"/>
      <c r="F198" s="1" t="n"/>
      <c r="G198" s="1" t="n"/>
      <c r="H198" s="1" t="n"/>
      <c r="I198" s="1" t="n"/>
      <c r="J198" s="1" t="n"/>
      <c r="K198" s="1" t="n"/>
      <c r="L198" s="1" t="n"/>
      <c r="M198" s="1" t="n"/>
    </row>
    <row r="199" ht="15" customHeight="1">
      <c r="A199" s="1" t="n"/>
      <c r="B199" s="1" t="n"/>
      <c r="C199" s="1" t="n"/>
      <c r="D199" s="1" t="n"/>
      <c r="E199" s="1" t="n"/>
      <c r="F199" s="1" t="n"/>
      <c r="G199" s="1" t="n"/>
      <c r="H199" s="1" t="n"/>
      <c r="I199" s="1" t="n"/>
      <c r="J199" s="1" t="n"/>
      <c r="K199" s="1" t="n"/>
      <c r="L199" s="1" t="n"/>
      <c r="M199" s="1" t="n"/>
    </row>
    <row r="200" ht="15" customHeight="1">
      <c r="A200" s="1" t="n"/>
      <c r="B200" s="1" t="n"/>
      <c r="C200" s="1" t="n"/>
      <c r="D200" s="1" t="n"/>
      <c r="E200" s="1" t="n"/>
      <c r="F200" s="1" t="n"/>
      <c r="G200" s="1" t="n"/>
      <c r="H200" s="1" t="n"/>
      <c r="I200" s="1" t="n"/>
      <c r="J200" s="1" t="n"/>
      <c r="K200" s="1" t="n"/>
      <c r="L200" s="1" t="n"/>
      <c r="M200" s="1" t="n"/>
    </row>
  </sheetData>
  <mergeCells count="2">
    <mergeCell ref="A1:J1"/>
    <mergeCell ref="A2:J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0"/>
  <sheetViews>
    <sheetView workbookViewId="0">
      <selection activeCell="A1" sqref="A1:L1"/>
    </sheetView>
  </sheetViews>
  <sheetFormatPr baseColWidth="10" defaultColWidth="8.83203125" defaultRowHeight="14"/>
  <cols>
    <col width="18" customWidth="1" min="1" max="1"/>
    <col width="50" customWidth="1" min="2" max="2"/>
    <col width="35" customWidth="1" min="3" max="3"/>
    <col width="16" customWidth="1" min="4" max="4"/>
    <col width="19" customWidth="1" min="5" max="5"/>
    <col width="28" customWidth="1" min="6" max="6"/>
    <col width="30" customWidth="1" min="7" max="7"/>
    <col width="34" customWidth="1" min="8" max="9"/>
    <col width="17" customWidth="1" min="10" max="10"/>
    <col width="18" customWidth="1" min="11" max="11"/>
    <col width="36" customWidth="1" min="12" max="12"/>
  </cols>
  <sheetData>
    <row r="1" ht="42.75" customHeight="1">
      <c r="A1" s="16" t="inlineStr">
        <is>
          <t>Proposed Questionnaire and Benchmark Review Flow</t>
        </is>
      </c>
      <c r="M1" s="1" t="n"/>
    </row>
    <row r="2" ht="40" customHeight="1">
      <c r="A2" s="17" t="inlineStr">
        <is>
          <t>Designed to minimize abandonment: six core user inputs, followed by a pre-populated benchmark review screen and a short optional knowledge-impact module.</t>
        </is>
      </c>
      <c r="M2" s="1" t="n"/>
    </row>
    <row r="3" ht="15" customHeight="1">
      <c r="A3" s="1" t="n"/>
      <c r="B3" s="1" t="n"/>
      <c r="C3" s="1" t="n"/>
      <c r="D3" s="1" t="n"/>
      <c r="E3" s="1" t="n"/>
      <c r="F3" s="1" t="n"/>
      <c r="G3" s="1" t="n"/>
      <c r="H3" s="1" t="n"/>
      <c r="I3" s="1" t="n"/>
      <c r="J3" s="1" t="n"/>
      <c r="K3" s="1" t="n"/>
      <c r="L3" s="1" t="n"/>
      <c r="M3" s="1" t="n"/>
    </row>
    <row r="4" ht="30" customHeight="1">
      <c r="A4" s="4" t="inlineStr">
        <is>
          <t>Step</t>
        </is>
      </c>
      <c r="B4" s="4" t="inlineStr">
        <is>
          <t>Field / Question</t>
        </is>
      </c>
      <c r="C4" s="4" t="inlineStr">
        <is>
          <t>Purpose</t>
        </is>
      </c>
      <c r="D4" s="4" t="inlineStr">
        <is>
          <t>Required?</t>
        </is>
      </c>
      <c r="E4" s="4" t="inlineStr">
        <is>
          <t>Input Type</t>
        </is>
      </c>
      <c r="F4" s="4" t="inlineStr">
        <is>
          <t>Options / Units</t>
        </is>
      </c>
      <c r="G4" s="4" t="inlineStr">
        <is>
          <t>Initial Value</t>
        </is>
      </c>
      <c r="H4" s="4" t="inlineStr">
        <is>
          <t>Fallback Logic</t>
        </is>
      </c>
      <c r="I4" s="4" t="inlineStr">
        <is>
          <t>Drives Cost Categories</t>
        </is>
      </c>
      <c r="J4" s="4" t="inlineStr">
        <is>
          <t>Source Label Shown?</t>
        </is>
      </c>
      <c r="K4" s="4" t="inlineStr">
        <is>
          <t>Abandonment Risk</t>
        </is>
      </c>
      <c r="L4" s="4" t="inlineStr">
        <is>
          <t>Review Note</t>
        </is>
      </c>
      <c r="M4" s="1" t="n"/>
    </row>
    <row r="5" ht="30" customHeight="1">
      <c r="A5" s="3" t="inlineStr">
        <is>
          <t>1. Role setup</t>
        </is>
      </c>
      <c r="B5" s="3" t="inlineStr">
        <is>
          <t>How many people in this role are expected to leave or be replaced?</t>
        </is>
      </c>
      <c r="C5" s="3" t="inlineStr">
        <is>
          <t>Scale the calculation</t>
        </is>
      </c>
      <c r="D5" s="3" t="inlineStr">
        <is>
          <t>Yes</t>
        </is>
      </c>
      <c r="E5" s="3" t="inlineStr">
        <is>
          <t>Number</t>
        </is>
      </c>
      <c r="F5" s="3" t="inlineStr">
        <is>
          <t>Departures per year or scenario</t>
        </is>
      </c>
      <c r="G5" s="3" t="inlineStr">
        <is>
          <t>1</t>
        </is>
      </c>
      <c r="H5" s="3" t="inlineStr">
        <is>
          <t>None</t>
        </is>
      </c>
      <c r="I5" s="3" t="inlineStr">
        <is>
          <t>All</t>
        </is>
      </c>
      <c r="J5" s="3" t="inlineStr">
        <is>
          <t>No</t>
        </is>
      </c>
      <c r="K5" s="3" t="inlineStr">
        <is>
          <t>Low</t>
        </is>
      </c>
      <c r="L5" s="3" t="n"/>
      <c r="M5" s="1" t="n"/>
    </row>
    <row r="6" ht="75" customHeight="1">
      <c r="A6" s="3" t="inlineStr">
        <is>
          <t>1. Role setup</t>
        </is>
      </c>
      <c r="B6" s="3" t="inlineStr">
        <is>
          <t>Role category</t>
        </is>
      </c>
      <c r="C6" s="3" t="inlineStr">
        <is>
          <t>Select appropriate wage and work-pattern benchmark family</t>
        </is>
      </c>
      <c r="D6" s="3" t="inlineStr">
        <is>
          <t>Yes</t>
        </is>
      </c>
      <c r="E6" s="3" t="inlineStr">
        <is>
          <t>Dropdown</t>
        </is>
      </c>
      <c r="F6" s="3" t="inlineStr">
        <is>
          <t>Corporate/knowledge; Operations/field; Technical/engineering; Sales/customer; Executive leadership; Other</t>
        </is>
      </c>
      <c r="G6" s="3" t="inlineStr">
        <is>
          <t>Corporate/knowledge</t>
        </is>
      </c>
      <c r="H6" s="3" t="inlineStr">
        <is>
          <t>National category fallback</t>
        </is>
      </c>
      <c r="I6" s="3" t="inlineStr">
        <is>
          <t>Salary, vacancy, ramp-up</t>
        </is>
      </c>
      <c r="J6" s="3" t="inlineStr">
        <is>
          <t>Yes</t>
        </is>
      </c>
      <c r="K6" s="3" t="inlineStr">
        <is>
          <t>Low</t>
        </is>
      </c>
      <c r="L6" s="3" t="n"/>
      <c r="M6" s="1" t="n"/>
    </row>
    <row r="7" ht="60" customHeight="1">
      <c r="A7" s="3" t="inlineStr">
        <is>
          <t>1. Role setup</t>
        </is>
      </c>
      <c r="B7" s="3" t="inlineStr">
        <is>
          <t>Role level</t>
        </is>
      </c>
      <c r="C7" s="3" t="inlineStr">
        <is>
          <t>Select cost-per-hire, time-to-fill, and wage-level logic</t>
        </is>
      </c>
      <c r="D7" s="3" t="inlineStr">
        <is>
          <t>Yes</t>
        </is>
      </c>
      <c r="E7" s="3" t="inlineStr">
        <is>
          <t>Dropdown</t>
        </is>
      </c>
      <c r="F7" s="3" t="inlineStr">
        <is>
          <t>Frontline/field; Individual contributor; Supervisor; Manager; Senior manager; Director; VP; C-suite/executive</t>
        </is>
      </c>
      <c r="G7" s="3" t="inlineStr">
        <is>
          <t>Manager</t>
        </is>
      </c>
      <c r="H7" s="3" t="inlineStr">
        <is>
          <t>Nearest level fallback</t>
        </is>
      </c>
      <c r="I7" s="3" t="inlineStr">
        <is>
          <t>Recruiting, salary, vacancy</t>
        </is>
      </c>
      <c r="J7" s="3" t="inlineStr">
        <is>
          <t>Yes</t>
        </is>
      </c>
      <c r="K7" s="3" t="inlineStr">
        <is>
          <t>Low</t>
        </is>
      </c>
      <c r="L7" s="3" t="n"/>
      <c r="M7" s="1" t="n"/>
    </row>
    <row r="8" ht="30" customHeight="1">
      <c r="A8" s="3" t="inlineStr">
        <is>
          <t>1. Role setup</t>
        </is>
      </c>
      <c r="B8" s="3" t="inlineStr">
        <is>
          <t>Industry (optional)</t>
        </is>
      </c>
      <c r="C8" s="3" t="inlineStr">
        <is>
          <t>Refine turnover and compensation benchmark where reliable</t>
        </is>
      </c>
      <c r="D8" s="3" t="inlineStr">
        <is>
          <t>No</t>
        </is>
      </c>
      <c r="E8" s="3" t="inlineStr">
        <is>
          <t>Dropdown</t>
        </is>
      </c>
      <c r="F8" s="3" t="inlineStr">
        <is>
          <t>BLS/JOLTS industry groups</t>
        </is>
      </c>
      <c r="G8" s="3" t="inlineStr">
        <is>
          <t>Blank</t>
        </is>
      </c>
      <c r="H8" s="3" t="inlineStr">
        <is>
          <t>National private-sector default</t>
        </is>
      </c>
      <c r="I8" s="3" t="inlineStr">
        <is>
          <t>Turnover rate; optional compensation refinement</t>
        </is>
      </c>
      <c r="J8" s="3" t="inlineStr">
        <is>
          <t>Yes</t>
        </is>
      </c>
      <c r="K8" s="3" t="inlineStr">
        <is>
          <t>Low</t>
        </is>
      </c>
      <c r="L8" s="3" t="n"/>
      <c r="M8" s="1" t="n"/>
    </row>
    <row r="9" ht="30" customHeight="1">
      <c r="A9" s="3" t="inlineStr">
        <is>
          <t>1. Role setup</t>
        </is>
      </c>
      <c r="B9" s="3" t="inlineStr">
        <is>
          <t>Annual salary</t>
        </is>
      </c>
      <c r="C9" s="3" t="inlineStr">
        <is>
          <t>Anchor labor-based costs</t>
        </is>
      </c>
      <c r="D9" s="3" t="inlineStr">
        <is>
          <t>No</t>
        </is>
      </c>
      <c r="E9" s="3" t="inlineStr">
        <is>
          <t>Currency or Use benchmark</t>
        </is>
      </c>
      <c r="F9" s="3" t="inlineStr">
        <is>
          <t>USD annual</t>
        </is>
      </c>
      <c r="G9" s="3" t="inlineStr">
        <is>
          <t>Role benchmark</t>
        </is>
      </c>
      <c r="H9" s="3" t="inlineStr">
        <is>
          <t>BLS OEWS benchmark</t>
        </is>
      </c>
      <c r="I9" s="3" t="inlineStr">
        <is>
          <t>Vacancy, ramp-up, transfer, rediscovery, memory, projects</t>
        </is>
      </c>
      <c r="J9" s="3" t="inlineStr">
        <is>
          <t>Yes</t>
        </is>
      </c>
      <c r="K9" s="3" t="inlineStr">
        <is>
          <t>Low</t>
        </is>
      </c>
      <c r="L9" s="3" t="n"/>
      <c r="M9" s="1" t="n"/>
    </row>
    <row r="10" ht="30" customHeight="1">
      <c r="A10" s="3" t="inlineStr">
        <is>
          <t>1. Role setup</t>
        </is>
      </c>
      <c r="B10" s="3" t="inlineStr">
        <is>
          <t>Annual turnover rate or number of departures</t>
        </is>
      </c>
      <c r="C10" s="3" t="inlineStr">
        <is>
          <t>Determine expected annual events when calculating annual exposure</t>
        </is>
      </c>
      <c r="D10" s="3" t="inlineStr">
        <is>
          <t>Conditional</t>
        </is>
      </c>
      <c r="E10" s="3" t="inlineStr">
        <is>
          <t>Percent / number / Use benchmark</t>
        </is>
      </c>
      <c r="F10" s="3" t="inlineStr">
        <is>
          <t>% or count</t>
        </is>
      </c>
      <c r="G10" s="3" t="inlineStr">
        <is>
          <t>Use direct count from first question for single-event mode</t>
        </is>
      </c>
      <c r="H10" s="3" t="inlineStr">
        <is>
          <t>BLS JOLTS if annual mode</t>
        </is>
      </c>
      <c r="I10" s="3" t="inlineStr">
        <is>
          <t>All annual outputs</t>
        </is>
      </c>
      <c r="J10" s="3" t="inlineStr">
        <is>
          <t>Yes</t>
        </is>
      </c>
      <c r="K10" s="3" t="inlineStr">
        <is>
          <t>Medium</t>
        </is>
      </c>
      <c r="L10" s="3" t="inlineStr">
        <is>
          <t>Offer single-departure and annual modes</t>
        </is>
      </c>
      <c r="M10" s="1" t="n"/>
    </row>
    <row r="11" ht="30" customHeight="1">
      <c r="A11" s="3" t="inlineStr">
        <is>
          <t>2. Benchmark review</t>
        </is>
      </c>
      <c r="B11" s="3" t="inlineStr">
        <is>
          <t>Time to fill</t>
        </is>
      </c>
      <c r="C11" s="3" t="inlineStr">
        <is>
          <t>Estimate vacancy duration</t>
        </is>
      </c>
      <c r="D11" s="3" t="inlineStr">
        <is>
          <t>Editable default</t>
        </is>
      </c>
      <c r="E11" s="3" t="inlineStr">
        <is>
          <t>Days</t>
        </is>
      </c>
      <c r="F11" s="3" t="inlineStr">
        <is>
          <t>Calendar days</t>
        </is>
      </c>
      <c r="G11" s="3" t="inlineStr">
        <is>
          <t>39 nonexecutive / 45 provisional executive</t>
        </is>
      </c>
      <c r="H11" s="3" t="inlineStr">
        <is>
          <t>SHRM benchmark</t>
        </is>
      </c>
      <c r="I11" s="3" t="inlineStr">
        <is>
          <t>Vacancy</t>
        </is>
      </c>
      <c r="J11" s="3" t="inlineStr">
        <is>
          <t>Yes</t>
        </is>
      </c>
      <c r="K11" s="3" t="inlineStr">
        <is>
          <t>Low</t>
        </is>
      </c>
      <c r="L11" s="3" t="n"/>
      <c r="M11" s="1" t="n"/>
    </row>
    <row r="12" ht="15" customHeight="1">
      <c r="A12" s="3" t="inlineStr">
        <is>
          <t>2. Benchmark review</t>
        </is>
      </c>
      <c r="B12" s="3" t="inlineStr">
        <is>
          <t>Employer cost multiplier</t>
        </is>
      </c>
      <c r="C12" s="3" t="inlineStr">
        <is>
          <t>Convert salary to fully loaded compensation</t>
        </is>
      </c>
      <c r="D12" s="3" t="inlineStr">
        <is>
          <t>Editable default</t>
        </is>
      </c>
      <c r="E12" s="3" t="inlineStr">
        <is>
          <t>Multiplier</t>
        </is>
      </c>
      <c r="F12" s="3" t="inlineStr">
        <is>
          <t>1.00-2.00</t>
        </is>
      </c>
      <c r="G12" s="3" t="inlineStr">
        <is>
          <t>1.431 private-industry national</t>
        </is>
      </c>
      <c r="H12" s="3" t="inlineStr">
        <is>
          <t>BLS ECEC: wages are 69.9% of total cost</t>
        </is>
      </c>
      <c r="I12" s="3" t="inlineStr">
        <is>
          <t>Labor-based categories</t>
        </is>
      </c>
      <c r="J12" s="3" t="inlineStr">
        <is>
          <t>Yes</t>
        </is>
      </c>
      <c r="K12" s="3" t="inlineStr">
        <is>
          <t>Low</t>
        </is>
      </c>
      <c r="L12" s="3" t="n"/>
      <c r="M12" s="1" t="n"/>
    </row>
    <row r="13" ht="15" customHeight="1">
      <c r="A13" s="3" t="inlineStr">
        <is>
          <t>2. Benchmark review</t>
        </is>
      </c>
      <c r="B13" s="3" t="inlineStr">
        <is>
          <t>Recruiting cost per replacement</t>
        </is>
      </c>
      <c r="C13" s="3" t="inlineStr">
        <is>
          <t>Estimate recruiting and sourcing</t>
        </is>
      </c>
      <c r="D13" s="3" t="inlineStr">
        <is>
          <t>Editable default</t>
        </is>
      </c>
      <c r="E13" s="3" t="inlineStr">
        <is>
          <t>Currency</t>
        </is>
      </c>
      <c r="F13" s="3" t="inlineStr">
        <is>
          <t>USD per hire</t>
        </is>
      </c>
      <c r="G13" s="3" t="inlineStr">
        <is>
          <t>$5,475 nonexecutive / $35,879 executive</t>
        </is>
      </c>
      <c r="H13" s="3" t="inlineStr">
        <is>
          <t>SHRM 2025</t>
        </is>
      </c>
      <c r="I13" s="3" t="inlineStr">
        <is>
          <t>Recruiting</t>
        </is>
      </c>
      <c r="J13" s="3" t="inlineStr">
        <is>
          <t>Yes</t>
        </is>
      </c>
      <c r="K13" s="3" t="inlineStr">
        <is>
          <t>Low</t>
        </is>
      </c>
      <c r="L13" s="3" t="n"/>
      <c r="M13" s="1" t="n"/>
    </row>
    <row r="14" ht="30" customHeight="1">
      <c r="A14" s="3" t="inlineStr">
        <is>
          <t>2. Benchmark review</t>
        </is>
      </c>
      <c r="B14" s="3" t="inlineStr">
        <is>
          <t>How much of the vacant role's work is not absorbed by others?</t>
        </is>
      </c>
      <c r="C14" s="3" t="inlineStr">
        <is>
          <t>Avoid assuming 100% of compensation is lost</t>
        </is>
      </c>
      <c r="D14" s="3" t="inlineStr">
        <is>
          <t>Editable default</t>
        </is>
      </c>
      <c r="E14" s="3" t="inlineStr">
        <is>
          <t>Slider/dropdown</t>
        </is>
      </c>
      <c r="F14" s="3" t="inlineStr">
        <is>
          <t>0%-100%</t>
        </is>
      </c>
      <c r="G14" s="3" t="inlineStr">
        <is>
          <t>50% provisional</t>
        </is>
      </c>
      <c r="H14" s="3" t="inlineStr">
        <is>
          <t>Model assumption until validated</t>
        </is>
      </c>
      <c r="I14" s="3" t="inlineStr">
        <is>
          <t>Vacancy</t>
        </is>
      </c>
      <c r="J14" s="3" t="inlineStr">
        <is>
          <t>Yes</t>
        </is>
      </c>
      <c r="K14" s="3" t="inlineStr">
        <is>
          <t>Medium</t>
        </is>
      </c>
      <c r="L14" s="3" t="n"/>
      <c r="M14" s="1" t="n"/>
    </row>
    <row r="15" ht="15" customHeight="1">
      <c r="A15" s="3" t="inlineStr">
        <is>
          <t>2. Benchmark review</t>
        </is>
      </c>
      <c r="B15" s="3" t="inlineStr">
        <is>
          <t>Time to expected productivity</t>
        </is>
      </c>
      <c r="C15" s="3" t="inlineStr">
        <is>
          <t>Estimate ramp-up period</t>
        </is>
      </c>
      <c r="D15" s="3" t="inlineStr">
        <is>
          <t>Editable default</t>
        </is>
      </c>
      <c r="E15" s="3" t="inlineStr">
        <is>
          <t>Weeks/months</t>
        </is>
      </c>
      <c r="F15" s="3" t="inlineStr">
        <is>
          <t>Months</t>
        </is>
      </c>
      <c r="G15" s="3" t="inlineStr">
        <is>
          <t>Provisional by category/level</t>
        </is>
      </c>
      <c r="H15" s="3" t="inlineStr">
        <is>
          <t>Research/organization input</t>
        </is>
      </c>
      <c r="I15" s="3" t="inlineStr">
        <is>
          <t>Ramp-up</t>
        </is>
      </c>
      <c r="J15" s="3" t="inlineStr">
        <is>
          <t>Yes</t>
        </is>
      </c>
      <c r="K15" s="3" t="inlineStr">
        <is>
          <t>Low</t>
        </is>
      </c>
      <c r="L15" s="3" t="n"/>
      <c r="M15" s="1" t="n"/>
    </row>
    <row r="16" ht="15" customHeight="1">
      <c r="A16" s="3" t="inlineStr">
        <is>
          <t>2. Benchmark review</t>
        </is>
      </c>
      <c r="B16" s="3" t="inlineStr">
        <is>
          <t>Average productivity during ramp-up</t>
        </is>
      </c>
      <c r="C16" s="3" t="inlineStr">
        <is>
          <t>Estimate productivity gap</t>
        </is>
      </c>
      <c r="D16" s="3" t="inlineStr">
        <is>
          <t>Editable default</t>
        </is>
      </c>
      <c r="E16" s="3" t="inlineStr">
        <is>
          <t>Percent</t>
        </is>
      </c>
      <c r="F16" s="3" t="inlineStr">
        <is>
          <t>0%-100%</t>
        </is>
      </c>
      <c r="G16" s="3" t="inlineStr">
        <is>
          <t>60% provisional</t>
        </is>
      </c>
      <c r="H16" s="3" t="inlineStr">
        <is>
          <t>Model assumption until validated</t>
        </is>
      </c>
      <c r="I16" s="3" t="inlineStr">
        <is>
          <t>Ramp-up</t>
        </is>
      </c>
      <c r="J16" s="3" t="inlineStr">
        <is>
          <t>Yes</t>
        </is>
      </c>
      <c r="K16" s="3" t="inlineStr">
        <is>
          <t>Medium</t>
        </is>
      </c>
      <c r="L16" s="3" t="n"/>
      <c r="M16" s="1" t="n"/>
    </row>
    <row r="17" ht="15" customHeight="1">
      <c r="A17" s="3" t="inlineStr">
        <is>
          <t>2. Benchmark review</t>
        </is>
      </c>
      <c r="B17" s="3" t="inlineStr">
        <is>
          <t>Direct onboarding and training cost</t>
        </is>
      </c>
      <c r="C17" s="3" t="inlineStr">
        <is>
          <t>Capture direct cash costs</t>
        </is>
      </c>
      <c r="D17" s="3" t="inlineStr">
        <is>
          <t>Editable default</t>
        </is>
      </c>
      <c r="E17" s="3" t="inlineStr">
        <is>
          <t>Currency</t>
        </is>
      </c>
      <c r="F17" s="3" t="inlineStr">
        <is>
          <t>USD</t>
        </is>
      </c>
      <c r="G17" s="3" t="inlineStr">
        <is>
          <t>Provisional or user input</t>
        </is>
      </c>
      <c r="H17" s="3" t="inlineStr">
        <is>
          <t>Benchmark to be validated</t>
        </is>
      </c>
      <c r="I17" s="3" t="inlineStr">
        <is>
          <t>Onboarding</t>
        </is>
      </c>
      <c r="J17" s="3" t="inlineStr">
        <is>
          <t>Yes</t>
        </is>
      </c>
      <c r="K17" s="3" t="inlineStr">
        <is>
          <t>Low</t>
        </is>
      </c>
      <c r="L17" s="3" t="n"/>
      <c r="M17" s="1" t="n"/>
    </row>
    <row r="18" ht="15" customHeight="1">
      <c r="A18" s="3" t="inlineStr">
        <is>
          <t>3. Knowledge impact</t>
        </is>
      </c>
      <c r="B18" s="3" t="inlineStr">
        <is>
          <t>Was there planned overlap or formal knowledge transfer?</t>
        </is>
      </c>
      <c r="C18" s="3" t="inlineStr">
        <is>
          <t>Choose transfer-cost logic</t>
        </is>
      </c>
      <c r="D18" s="3" t="inlineStr">
        <is>
          <t>Yes</t>
        </is>
      </c>
      <c r="E18" s="3" t="inlineStr">
        <is>
          <t>Yes/Partial/No</t>
        </is>
      </c>
      <c r="F18" s="3" t="inlineStr">
        <is>
          <t>Categorical</t>
        </is>
      </c>
      <c r="G18" s="3" t="inlineStr">
        <is>
          <t>Partial</t>
        </is>
      </c>
      <c r="H18" s="3" t="inlineStr">
        <is>
          <t>None</t>
        </is>
      </c>
      <c r="I18" s="3" t="inlineStr">
        <is>
          <t>Knowledge transfer and rediscovery</t>
        </is>
      </c>
      <c r="J18" s="3" t="inlineStr">
        <is>
          <t>No</t>
        </is>
      </c>
      <c r="K18" s="3" t="inlineStr">
        <is>
          <t>Low</t>
        </is>
      </c>
      <c r="L18" s="3" t="n"/>
      <c r="M18" s="1" t="n"/>
    </row>
    <row r="19" ht="30" customHeight="1">
      <c r="A19" s="3" t="inlineStr">
        <is>
          <t>3. Knowledge impact</t>
        </is>
      </c>
      <c r="B19" s="3" t="inlineStr">
        <is>
          <t>Approximately how many total employee hours are spent transferring this role's knowledge?</t>
        </is>
      </c>
      <c r="C19" s="3" t="inlineStr">
        <is>
          <t>Calculate direct transfer labor</t>
        </is>
      </c>
      <c r="D19" s="3" t="inlineStr">
        <is>
          <t>No</t>
        </is>
      </c>
      <c r="E19" s="3" t="inlineStr">
        <is>
          <t>Hours / Use benchmark</t>
        </is>
      </c>
      <c r="F19" s="3" t="inlineStr">
        <is>
          <t>Total hours across all participants</t>
        </is>
      </c>
      <c r="G19" s="3" t="inlineStr">
        <is>
          <t>Provisional benchmark</t>
        </is>
      </c>
      <c r="H19" s="3" t="inlineStr">
        <is>
          <t>Role complexity benchmark</t>
        </is>
      </c>
      <c r="I19" s="3" t="inlineStr">
        <is>
          <t>Knowledge transfer</t>
        </is>
      </c>
      <c r="J19" s="3" t="inlineStr">
        <is>
          <t>Yes</t>
        </is>
      </c>
      <c r="K19" s="3" t="inlineStr">
        <is>
          <t>Medium</t>
        </is>
      </c>
      <c r="L19" s="3" t="n"/>
      <c r="M19" s="1" t="n"/>
    </row>
    <row r="20" ht="30" customHeight="1">
      <c r="A20" s="3" t="inlineStr">
        <is>
          <t>3. Knowledge impact</t>
        </is>
      </c>
      <c r="B20" s="3" t="inlineStr">
        <is>
          <t>How long does it typically take a replacement to understand the historical context needed to perform this role effectively?</t>
        </is>
      </c>
      <c r="C20" s="3" t="inlineStr">
        <is>
          <t>Calculate context rediscovery</t>
        </is>
      </c>
      <c r="D20" s="3" t="inlineStr">
        <is>
          <t>No</t>
        </is>
      </c>
      <c r="E20" s="3" t="inlineStr">
        <is>
          <t>Weeks/months / Use benchmark</t>
        </is>
      </c>
      <c r="F20" s="3" t="inlineStr">
        <is>
          <t>Calendar or working time</t>
        </is>
      </c>
      <c r="G20" s="3" t="inlineStr">
        <is>
          <t>Provisional benchmark</t>
        </is>
      </c>
      <c r="H20" s="3" t="inlineStr">
        <is>
          <t>Role category + level</t>
        </is>
      </c>
      <c r="I20" s="3" t="inlineStr">
        <is>
          <t>Context rediscovery</t>
        </is>
      </c>
      <c r="J20" s="3" t="inlineStr">
        <is>
          <t>Yes</t>
        </is>
      </c>
      <c r="K20" s="3" t="inlineStr">
        <is>
          <t>Medium</t>
        </is>
      </c>
      <c r="L20" s="3" t="n"/>
      <c r="M20" s="1" t="n"/>
    </row>
    <row r="21" ht="30" customHeight="1">
      <c r="A21" s="3" t="inlineStr">
        <is>
          <t>3. Knowledge impact</t>
        </is>
      </c>
      <c r="B21" s="3" t="inlineStr">
        <is>
          <t>How much coworker or leader time is typically needed to reconstruct missing context, records, or lessons?</t>
        </is>
      </c>
      <c r="C21" s="3" t="inlineStr">
        <is>
          <t>Calculate institutional-memory reconstruction</t>
        </is>
      </c>
      <c r="D21" s="3" t="inlineStr">
        <is>
          <t>No</t>
        </is>
      </c>
      <c r="E21" s="3" t="inlineStr">
        <is>
          <t>Hours / Use benchmark</t>
        </is>
      </c>
      <c r="F21" s="3" t="inlineStr">
        <is>
          <t>Total hours</t>
        </is>
      </c>
      <c r="G21" s="3" t="inlineStr">
        <is>
          <t>Provisional benchmark</t>
        </is>
      </c>
      <c r="H21" s="3" t="inlineStr">
        <is>
          <t>Knowledge criticality model</t>
        </is>
      </c>
      <c r="I21" s="3" t="inlineStr">
        <is>
          <t>Institutional memory</t>
        </is>
      </c>
      <c r="J21" s="3" t="inlineStr">
        <is>
          <t>Yes</t>
        </is>
      </c>
      <c r="K21" s="3" t="inlineStr">
        <is>
          <t>Medium</t>
        </is>
      </c>
      <c r="L21" s="3" t="n"/>
      <c r="M21" s="1" t="n"/>
    </row>
    <row r="22" ht="30" customHeight="1">
      <c r="A22" s="3" t="inlineStr">
        <is>
          <t>3. Knowledge impact</t>
        </is>
      </c>
      <c r="B22" s="3" t="inlineStr">
        <is>
          <t>How many active projects or initiatives rely materially on this role?</t>
        </is>
      </c>
      <c r="C22" s="3" t="inlineStr">
        <is>
          <t>Determine project-disruption module relevance</t>
        </is>
      </c>
      <c r="D22" s="3" t="inlineStr">
        <is>
          <t>No</t>
        </is>
      </c>
      <c r="E22" s="3" t="inlineStr">
        <is>
          <t>Number</t>
        </is>
      </c>
      <c r="F22" s="3" t="inlineStr">
        <is>
          <t>0+</t>
        </is>
      </c>
      <c r="G22" s="3" t="inlineStr">
        <is>
          <t>0</t>
        </is>
      </c>
      <c r="H22" s="3" t="inlineStr">
        <is>
          <t>None</t>
        </is>
      </c>
      <c r="I22" s="3" t="inlineStr">
        <is>
          <t>Project disruption</t>
        </is>
      </c>
      <c r="J22" s="3" t="inlineStr">
        <is>
          <t>No</t>
        </is>
      </c>
      <c r="K22" s="3" t="inlineStr">
        <is>
          <t>Low</t>
        </is>
      </c>
      <c r="L22" s="3" t="n"/>
      <c r="M22" s="1" t="n"/>
    </row>
    <row r="23" ht="30" customHeight="1">
      <c r="A23" s="3" t="inlineStr">
        <is>
          <t>3. Knowledge impact</t>
        </is>
      </c>
      <c r="B23" s="3" t="inlineStr">
        <is>
          <t>For each affected project, how many additional team hours are typically required because the role or context is missing?</t>
        </is>
      </c>
      <c r="C23" s="3" t="inlineStr">
        <is>
          <t>Calculate labor-based project disruption</t>
        </is>
      </c>
      <c r="D23" s="3" t="inlineStr">
        <is>
          <t>Conditional</t>
        </is>
      </c>
      <c r="E23" s="3" t="inlineStr">
        <is>
          <t>Hours / Use benchmark</t>
        </is>
      </c>
      <c r="F23" s="3" t="inlineStr">
        <is>
          <t>Hours per project</t>
        </is>
      </c>
      <c r="G23" s="3" t="inlineStr">
        <is>
          <t>Provisional benchmark</t>
        </is>
      </c>
      <c r="H23" s="3" t="inlineStr">
        <is>
          <t>Organization input preferred</t>
        </is>
      </c>
      <c r="I23" s="3" t="inlineStr">
        <is>
          <t>Project disruption</t>
        </is>
      </c>
      <c r="J23" s="3" t="inlineStr">
        <is>
          <t>Yes</t>
        </is>
      </c>
      <c r="K23" s="3" t="inlineStr">
        <is>
          <t>Medium</t>
        </is>
      </c>
      <c r="L23" s="3" t="n"/>
      <c r="M23" s="1" t="n"/>
    </row>
    <row r="24" ht="30" customHeight="1">
      <c r="A24" s="3" t="inlineStr">
        <is>
          <t>3. Knowledge impact</t>
        </is>
      </c>
      <c r="B24" s="3" t="inlineStr">
        <is>
          <t>Does this role own customer or supplier relationships with measurable replacement or recovery economics?</t>
        </is>
      </c>
      <c r="C24" s="3" t="inlineStr">
        <is>
          <t>Gate optional relationship module</t>
        </is>
      </c>
      <c r="D24" s="3" t="inlineStr">
        <is>
          <t>No</t>
        </is>
      </c>
      <c r="E24" s="3" t="inlineStr">
        <is>
          <t>Yes/No</t>
        </is>
      </c>
      <c r="F24" s="3" t="inlineStr">
        <is>
          <t>Categorical</t>
        </is>
      </c>
      <c r="G24" s="3" t="inlineStr">
        <is>
          <t>No</t>
        </is>
      </c>
      <c r="H24" s="3" t="inlineStr">
        <is>
          <t>None</t>
        </is>
      </c>
      <c r="I24" s="3" t="inlineStr">
        <is>
          <t>Customer/supplier continuity</t>
        </is>
      </c>
      <c r="J24" s="3" t="inlineStr">
        <is>
          <t>No</t>
        </is>
      </c>
      <c r="K24" s="3" t="inlineStr">
        <is>
          <t>Low</t>
        </is>
      </c>
      <c r="L24" s="3" t="n"/>
      <c r="M24" s="1" t="n"/>
    </row>
    <row r="25" ht="30" customHeight="1">
      <c r="A25" s="3" t="inlineStr">
        <is>
          <t>4. Results</t>
        </is>
      </c>
      <c r="B25" s="3" t="inlineStr">
        <is>
          <t>Email my report</t>
        </is>
      </c>
      <c r="C25" s="3" t="inlineStr">
        <is>
          <t>Lead capture after value preview or before full report depending conversion test</t>
        </is>
      </c>
      <c r="D25" s="3" t="inlineStr">
        <is>
          <t>Optional/experiment</t>
        </is>
      </c>
      <c r="E25" s="3" t="inlineStr">
        <is>
          <t>Email</t>
        </is>
      </c>
      <c r="F25" s="3" t="inlineStr">
        <is>
          <t>Email address</t>
        </is>
      </c>
      <c r="G25" s="3" t="inlineStr">
        <is>
          <t>Blank</t>
        </is>
      </c>
      <c r="H25" s="3" t="inlineStr">
        <is>
          <t>None</t>
        </is>
      </c>
      <c r="I25" s="3" t="inlineStr">
        <is>
          <t>Lead attribution</t>
        </is>
      </c>
      <c r="J25" s="3" t="inlineStr">
        <is>
          <t>No</t>
        </is>
      </c>
      <c r="K25" s="3" t="inlineStr">
        <is>
          <t>Medium</t>
        </is>
      </c>
      <c r="L25" s="3" t="inlineStr">
        <is>
          <t>Recommend preview first, email for downloadable report</t>
        </is>
      </c>
      <c r="M25" s="1" t="n"/>
    </row>
    <row r="26" ht="15" customHeight="1">
      <c r="A26" s="1" t="n"/>
      <c r="B26" s="1" t="n"/>
      <c r="C26" s="1" t="n"/>
      <c r="D26" s="1" t="n"/>
      <c r="E26" s="1" t="n"/>
      <c r="F26" s="1" t="n"/>
      <c r="G26" s="1" t="n"/>
      <c r="H26" s="1" t="n"/>
      <c r="I26" s="1" t="n"/>
      <c r="J26" s="1" t="n"/>
      <c r="K26" s="1" t="n"/>
      <c r="L26" s="1" t="n"/>
      <c r="M26" s="1" t="n"/>
    </row>
    <row r="27" ht="15" customHeight="1">
      <c r="A27" s="1" t="n"/>
      <c r="B27" s="1" t="n"/>
      <c r="C27" s="1" t="n"/>
      <c r="D27" s="1" t="n"/>
      <c r="E27" s="1" t="n"/>
      <c r="F27" s="1" t="n"/>
      <c r="G27" s="1" t="n"/>
      <c r="H27" s="1" t="n"/>
      <c r="I27" s="1" t="n"/>
      <c r="J27" s="1" t="n"/>
      <c r="K27" s="1" t="n"/>
      <c r="L27" s="1" t="n"/>
      <c r="M27" s="1" t="n"/>
    </row>
    <row r="28" ht="15" customHeight="1">
      <c r="A28" s="1" t="n"/>
      <c r="B28" s="1" t="n"/>
      <c r="C28" s="1" t="n"/>
      <c r="D28" s="1" t="n"/>
      <c r="E28" s="1" t="n"/>
      <c r="F28" s="1" t="n"/>
      <c r="G28" s="1" t="n"/>
      <c r="H28" s="1" t="n"/>
      <c r="I28" s="1" t="n"/>
      <c r="J28" s="1" t="n"/>
      <c r="K28" s="1" t="n"/>
      <c r="L28" s="1" t="n"/>
      <c r="M28" s="1" t="n"/>
    </row>
    <row r="29" ht="15" customHeight="1">
      <c r="A29" s="1" t="n"/>
      <c r="B29" s="1" t="n"/>
      <c r="C29" s="1" t="n"/>
      <c r="D29" s="1" t="n"/>
      <c r="E29" s="1" t="n"/>
      <c r="F29" s="1" t="n"/>
      <c r="G29" s="1" t="n"/>
      <c r="H29" s="1" t="n"/>
      <c r="I29" s="1" t="n"/>
      <c r="J29" s="1" t="n"/>
      <c r="K29" s="1" t="n"/>
      <c r="L29" s="1" t="n"/>
      <c r="M29" s="1" t="n"/>
    </row>
    <row r="30" ht="15" customHeight="1">
      <c r="A30" s="1" t="n"/>
      <c r="B30" s="1" t="n"/>
      <c r="C30" s="1" t="n"/>
      <c r="D30" s="1" t="n"/>
      <c r="E30" s="1" t="n"/>
      <c r="F30" s="1" t="n"/>
      <c r="G30" s="1" t="n"/>
      <c r="H30" s="1" t="n"/>
      <c r="I30" s="1" t="n"/>
      <c r="J30" s="1" t="n"/>
      <c r="K30" s="1" t="n"/>
      <c r="L30" s="1" t="n"/>
      <c r="M30" s="1" t="n"/>
    </row>
    <row r="31" ht="15" customHeight="1">
      <c r="A31" s="1" t="n"/>
      <c r="B31" s="1" t="n"/>
      <c r="C31" s="1" t="n"/>
      <c r="D31" s="1" t="n"/>
      <c r="E31" s="1" t="n"/>
      <c r="F31" s="1" t="n"/>
      <c r="G31" s="1" t="n"/>
      <c r="H31" s="1" t="n"/>
      <c r="I31" s="1" t="n"/>
      <c r="J31" s="1" t="n"/>
      <c r="K31" s="1" t="n"/>
      <c r="L31" s="1" t="n"/>
      <c r="M31" s="1" t="n"/>
    </row>
    <row r="32" ht="15" customHeight="1">
      <c r="A32" s="1" t="n"/>
      <c r="B32" s="1" t="n"/>
      <c r="C32" s="1" t="n"/>
      <c r="D32" s="1" t="n"/>
      <c r="E32" s="1" t="n"/>
      <c r="F32" s="1" t="n"/>
      <c r="G32" s="1" t="n"/>
      <c r="H32" s="1" t="n"/>
      <c r="I32" s="1" t="n"/>
      <c r="J32" s="1" t="n"/>
      <c r="K32" s="1" t="n"/>
      <c r="L32" s="1" t="n"/>
      <c r="M32" s="1" t="n"/>
    </row>
    <row r="33" ht="15" customHeight="1">
      <c r="A33" s="1" t="n"/>
      <c r="B33" s="1" t="n"/>
      <c r="C33" s="1" t="n"/>
      <c r="D33" s="1" t="n"/>
      <c r="E33" s="1" t="n"/>
      <c r="F33" s="1" t="n"/>
      <c r="G33" s="1" t="n"/>
      <c r="H33" s="1" t="n"/>
      <c r="I33" s="1" t="n"/>
      <c r="J33" s="1" t="n"/>
      <c r="K33" s="1" t="n"/>
      <c r="L33" s="1" t="n"/>
      <c r="M33" s="1" t="n"/>
    </row>
    <row r="34" ht="15" customHeight="1">
      <c r="A34" s="1" t="n"/>
      <c r="B34" s="1" t="n"/>
      <c r="C34" s="1" t="n"/>
      <c r="D34" s="1" t="n"/>
      <c r="E34" s="1" t="n"/>
      <c r="F34" s="1" t="n"/>
      <c r="G34" s="1" t="n"/>
      <c r="H34" s="1" t="n"/>
      <c r="I34" s="1" t="n"/>
      <c r="J34" s="1" t="n"/>
      <c r="K34" s="1" t="n"/>
      <c r="L34" s="1" t="n"/>
      <c r="M34" s="1" t="n"/>
    </row>
    <row r="35" ht="15" customHeight="1">
      <c r="A35" s="1" t="n"/>
      <c r="B35" s="1" t="n"/>
      <c r="C35" s="1" t="n"/>
      <c r="D35" s="1" t="n"/>
      <c r="E35" s="1" t="n"/>
      <c r="F35" s="1" t="n"/>
      <c r="G35" s="1" t="n"/>
      <c r="H35" s="1" t="n"/>
      <c r="I35" s="1" t="n"/>
      <c r="J35" s="1" t="n"/>
      <c r="K35" s="1" t="n"/>
      <c r="L35" s="1" t="n"/>
      <c r="M35" s="1" t="n"/>
    </row>
    <row r="36" ht="15" customHeight="1">
      <c r="A36" s="1" t="n"/>
      <c r="B36" s="1" t="n"/>
      <c r="C36" s="1" t="n"/>
      <c r="D36" s="1" t="n"/>
      <c r="E36" s="1" t="n"/>
      <c r="F36" s="1" t="n"/>
      <c r="G36" s="1" t="n"/>
      <c r="H36" s="1" t="n"/>
      <c r="I36" s="1" t="n"/>
      <c r="J36" s="1" t="n"/>
      <c r="K36" s="1" t="n"/>
      <c r="L36" s="1" t="n"/>
      <c r="M36" s="1" t="n"/>
    </row>
    <row r="37" ht="15" customHeight="1">
      <c r="A37" s="1" t="n"/>
      <c r="B37" s="1" t="n"/>
      <c r="C37" s="1" t="n"/>
      <c r="D37" s="1" t="n"/>
      <c r="E37" s="1" t="n"/>
      <c r="F37" s="1" t="n"/>
      <c r="G37" s="1" t="n"/>
      <c r="H37" s="1" t="n"/>
      <c r="I37" s="1" t="n"/>
      <c r="J37" s="1" t="n"/>
      <c r="K37" s="1" t="n"/>
      <c r="L37" s="1" t="n"/>
      <c r="M37" s="1" t="n"/>
    </row>
    <row r="38" ht="15" customHeight="1">
      <c r="A38" s="1" t="n"/>
      <c r="B38" s="1" t="n"/>
      <c r="C38" s="1" t="n"/>
      <c r="D38" s="1" t="n"/>
      <c r="E38" s="1" t="n"/>
      <c r="F38" s="1" t="n"/>
      <c r="G38" s="1" t="n"/>
      <c r="H38" s="1" t="n"/>
      <c r="I38" s="1" t="n"/>
      <c r="J38" s="1" t="n"/>
      <c r="K38" s="1" t="n"/>
      <c r="L38" s="1" t="n"/>
      <c r="M38" s="1" t="n"/>
    </row>
    <row r="39" ht="15" customHeight="1">
      <c r="A39" s="1" t="n"/>
      <c r="B39" s="1" t="n"/>
      <c r="C39" s="1" t="n"/>
      <c r="D39" s="1" t="n"/>
      <c r="E39" s="1" t="n"/>
      <c r="F39" s="1" t="n"/>
      <c r="G39" s="1" t="n"/>
      <c r="H39" s="1" t="n"/>
      <c r="I39" s="1" t="n"/>
      <c r="J39" s="1" t="n"/>
      <c r="K39" s="1" t="n"/>
      <c r="L39" s="1" t="n"/>
      <c r="M39" s="1" t="n"/>
    </row>
    <row r="40" ht="15" customHeight="1">
      <c r="A40" s="1" t="n"/>
      <c r="B40" s="1" t="n"/>
      <c r="C40" s="1" t="n"/>
      <c r="D40" s="1" t="n"/>
      <c r="E40" s="1" t="n"/>
      <c r="F40" s="1" t="n"/>
      <c r="G40" s="1" t="n"/>
      <c r="H40" s="1" t="n"/>
      <c r="I40" s="1" t="n"/>
      <c r="J40" s="1" t="n"/>
      <c r="K40" s="1" t="n"/>
      <c r="L40" s="1" t="n"/>
      <c r="M40" s="1" t="n"/>
    </row>
    <row r="41" ht="15" customHeight="1">
      <c r="A41" s="1" t="n"/>
      <c r="B41" s="1" t="n"/>
      <c r="C41" s="1" t="n"/>
      <c r="D41" s="1" t="n"/>
      <c r="E41" s="1" t="n"/>
      <c r="F41" s="1" t="n"/>
      <c r="G41" s="1" t="n"/>
      <c r="H41" s="1" t="n"/>
      <c r="I41" s="1" t="n"/>
      <c r="J41" s="1" t="n"/>
      <c r="K41" s="1" t="n"/>
      <c r="L41" s="1" t="n"/>
      <c r="M41" s="1" t="n"/>
    </row>
    <row r="42" ht="15" customHeight="1">
      <c r="A42" s="1" t="n"/>
      <c r="B42" s="1" t="n"/>
      <c r="C42" s="1" t="n"/>
      <c r="D42" s="1" t="n"/>
      <c r="E42" s="1" t="n"/>
      <c r="F42" s="1" t="n"/>
      <c r="G42" s="1" t="n"/>
      <c r="H42" s="1" t="n"/>
      <c r="I42" s="1" t="n"/>
      <c r="J42" s="1" t="n"/>
      <c r="K42" s="1" t="n"/>
      <c r="L42" s="1" t="n"/>
      <c r="M42" s="1" t="n"/>
    </row>
    <row r="43" ht="15" customHeight="1">
      <c r="A43" s="1" t="n"/>
      <c r="B43" s="1" t="n"/>
      <c r="C43" s="1" t="n"/>
      <c r="D43" s="1" t="n"/>
      <c r="E43" s="1" t="n"/>
      <c r="F43" s="1" t="n"/>
      <c r="G43" s="1" t="n"/>
      <c r="H43" s="1" t="n"/>
      <c r="I43" s="1" t="n"/>
      <c r="J43" s="1" t="n"/>
      <c r="K43" s="1" t="n"/>
      <c r="L43" s="1" t="n"/>
      <c r="M43" s="1" t="n"/>
    </row>
    <row r="44" ht="15" customHeight="1">
      <c r="A44" s="1" t="n"/>
      <c r="B44" s="1" t="n"/>
      <c r="C44" s="1" t="n"/>
      <c r="D44" s="1" t="n"/>
      <c r="E44" s="1" t="n"/>
      <c r="F44" s="1" t="n"/>
      <c r="G44" s="1" t="n"/>
      <c r="H44" s="1" t="n"/>
      <c r="I44" s="1" t="n"/>
      <c r="J44" s="1" t="n"/>
      <c r="K44" s="1" t="n"/>
      <c r="L44" s="1" t="n"/>
      <c r="M44" s="1" t="n"/>
    </row>
    <row r="45" ht="15" customHeight="1">
      <c r="A45" s="1" t="n"/>
      <c r="B45" s="1" t="n"/>
      <c r="C45" s="1" t="n"/>
      <c r="D45" s="1" t="n"/>
      <c r="E45" s="1" t="n"/>
      <c r="F45" s="1" t="n"/>
      <c r="G45" s="1" t="n"/>
      <c r="H45" s="1" t="n"/>
      <c r="I45" s="1" t="n"/>
      <c r="J45" s="1" t="n"/>
      <c r="K45" s="1" t="n"/>
      <c r="L45" s="1" t="n"/>
      <c r="M45" s="1" t="n"/>
    </row>
    <row r="46" ht="15" customHeight="1">
      <c r="A46" s="1" t="n"/>
      <c r="B46" s="1" t="n"/>
      <c r="C46" s="1" t="n"/>
      <c r="D46" s="1" t="n"/>
      <c r="E46" s="1" t="n"/>
      <c r="F46" s="1" t="n"/>
      <c r="G46" s="1" t="n"/>
      <c r="H46" s="1" t="n"/>
      <c r="I46" s="1" t="n"/>
      <c r="J46" s="1" t="n"/>
      <c r="K46" s="1" t="n"/>
      <c r="L46" s="1" t="n"/>
      <c r="M46" s="1" t="n"/>
    </row>
    <row r="47" ht="15" customHeight="1">
      <c r="A47" s="1" t="n"/>
      <c r="B47" s="1" t="n"/>
      <c r="C47" s="1" t="n"/>
      <c r="D47" s="1" t="n"/>
      <c r="E47" s="1" t="n"/>
      <c r="F47" s="1" t="n"/>
      <c r="G47" s="1" t="n"/>
      <c r="H47" s="1" t="n"/>
      <c r="I47" s="1" t="n"/>
      <c r="J47" s="1" t="n"/>
      <c r="K47" s="1" t="n"/>
      <c r="L47" s="1" t="n"/>
      <c r="M47" s="1" t="n"/>
    </row>
    <row r="48" ht="15" customHeight="1">
      <c r="A48" s="1" t="n"/>
      <c r="B48" s="1" t="n"/>
      <c r="C48" s="1" t="n"/>
      <c r="D48" s="1" t="n"/>
      <c r="E48" s="1" t="n"/>
      <c r="F48" s="1" t="n"/>
      <c r="G48" s="1" t="n"/>
      <c r="H48" s="1" t="n"/>
      <c r="I48" s="1" t="n"/>
      <c r="J48" s="1" t="n"/>
      <c r="K48" s="1" t="n"/>
      <c r="L48" s="1" t="n"/>
      <c r="M48" s="1" t="n"/>
    </row>
    <row r="49" ht="15" customHeight="1">
      <c r="A49" s="1" t="n"/>
      <c r="B49" s="1" t="n"/>
      <c r="C49" s="1" t="n"/>
      <c r="D49" s="1" t="n"/>
      <c r="E49" s="1" t="n"/>
      <c r="F49" s="1" t="n"/>
      <c r="G49" s="1" t="n"/>
      <c r="H49" s="1" t="n"/>
      <c r="I49" s="1" t="n"/>
      <c r="J49" s="1" t="n"/>
      <c r="K49" s="1" t="n"/>
      <c r="L49" s="1" t="n"/>
      <c r="M49" s="1" t="n"/>
    </row>
    <row r="50" ht="15" customHeight="1">
      <c r="A50" s="1" t="n"/>
      <c r="B50" s="1" t="n"/>
      <c r="C50" s="1" t="n"/>
      <c r="D50" s="1" t="n"/>
      <c r="E50" s="1" t="n"/>
      <c r="F50" s="1" t="n"/>
      <c r="G50" s="1" t="n"/>
      <c r="H50" s="1" t="n"/>
      <c r="I50" s="1" t="n"/>
      <c r="J50" s="1" t="n"/>
      <c r="K50" s="1" t="n"/>
      <c r="L50" s="1" t="n"/>
      <c r="M50" s="1" t="n"/>
    </row>
    <row r="51" ht="15" customHeight="1">
      <c r="A51" s="1" t="n"/>
      <c r="B51" s="1" t="n"/>
      <c r="C51" s="1" t="n"/>
      <c r="D51" s="1" t="n"/>
      <c r="E51" s="1" t="n"/>
      <c r="F51" s="1" t="n"/>
      <c r="G51" s="1" t="n"/>
      <c r="H51" s="1" t="n"/>
      <c r="I51" s="1" t="n"/>
      <c r="J51" s="1" t="n"/>
      <c r="K51" s="1" t="n"/>
      <c r="L51" s="1" t="n"/>
      <c r="M51" s="1" t="n"/>
    </row>
    <row r="52" ht="15" customHeight="1">
      <c r="A52" s="1" t="n"/>
      <c r="B52" s="1" t="n"/>
      <c r="C52" s="1" t="n"/>
      <c r="D52" s="1" t="n"/>
      <c r="E52" s="1" t="n"/>
      <c r="F52" s="1" t="n"/>
      <c r="G52" s="1" t="n"/>
      <c r="H52" s="1" t="n"/>
      <c r="I52" s="1" t="n"/>
      <c r="J52" s="1" t="n"/>
      <c r="K52" s="1" t="n"/>
      <c r="L52" s="1" t="n"/>
      <c r="M52" s="1" t="n"/>
    </row>
    <row r="53" ht="15" customHeight="1">
      <c r="A53" s="1" t="n"/>
      <c r="B53" s="1" t="n"/>
      <c r="C53" s="1" t="n"/>
      <c r="D53" s="1" t="n"/>
      <c r="E53" s="1" t="n"/>
      <c r="F53" s="1" t="n"/>
      <c r="G53" s="1" t="n"/>
      <c r="H53" s="1" t="n"/>
      <c r="I53" s="1" t="n"/>
      <c r="J53" s="1" t="n"/>
      <c r="K53" s="1" t="n"/>
      <c r="L53" s="1" t="n"/>
      <c r="M53" s="1" t="n"/>
    </row>
    <row r="54" ht="15" customHeight="1">
      <c r="A54" s="1" t="n"/>
      <c r="B54" s="1" t="n"/>
      <c r="C54" s="1" t="n"/>
      <c r="D54" s="1" t="n"/>
      <c r="E54" s="1" t="n"/>
      <c r="F54" s="1" t="n"/>
      <c r="G54" s="1" t="n"/>
      <c r="H54" s="1" t="n"/>
      <c r="I54" s="1" t="n"/>
      <c r="J54" s="1" t="n"/>
      <c r="K54" s="1" t="n"/>
      <c r="L54" s="1" t="n"/>
      <c r="M54" s="1" t="n"/>
    </row>
    <row r="55" ht="15" customHeight="1">
      <c r="A55" s="1" t="n"/>
      <c r="B55" s="1" t="n"/>
      <c r="C55" s="1" t="n"/>
      <c r="D55" s="1" t="n"/>
      <c r="E55" s="1" t="n"/>
      <c r="F55" s="1" t="n"/>
      <c r="G55" s="1" t="n"/>
      <c r="H55" s="1" t="n"/>
      <c r="I55" s="1" t="n"/>
      <c r="J55" s="1" t="n"/>
      <c r="K55" s="1" t="n"/>
      <c r="L55" s="1" t="n"/>
      <c r="M55" s="1" t="n"/>
    </row>
    <row r="56" ht="15" customHeight="1">
      <c r="A56" s="1" t="n"/>
      <c r="B56" s="1" t="n"/>
      <c r="C56" s="1" t="n"/>
      <c r="D56" s="1" t="n"/>
      <c r="E56" s="1" t="n"/>
      <c r="F56" s="1" t="n"/>
      <c r="G56" s="1" t="n"/>
      <c r="H56" s="1" t="n"/>
      <c r="I56" s="1" t="n"/>
      <c r="J56" s="1" t="n"/>
      <c r="K56" s="1" t="n"/>
      <c r="L56" s="1" t="n"/>
      <c r="M56" s="1" t="n"/>
    </row>
    <row r="57" ht="15" customHeight="1">
      <c r="A57" s="1" t="n"/>
      <c r="B57" s="1" t="n"/>
      <c r="C57" s="1" t="n"/>
      <c r="D57" s="1" t="n"/>
      <c r="E57" s="1" t="n"/>
      <c r="F57" s="1" t="n"/>
      <c r="G57" s="1" t="n"/>
      <c r="H57" s="1" t="n"/>
      <c r="I57" s="1" t="n"/>
      <c r="J57" s="1" t="n"/>
      <c r="K57" s="1" t="n"/>
      <c r="L57" s="1" t="n"/>
      <c r="M57" s="1" t="n"/>
    </row>
    <row r="58" ht="15" customHeight="1">
      <c r="A58" s="1" t="n"/>
      <c r="B58" s="1" t="n"/>
      <c r="C58" s="1" t="n"/>
      <c r="D58" s="1" t="n"/>
      <c r="E58" s="1" t="n"/>
      <c r="F58" s="1" t="n"/>
      <c r="G58" s="1" t="n"/>
      <c r="H58" s="1" t="n"/>
      <c r="I58" s="1" t="n"/>
      <c r="J58" s="1" t="n"/>
      <c r="K58" s="1" t="n"/>
      <c r="L58" s="1" t="n"/>
      <c r="M58" s="1" t="n"/>
    </row>
    <row r="59" ht="15" customHeight="1">
      <c r="A59" s="1" t="n"/>
      <c r="B59" s="1" t="n"/>
      <c r="C59" s="1" t="n"/>
      <c r="D59" s="1" t="n"/>
      <c r="E59" s="1" t="n"/>
      <c r="F59" s="1" t="n"/>
      <c r="G59" s="1" t="n"/>
      <c r="H59" s="1" t="n"/>
      <c r="I59" s="1" t="n"/>
      <c r="J59" s="1" t="n"/>
      <c r="K59" s="1" t="n"/>
      <c r="L59" s="1" t="n"/>
      <c r="M59" s="1" t="n"/>
    </row>
    <row r="60" ht="15" customHeight="1">
      <c r="A60" s="1" t="n"/>
      <c r="B60" s="1" t="n"/>
      <c r="C60" s="1" t="n"/>
      <c r="D60" s="1" t="n"/>
      <c r="E60" s="1" t="n"/>
      <c r="F60" s="1" t="n"/>
      <c r="G60" s="1" t="n"/>
      <c r="H60" s="1" t="n"/>
      <c r="I60" s="1" t="n"/>
      <c r="J60" s="1" t="n"/>
      <c r="K60" s="1" t="n"/>
      <c r="L60" s="1" t="n"/>
      <c r="M60" s="1" t="n"/>
    </row>
    <row r="61" ht="15" customHeight="1">
      <c r="A61" s="1" t="n"/>
      <c r="B61" s="1" t="n"/>
      <c r="C61" s="1" t="n"/>
      <c r="D61" s="1" t="n"/>
      <c r="E61" s="1" t="n"/>
      <c r="F61" s="1" t="n"/>
      <c r="G61" s="1" t="n"/>
      <c r="H61" s="1" t="n"/>
      <c r="I61" s="1" t="n"/>
      <c r="J61" s="1" t="n"/>
      <c r="K61" s="1" t="n"/>
      <c r="L61" s="1" t="n"/>
      <c r="M61" s="1" t="n"/>
    </row>
    <row r="62" ht="15" customHeight="1">
      <c r="A62" s="1" t="n"/>
      <c r="B62" s="1" t="n"/>
      <c r="C62" s="1" t="n"/>
      <c r="D62" s="1" t="n"/>
      <c r="E62" s="1" t="n"/>
      <c r="F62" s="1" t="n"/>
      <c r="G62" s="1" t="n"/>
      <c r="H62" s="1" t="n"/>
      <c r="I62" s="1" t="n"/>
      <c r="J62" s="1" t="n"/>
      <c r="K62" s="1" t="n"/>
      <c r="L62" s="1" t="n"/>
      <c r="M62" s="1" t="n"/>
    </row>
    <row r="63" ht="15" customHeight="1">
      <c r="A63" s="1" t="n"/>
      <c r="B63" s="1" t="n"/>
      <c r="C63" s="1" t="n"/>
      <c r="D63" s="1" t="n"/>
      <c r="E63" s="1" t="n"/>
      <c r="F63" s="1" t="n"/>
      <c r="G63" s="1" t="n"/>
      <c r="H63" s="1" t="n"/>
      <c r="I63" s="1" t="n"/>
      <c r="J63" s="1" t="n"/>
      <c r="K63" s="1" t="n"/>
      <c r="L63" s="1" t="n"/>
      <c r="M63" s="1" t="n"/>
    </row>
    <row r="64" ht="15" customHeight="1">
      <c r="A64" s="1" t="n"/>
      <c r="B64" s="1" t="n"/>
      <c r="C64" s="1" t="n"/>
      <c r="D64" s="1" t="n"/>
      <c r="E64" s="1" t="n"/>
      <c r="F64" s="1" t="n"/>
      <c r="G64" s="1" t="n"/>
      <c r="H64" s="1" t="n"/>
      <c r="I64" s="1" t="n"/>
      <c r="J64" s="1" t="n"/>
      <c r="K64" s="1" t="n"/>
      <c r="L64" s="1" t="n"/>
      <c r="M64" s="1" t="n"/>
    </row>
    <row r="65" ht="15" customHeight="1">
      <c r="A65" s="1" t="n"/>
      <c r="B65" s="1" t="n"/>
      <c r="C65" s="1" t="n"/>
      <c r="D65" s="1" t="n"/>
      <c r="E65" s="1" t="n"/>
      <c r="F65" s="1" t="n"/>
      <c r="G65" s="1" t="n"/>
      <c r="H65" s="1" t="n"/>
      <c r="I65" s="1" t="n"/>
      <c r="J65" s="1" t="n"/>
      <c r="K65" s="1" t="n"/>
      <c r="L65" s="1" t="n"/>
      <c r="M65" s="1" t="n"/>
    </row>
    <row r="66" ht="15" customHeight="1">
      <c r="A66" s="1" t="n"/>
      <c r="B66" s="1" t="n"/>
      <c r="C66" s="1" t="n"/>
      <c r="D66" s="1" t="n"/>
      <c r="E66" s="1" t="n"/>
      <c r="F66" s="1" t="n"/>
      <c r="G66" s="1" t="n"/>
      <c r="H66" s="1" t="n"/>
      <c r="I66" s="1" t="n"/>
      <c r="J66" s="1" t="n"/>
      <c r="K66" s="1" t="n"/>
      <c r="L66" s="1" t="n"/>
      <c r="M66" s="1" t="n"/>
    </row>
    <row r="67" ht="15" customHeight="1">
      <c r="A67" s="1" t="n"/>
      <c r="B67" s="1" t="n"/>
      <c r="C67" s="1" t="n"/>
      <c r="D67" s="1" t="n"/>
      <c r="E67" s="1" t="n"/>
      <c r="F67" s="1" t="n"/>
      <c r="G67" s="1" t="n"/>
      <c r="H67" s="1" t="n"/>
      <c r="I67" s="1" t="n"/>
      <c r="J67" s="1" t="n"/>
      <c r="K67" s="1" t="n"/>
      <c r="L67" s="1" t="n"/>
      <c r="M67" s="1" t="n"/>
    </row>
    <row r="68" ht="15" customHeight="1">
      <c r="A68" s="1" t="n"/>
      <c r="B68" s="1" t="n"/>
      <c r="C68" s="1" t="n"/>
      <c r="D68" s="1" t="n"/>
      <c r="E68" s="1" t="n"/>
      <c r="F68" s="1" t="n"/>
      <c r="G68" s="1" t="n"/>
      <c r="H68" s="1" t="n"/>
      <c r="I68" s="1" t="n"/>
      <c r="J68" s="1" t="n"/>
      <c r="K68" s="1" t="n"/>
      <c r="L68" s="1" t="n"/>
      <c r="M68" s="1" t="n"/>
    </row>
    <row r="69" ht="15" customHeight="1">
      <c r="A69" s="1" t="n"/>
      <c r="B69" s="1" t="n"/>
      <c r="C69" s="1" t="n"/>
      <c r="D69" s="1" t="n"/>
      <c r="E69" s="1" t="n"/>
      <c r="F69" s="1" t="n"/>
      <c r="G69" s="1" t="n"/>
      <c r="H69" s="1" t="n"/>
      <c r="I69" s="1" t="n"/>
      <c r="J69" s="1" t="n"/>
      <c r="K69" s="1" t="n"/>
      <c r="L69" s="1" t="n"/>
      <c r="M69" s="1" t="n"/>
    </row>
    <row r="70" ht="15" customHeight="1">
      <c r="A70" s="1" t="n"/>
      <c r="B70" s="1" t="n"/>
      <c r="C70" s="1" t="n"/>
      <c r="D70" s="1" t="n"/>
      <c r="E70" s="1" t="n"/>
      <c r="F70" s="1" t="n"/>
      <c r="G70" s="1" t="n"/>
      <c r="H70" s="1" t="n"/>
      <c r="I70" s="1" t="n"/>
      <c r="J70" s="1" t="n"/>
      <c r="K70" s="1" t="n"/>
      <c r="L70" s="1" t="n"/>
      <c r="M70" s="1" t="n"/>
    </row>
    <row r="71" ht="15" customHeight="1">
      <c r="A71" s="1" t="n"/>
      <c r="B71" s="1" t="n"/>
      <c r="C71" s="1" t="n"/>
      <c r="D71" s="1" t="n"/>
      <c r="E71" s="1" t="n"/>
      <c r="F71" s="1" t="n"/>
      <c r="G71" s="1" t="n"/>
      <c r="H71" s="1" t="n"/>
      <c r="I71" s="1" t="n"/>
      <c r="J71" s="1" t="n"/>
      <c r="K71" s="1" t="n"/>
      <c r="L71" s="1" t="n"/>
      <c r="M71" s="1" t="n"/>
    </row>
    <row r="72" ht="15" customHeight="1">
      <c r="A72" s="1" t="n"/>
      <c r="B72" s="1" t="n"/>
      <c r="C72" s="1" t="n"/>
      <c r="D72" s="1" t="n"/>
      <c r="E72" s="1" t="n"/>
      <c r="F72" s="1" t="n"/>
      <c r="G72" s="1" t="n"/>
      <c r="H72" s="1" t="n"/>
      <c r="I72" s="1" t="n"/>
      <c r="J72" s="1" t="n"/>
      <c r="K72" s="1" t="n"/>
      <c r="L72" s="1" t="n"/>
      <c r="M72" s="1" t="n"/>
    </row>
    <row r="73" ht="15" customHeight="1">
      <c r="A73" s="1" t="n"/>
      <c r="B73" s="1" t="n"/>
      <c r="C73" s="1" t="n"/>
      <c r="D73" s="1" t="n"/>
      <c r="E73" s="1" t="n"/>
      <c r="F73" s="1" t="n"/>
      <c r="G73" s="1" t="n"/>
      <c r="H73" s="1" t="n"/>
      <c r="I73" s="1" t="n"/>
      <c r="J73" s="1" t="n"/>
      <c r="K73" s="1" t="n"/>
      <c r="L73" s="1" t="n"/>
      <c r="M73" s="1" t="n"/>
    </row>
    <row r="74" ht="15" customHeight="1">
      <c r="A74" s="1" t="n"/>
      <c r="B74" s="1" t="n"/>
      <c r="C74" s="1" t="n"/>
      <c r="D74" s="1" t="n"/>
      <c r="E74" s="1" t="n"/>
      <c r="F74" s="1" t="n"/>
      <c r="G74" s="1" t="n"/>
      <c r="H74" s="1" t="n"/>
      <c r="I74" s="1" t="n"/>
      <c r="J74" s="1" t="n"/>
      <c r="K74" s="1" t="n"/>
      <c r="L74" s="1" t="n"/>
      <c r="M74" s="1" t="n"/>
    </row>
    <row r="75" ht="15" customHeight="1">
      <c r="A75" s="1" t="n"/>
      <c r="B75" s="1" t="n"/>
      <c r="C75" s="1" t="n"/>
      <c r="D75" s="1" t="n"/>
      <c r="E75" s="1" t="n"/>
      <c r="F75" s="1" t="n"/>
      <c r="G75" s="1" t="n"/>
      <c r="H75" s="1" t="n"/>
      <c r="I75" s="1" t="n"/>
      <c r="J75" s="1" t="n"/>
      <c r="K75" s="1" t="n"/>
      <c r="L75" s="1" t="n"/>
      <c r="M75" s="1" t="n"/>
    </row>
    <row r="76" ht="15" customHeight="1">
      <c r="A76" s="1" t="n"/>
      <c r="B76" s="1" t="n"/>
      <c r="C76" s="1" t="n"/>
      <c r="D76" s="1" t="n"/>
      <c r="E76" s="1" t="n"/>
      <c r="F76" s="1" t="n"/>
      <c r="G76" s="1" t="n"/>
      <c r="H76" s="1" t="n"/>
      <c r="I76" s="1" t="n"/>
      <c r="J76" s="1" t="n"/>
      <c r="K76" s="1" t="n"/>
      <c r="L76" s="1" t="n"/>
      <c r="M76" s="1" t="n"/>
    </row>
    <row r="77" ht="15" customHeight="1">
      <c r="A77" s="1" t="n"/>
      <c r="B77" s="1" t="n"/>
      <c r="C77" s="1" t="n"/>
      <c r="D77" s="1" t="n"/>
      <c r="E77" s="1" t="n"/>
      <c r="F77" s="1" t="n"/>
      <c r="G77" s="1" t="n"/>
      <c r="H77" s="1" t="n"/>
      <c r="I77" s="1" t="n"/>
      <c r="J77" s="1" t="n"/>
      <c r="K77" s="1" t="n"/>
      <c r="L77" s="1" t="n"/>
      <c r="M77" s="1" t="n"/>
    </row>
    <row r="78" ht="15" customHeight="1">
      <c r="A78" s="1" t="n"/>
      <c r="B78" s="1" t="n"/>
      <c r="C78" s="1" t="n"/>
      <c r="D78" s="1" t="n"/>
      <c r="E78" s="1" t="n"/>
      <c r="F78" s="1" t="n"/>
      <c r="G78" s="1" t="n"/>
      <c r="H78" s="1" t="n"/>
      <c r="I78" s="1" t="n"/>
      <c r="J78" s="1" t="n"/>
      <c r="K78" s="1" t="n"/>
      <c r="L78" s="1" t="n"/>
      <c r="M78" s="1" t="n"/>
    </row>
    <row r="79" ht="15" customHeight="1">
      <c r="A79" s="1" t="n"/>
      <c r="B79" s="1" t="n"/>
      <c r="C79" s="1" t="n"/>
      <c r="D79" s="1" t="n"/>
      <c r="E79" s="1" t="n"/>
      <c r="F79" s="1" t="n"/>
      <c r="G79" s="1" t="n"/>
      <c r="H79" s="1" t="n"/>
      <c r="I79" s="1" t="n"/>
      <c r="J79" s="1" t="n"/>
      <c r="K79" s="1" t="n"/>
      <c r="L79" s="1" t="n"/>
      <c r="M79" s="1" t="n"/>
    </row>
    <row r="80" ht="15" customHeight="1">
      <c r="A80" s="1" t="n"/>
      <c r="B80" s="1" t="n"/>
      <c r="C80" s="1" t="n"/>
      <c r="D80" s="1" t="n"/>
      <c r="E80" s="1" t="n"/>
      <c r="F80" s="1" t="n"/>
      <c r="G80" s="1" t="n"/>
      <c r="H80" s="1" t="n"/>
      <c r="I80" s="1" t="n"/>
      <c r="J80" s="1" t="n"/>
      <c r="K80" s="1" t="n"/>
      <c r="L80" s="1" t="n"/>
      <c r="M80" s="1" t="n"/>
    </row>
    <row r="81" ht="15" customHeight="1">
      <c r="A81" s="1" t="n"/>
      <c r="B81" s="1" t="n"/>
      <c r="C81" s="1" t="n"/>
      <c r="D81" s="1" t="n"/>
      <c r="E81" s="1" t="n"/>
      <c r="F81" s="1" t="n"/>
      <c r="G81" s="1" t="n"/>
      <c r="H81" s="1" t="n"/>
      <c r="I81" s="1" t="n"/>
      <c r="J81" s="1" t="n"/>
      <c r="K81" s="1" t="n"/>
      <c r="L81" s="1" t="n"/>
      <c r="M81" s="1" t="n"/>
    </row>
    <row r="82" ht="15" customHeight="1">
      <c r="A82" s="1" t="n"/>
      <c r="B82" s="1" t="n"/>
      <c r="C82" s="1" t="n"/>
      <c r="D82" s="1" t="n"/>
      <c r="E82" s="1" t="n"/>
      <c r="F82" s="1" t="n"/>
      <c r="G82" s="1" t="n"/>
      <c r="H82" s="1" t="n"/>
      <c r="I82" s="1" t="n"/>
      <c r="J82" s="1" t="n"/>
      <c r="K82" s="1" t="n"/>
      <c r="L82" s="1" t="n"/>
      <c r="M82" s="1" t="n"/>
    </row>
    <row r="83" ht="15" customHeight="1">
      <c r="A83" s="1" t="n"/>
      <c r="B83" s="1" t="n"/>
      <c r="C83" s="1" t="n"/>
      <c r="D83" s="1" t="n"/>
      <c r="E83" s="1" t="n"/>
      <c r="F83" s="1" t="n"/>
      <c r="G83" s="1" t="n"/>
      <c r="H83" s="1" t="n"/>
      <c r="I83" s="1" t="n"/>
      <c r="J83" s="1" t="n"/>
      <c r="K83" s="1" t="n"/>
      <c r="L83" s="1" t="n"/>
      <c r="M83" s="1" t="n"/>
    </row>
    <row r="84" ht="15" customHeight="1">
      <c r="A84" s="1" t="n"/>
      <c r="B84" s="1" t="n"/>
      <c r="C84" s="1" t="n"/>
      <c r="D84" s="1" t="n"/>
      <c r="E84" s="1" t="n"/>
      <c r="F84" s="1" t="n"/>
      <c r="G84" s="1" t="n"/>
      <c r="H84" s="1" t="n"/>
      <c r="I84" s="1" t="n"/>
      <c r="J84" s="1" t="n"/>
      <c r="K84" s="1" t="n"/>
      <c r="L84" s="1" t="n"/>
      <c r="M84" s="1" t="n"/>
    </row>
    <row r="85" ht="15" customHeight="1">
      <c r="A85" s="1" t="n"/>
      <c r="B85" s="1" t="n"/>
      <c r="C85" s="1" t="n"/>
      <c r="D85" s="1" t="n"/>
      <c r="E85" s="1" t="n"/>
      <c r="F85" s="1" t="n"/>
      <c r="G85" s="1" t="n"/>
      <c r="H85" s="1" t="n"/>
      <c r="I85" s="1" t="n"/>
      <c r="J85" s="1" t="n"/>
      <c r="K85" s="1" t="n"/>
      <c r="L85" s="1" t="n"/>
      <c r="M85" s="1" t="n"/>
    </row>
    <row r="86" ht="15" customHeight="1">
      <c r="A86" s="1" t="n"/>
      <c r="B86" s="1" t="n"/>
      <c r="C86" s="1" t="n"/>
      <c r="D86" s="1" t="n"/>
      <c r="E86" s="1" t="n"/>
      <c r="F86" s="1" t="n"/>
      <c r="G86" s="1" t="n"/>
      <c r="H86" s="1" t="n"/>
      <c r="I86" s="1" t="n"/>
      <c r="J86" s="1" t="n"/>
      <c r="K86" s="1" t="n"/>
      <c r="L86" s="1" t="n"/>
      <c r="M86" s="1" t="n"/>
    </row>
    <row r="87" ht="15" customHeight="1">
      <c r="A87" s="1" t="n"/>
      <c r="B87" s="1" t="n"/>
      <c r="C87" s="1" t="n"/>
      <c r="D87" s="1" t="n"/>
      <c r="E87" s="1" t="n"/>
      <c r="F87" s="1" t="n"/>
      <c r="G87" s="1" t="n"/>
      <c r="H87" s="1" t="n"/>
      <c r="I87" s="1" t="n"/>
      <c r="J87" s="1" t="n"/>
      <c r="K87" s="1" t="n"/>
      <c r="L87" s="1" t="n"/>
      <c r="M87" s="1" t="n"/>
    </row>
    <row r="88" ht="15" customHeight="1">
      <c r="A88" s="1" t="n"/>
      <c r="B88" s="1" t="n"/>
      <c r="C88" s="1" t="n"/>
      <c r="D88" s="1" t="n"/>
      <c r="E88" s="1" t="n"/>
      <c r="F88" s="1" t="n"/>
      <c r="G88" s="1" t="n"/>
      <c r="H88" s="1" t="n"/>
      <c r="I88" s="1" t="n"/>
      <c r="J88" s="1" t="n"/>
      <c r="K88" s="1" t="n"/>
      <c r="L88" s="1" t="n"/>
      <c r="M88" s="1" t="n"/>
    </row>
    <row r="89" ht="15" customHeight="1">
      <c r="A89" s="1" t="n"/>
      <c r="B89" s="1" t="n"/>
      <c r="C89" s="1" t="n"/>
      <c r="D89" s="1" t="n"/>
      <c r="E89" s="1" t="n"/>
      <c r="F89" s="1" t="n"/>
      <c r="G89" s="1" t="n"/>
      <c r="H89" s="1" t="n"/>
      <c r="I89" s="1" t="n"/>
      <c r="J89" s="1" t="n"/>
      <c r="K89" s="1" t="n"/>
      <c r="L89" s="1" t="n"/>
      <c r="M89" s="1" t="n"/>
    </row>
    <row r="90" ht="15" customHeight="1">
      <c r="A90" s="1" t="n"/>
      <c r="B90" s="1" t="n"/>
      <c r="C90" s="1" t="n"/>
      <c r="D90" s="1" t="n"/>
      <c r="E90" s="1" t="n"/>
      <c r="F90" s="1" t="n"/>
      <c r="G90" s="1" t="n"/>
      <c r="H90" s="1" t="n"/>
      <c r="I90" s="1" t="n"/>
      <c r="J90" s="1" t="n"/>
      <c r="K90" s="1" t="n"/>
      <c r="L90" s="1" t="n"/>
      <c r="M90" s="1" t="n"/>
    </row>
    <row r="91" ht="15" customHeight="1">
      <c r="A91" s="1" t="n"/>
      <c r="B91" s="1" t="n"/>
      <c r="C91" s="1" t="n"/>
      <c r="D91" s="1" t="n"/>
      <c r="E91" s="1" t="n"/>
      <c r="F91" s="1" t="n"/>
      <c r="G91" s="1" t="n"/>
      <c r="H91" s="1" t="n"/>
      <c r="I91" s="1" t="n"/>
      <c r="J91" s="1" t="n"/>
      <c r="K91" s="1" t="n"/>
      <c r="L91" s="1" t="n"/>
      <c r="M91" s="1" t="n"/>
    </row>
    <row r="92" ht="15" customHeight="1">
      <c r="A92" s="1" t="n"/>
      <c r="B92" s="1" t="n"/>
      <c r="C92" s="1" t="n"/>
      <c r="D92" s="1" t="n"/>
      <c r="E92" s="1" t="n"/>
      <c r="F92" s="1" t="n"/>
      <c r="G92" s="1" t="n"/>
      <c r="H92" s="1" t="n"/>
      <c r="I92" s="1" t="n"/>
      <c r="J92" s="1" t="n"/>
      <c r="K92" s="1" t="n"/>
      <c r="L92" s="1" t="n"/>
      <c r="M92" s="1" t="n"/>
    </row>
    <row r="93" ht="15" customHeight="1">
      <c r="A93" s="1" t="n"/>
      <c r="B93" s="1" t="n"/>
      <c r="C93" s="1" t="n"/>
      <c r="D93" s="1" t="n"/>
      <c r="E93" s="1" t="n"/>
      <c r="F93" s="1" t="n"/>
      <c r="G93" s="1" t="n"/>
      <c r="H93" s="1" t="n"/>
      <c r="I93" s="1" t="n"/>
      <c r="J93" s="1" t="n"/>
      <c r="K93" s="1" t="n"/>
      <c r="L93" s="1" t="n"/>
      <c r="M93" s="1" t="n"/>
    </row>
    <row r="94" ht="15" customHeight="1">
      <c r="A94" s="1" t="n"/>
      <c r="B94" s="1" t="n"/>
      <c r="C94" s="1" t="n"/>
      <c r="D94" s="1" t="n"/>
      <c r="E94" s="1" t="n"/>
      <c r="F94" s="1" t="n"/>
      <c r="G94" s="1" t="n"/>
      <c r="H94" s="1" t="n"/>
      <c r="I94" s="1" t="n"/>
      <c r="J94" s="1" t="n"/>
      <c r="K94" s="1" t="n"/>
      <c r="L94" s="1" t="n"/>
      <c r="M94" s="1" t="n"/>
    </row>
    <row r="95" ht="15" customHeight="1">
      <c r="A95" s="1" t="n"/>
      <c r="B95" s="1" t="n"/>
      <c r="C95" s="1" t="n"/>
      <c r="D95" s="1" t="n"/>
      <c r="E95" s="1" t="n"/>
      <c r="F95" s="1" t="n"/>
      <c r="G95" s="1" t="n"/>
      <c r="H95" s="1" t="n"/>
      <c r="I95" s="1" t="n"/>
      <c r="J95" s="1" t="n"/>
      <c r="K95" s="1" t="n"/>
      <c r="L95" s="1" t="n"/>
      <c r="M95" s="1" t="n"/>
    </row>
    <row r="96" ht="15" customHeight="1">
      <c r="A96" s="1" t="n"/>
      <c r="B96" s="1" t="n"/>
      <c r="C96" s="1" t="n"/>
      <c r="D96" s="1" t="n"/>
      <c r="E96" s="1" t="n"/>
      <c r="F96" s="1" t="n"/>
      <c r="G96" s="1" t="n"/>
      <c r="H96" s="1" t="n"/>
      <c r="I96" s="1" t="n"/>
      <c r="J96" s="1" t="n"/>
      <c r="K96" s="1" t="n"/>
      <c r="L96" s="1" t="n"/>
      <c r="M96" s="1" t="n"/>
    </row>
    <row r="97" ht="15" customHeight="1">
      <c r="A97" s="1" t="n"/>
      <c r="B97" s="1" t="n"/>
      <c r="C97" s="1" t="n"/>
      <c r="D97" s="1" t="n"/>
      <c r="E97" s="1" t="n"/>
      <c r="F97" s="1" t="n"/>
      <c r="G97" s="1" t="n"/>
      <c r="H97" s="1" t="n"/>
      <c r="I97" s="1" t="n"/>
      <c r="J97" s="1" t="n"/>
      <c r="K97" s="1" t="n"/>
      <c r="L97" s="1" t="n"/>
      <c r="M97" s="1" t="n"/>
    </row>
    <row r="98" ht="15" customHeight="1">
      <c r="A98" s="1" t="n"/>
      <c r="B98" s="1" t="n"/>
      <c r="C98" s="1" t="n"/>
      <c r="D98" s="1" t="n"/>
      <c r="E98" s="1" t="n"/>
      <c r="F98" s="1" t="n"/>
      <c r="G98" s="1" t="n"/>
      <c r="H98" s="1" t="n"/>
      <c r="I98" s="1" t="n"/>
      <c r="J98" s="1" t="n"/>
      <c r="K98" s="1" t="n"/>
      <c r="L98" s="1" t="n"/>
      <c r="M98" s="1" t="n"/>
    </row>
    <row r="99" ht="15" customHeight="1">
      <c r="A99" s="1" t="n"/>
      <c r="B99" s="1" t="n"/>
      <c r="C99" s="1" t="n"/>
      <c r="D99" s="1" t="n"/>
      <c r="E99" s="1" t="n"/>
      <c r="F99" s="1" t="n"/>
      <c r="G99" s="1" t="n"/>
      <c r="H99" s="1" t="n"/>
      <c r="I99" s="1" t="n"/>
      <c r="J99" s="1" t="n"/>
      <c r="K99" s="1" t="n"/>
      <c r="L99" s="1" t="n"/>
      <c r="M99" s="1" t="n"/>
    </row>
    <row r="100" ht="15" customHeight="1">
      <c r="A100" s="1" t="n"/>
      <c r="B100" s="1" t="n"/>
      <c r="C100" s="1" t="n"/>
      <c r="D100" s="1" t="n"/>
      <c r="E100" s="1" t="n"/>
      <c r="F100" s="1" t="n"/>
      <c r="G100" s="1" t="n"/>
      <c r="H100" s="1" t="n"/>
      <c r="I100" s="1" t="n"/>
      <c r="J100" s="1" t="n"/>
      <c r="K100" s="1" t="n"/>
      <c r="L100" s="1" t="n"/>
      <c r="M100" s="1" t="n"/>
    </row>
    <row r="101" ht="15" customHeight="1">
      <c r="A101" s="1" t="n"/>
      <c r="B101" s="1" t="n"/>
      <c r="C101" s="1" t="n"/>
      <c r="D101" s="1" t="n"/>
      <c r="E101" s="1" t="n"/>
      <c r="F101" s="1" t="n"/>
      <c r="G101" s="1" t="n"/>
      <c r="H101" s="1" t="n"/>
      <c r="I101" s="1" t="n"/>
      <c r="J101" s="1" t="n"/>
      <c r="K101" s="1" t="n"/>
      <c r="L101" s="1" t="n"/>
      <c r="M101" s="1" t="n"/>
    </row>
    <row r="102" ht="15" customHeight="1">
      <c r="A102" s="1" t="n"/>
      <c r="B102" s="1" t="n"/>
      <c r="C102" s="1" t="n"/>
      <c r="D102" s="1" t="n"/>
      <c r="E102" s="1" t="n"/>
      <c r="F102" s="1" t="n"/>
      <c r="G102" s="1" t="n"/>
      <c r="H102" s="1" t="n"/>
      <c r="I102" s="1" t="n"/>
      <c r="J102" s="1" t="n"/>
      <c r="K102" s="1" t="n"/>
      <c r="L102" s="1" t="n"/>
      <c r="M102" s="1" t="n"/>
    </row>
    <row r="103" ht="15" customHeight="1">
      <c r="A103" s="1" t="n"/>
      <c r="B103" s="1" t="n"/>
      <c r="C103" s="1" t="n"/>
      <c r="D103" s="1" t="n"/>
      <c r="E103" s="1" t="n"/>
      <c r="F103" s="1" t="n"/>
      <c r="G103" s="1" t="n"/>
      <c r="H103" s="1" t="n"/>
      <c r="I103" s="1" t="n"/>
      <c r="J103" s="1" t="n"/>
      <c r="K103" s="1" t="n"/>
      <c r="L103" s="1" t="n"/>
      <c r="M103" s="1" t="n"/>
    </row>
    <row r="104" ht="15" customHeight="1">
      <c r="A104" s="1" t="n"/>
      <c r="B104" s="1" t="n"/>
      <c r="C104" s="1" t="n"/>
      <c r="D104" s="1" t="n"/>
      <c r="E104" s="1" t="n"/>
      <c r="F104" s="1" t="n"/>
      <c r="G104" s="1" t="n"/>
      <c r="H104" s="1" t="n"/>
      <c r="I104" s="1" t="n"/>
      <c r="J104" s="1" t="n"/>
      <c r="K104" s="1" t="n"/>
      <c r="L104" s="1" t="n"/>
      <c r="M104" s="1" t="n"/>
    </row>
    <row r="105" ht="15" customHeight="1">
      <c r="A105" s="1" t="n"/>
      <c r="B105" s="1" t="n"/>
      <c r="C105" s="1" t="n"/>
      <c r="D105" s="1" t="n"/>
      <c r="E105" s="1" t="n"/>
      <c r="F105" s="1" t="n"/>
      <c r="G105" s="1" t="n"/>
      <c r="H105" s="1" t="n"/>
      <c r="I105" s="1" t="n"/>
      <c r="J105" s="1" t="n"/>
      <c r="K105" s="1" t="n"/>
      <c r="L105" s="1" t="n"/>
      <c r="M105" s="1" t="n"/>
    </row>
    <row r="106" ht="15" customHeight="1">
      <c r="A106" s="1" t="n"/>
      <c r="B106" s="1" t="n"/>
      <c r="C106" s="1" t="n"/>
      <c r="D106" s="1" t="n"/>
      <c r="E106" s="1" t="n"/>
      <c r="F106" s="1" t="n"/>
      <c r="G106" s="1" t="n"/>
      <c r="H106" s="1" t="n"/>
      <c r="I106" s="1" t="n"/>
      <c r="J106" s="1" t="n"/>
      <c r="K106" s="1" t="n"/>
      <c r="L106" s="1" t="n"/>
      <c r="M106" s="1" t="n"/>
    </row>
    <row r="107" ht="15" customHeight="1">
      <c r="A107" s="1" t="n"/>
      <c r="B107" s="1" t="n"/>
      <c r="C107" s="1" t="n"/>
      <c r="D107" s="1" t="n"/>
      <c r="E107" s="1" t="n"/>
      <c r="F107" s="1" t="n"/>
      <c r="G107" s="1" t="n"/>
      <c r="H107" s="1" t="n"/>
      <c r="I107" s="1" t="n"/>
      <c r="J107" s="1" t="n"/>
      <c r="K107" s="1" t="n"/>
      <c r="L107" s="1" t="n"/>
      <c r="M107" s="1" t="n"/>
    </row>
    <row r="108" ht="15" customHeight="1">
      <c r="A108" s="1" t="n"/>
      <c r="B108" s="1" t="n"/>
      <c r="C108" s="1" t="n"/>
      <c r="D108" s="1" t="n"/>
      <c r="E108" s="1" t="n"/>
      <c r="F108" s="1" t="n"/>
      <c r="G108" s="1" t="n"/>
      <c r="H108" s="1" t="n"/>
      <c r="I108" s="1" t="n"/>
      <c r="J108" s="1" t="n"/>
      <c r="K108" s="1" t="n"/>
      <c r="L108" s="1" t="n"/>
      <c r="M108" s="1" t="n"/>
    </row>
    <row r="109" ht="15" customHeight="1">
      <c r="A109" s="1" t="n"/>
      <c r="B109" s="1" t="n"/>
      <c r="C109" s="1" t="n"/>
      <c r="D109" s="1" t="n"/>
      <c r="E109" s="1" t="n"/>
      <c r="F109" s="1" t="n"/>
      <c r="G109" s="1" t="n"/>
      <c r="H109" s="1" t="n"/>
      <c r="I109" s="1" t="n"/>
      <c r="J109" s="1" t="n"/>
      <c r="K109" s="1" t="n"/>
      <c r="L109" s="1" t="n"/>
      <c r="M109" s="1" t="n"/>
    </row>
    <row r="110" ht="15" customHeight="1">
      <c r="A110" s="1" t="n"/>
      <c r="B110" s="1" t="n"/>
      <c r="C110" s="1" t="n"/>
      <c r="D110" s="1" t="n"/>
      <c r="E110" s="1" t="n"/>
      <c r="F110" s="1" t="n"/>
      <c r="G110" s="1" t="n"/>
      <c r="H110" s="1" t="n"/>
      <c r="I110" s="1" t="n"/>
      <c r="J110" s="1" t="n"/>
      <c r="K110" s="1" t="n"/>
      <c r="L110" s="1" t="n"/>
      <c r="M110" s="1" t="n"/>
    </row>
    <row r="111" ht="15" customHeight="1">
      <c r="A111" s="1" t="n"/>
      <c r="B111" s="1" t="n"/>
      <c r="C111" s="1" t="n"/>
      <c r="D111" s="1" t="n"/>
      <c r="E111" s="1" t="n"/>
      <c r="F111" s="1" t="n"/>
      <c r="G111" s="1" t="n"/>
      <c r="H111" s="1" t="n"/>
      <c r="I111" s="1" t="n"/>
      <c r="J111" s="1" t="n"/>
      <c r="K111" s="1" t="n"/>
      <c r="L111" s="1" t="n"/>
      <c r="M111" s="1" t="n"/>
    </row>
    <row r="112" ht="15" customHeight="1">
      <c r="A112" s="1" t="n"/>
      <c r="B112" s="1" t="n"/>
      <c r="C112" s="1" t="n"/>
      <c r="D112" s="1" t="n"/>
      <c r="E112" s="1" t="n"/>
      <c r="F112" s="1" t="n"/>
      <c r="G112" s="1" t="n"/>
      <c r="H112" s="1" t="n"/>
      <c r="I112" s="1" t="n"/>
      <c r="J112" s="1" t="n"/>
      <c r="K112" s="1" t="n"/>
      <c r="L112" s="1" t="n"/>
      <c r="M112" s="1" t="n"/>
    </row>
    <row r="113" ht="15" customHeight="1">
      <c r="A113" s="1" t="n"/>
      <c r="B113" s="1" t="n"/>
      <c r="C113" s="1" t="n"/>
      <c r="D113" s="1" t="n"/>
      <c r="E113" s="1" t="n"/>
      <c r="F113" s="1" t="n"/>
      <c r="G113" s="1" t="n"/>
      <c r="H113" s="1" t="n"/>
      <c r="I113" s="1" t="n"/>
      <c r="J113" s="1" t="n"/>
      <c r="K113" s="1" t="n"/>
      <c r="L113" s="1" t="n"/>
      <c r="M113" s="1" t="n"/>
    </row>
    <row r="114" ht="15" customHeight="1">
      <c r="A114" s="1" t="n"/>
      <c r="B114" s="1" t="n"/>
      <c r="C114" s="1" t="n"/>
      <c r="D114" s="1" t="n"/>
      <c r="E114" s="1" t="n"/>
      <c r="F114" s="1" t="n"/>
      <c r="G114" s="1" t="n"/>
      <c r="H114" s="1" t="n"/>
      <c r="I114" s="1" t="n"/>
      <c r="J114" s="1" t="n"/>
      <c r="K114" s="1" t="n"/>
      <c r="L114" s="1" t="n"/>
      <c r="M114" s="1" t="n"/>
    </row>
    <row r="115" ht="15" customHeight="1">
      <c r="A115" s="1" t="n"/>
      <c r="B115" s="1" t="n"/>
      <c r="C115" s="1" t="n"/>
      <c r="D115" s="1" t="n"/>
      <c r="E115" s="1" t="n"/>
      <c r="F115" s="1" t="n"/>
      <c r="G115" s="1" t="n"/>
      <c r="H115" s="1" t="n"/>
      <c r="I115" s="1" t="n"/>
      <c r="J115" s="1" t="n"/>
      <c r="K115" s="1" t="n"/>
      <c r="L115" s="1" t="n"/>
      <c r="M115" s="1" t="n"/>
    </row>
    <row r="116" ht="15" customHeight="1">
      <c r="A116" s="1" t="n"/>
      <c r="B116" s="1" t="n"/>
      <c r="C116" s="1" t="n"/>
      <c r="D116" s="1" t="n"/>
      <c r="E116" s="1" t="n"/>
      <c r="F116" s="1" t="n"/>
      <c r="G116" s="1" t="n"/>
      <c r="H116" s="1" t="n"/>
      <c r="I116" s="1" t="n"/>
      <c r="J116" s="1" t="n"/>
      <c r="K116" s="1" t="n"/>
      <c r="L116" s="1" t="n"/>
      <c r="M116" s="1" t="n"/>
    </row>
    <row r="117" ht="15" customHeight="1">
      <c r="A117" s="1" t="n"/>
      <c r="B117" s="1" t="n"/>
      <c r="C117" s="1" t="n"/>
      <c r="D117" s="1" t="n"/>
      <c r="E117" s="1" t="n"/>
      <c r="F117" s="1" t="n"/>
      <c r="G117" s="1" t="n"/>
      <c r="H117" s="1" t="n"/>
      <c r="I117" s="1" t="n"/>
      <c r="J117" s="1" t="n"/>
      <c r="K117" s="1" t="n"/>
      <c r="L117" s="1" t="n"/>
      <c r="M117" s="1" t="n"/>
    </row>
    <row r="118" ht="15" customHeight="1">
      <c r="A118" s="1" t="n"/>
      <c r="B118" s="1" t="n"/>
      <c r="C118" s="1" t="n"/>
      <c r="D118" s="1" t="n"/>
      <c r="E118" s="1" t="n"/>
      <c r="F118" s="1" t="n"/>
      <c r="G118" s="1" t="n"/>
      <c r="H118" s="1" t="n"/>
      <c r="I118" s="1" t="n"/>
      <c r="J118" s="1" t="n"/>
      <c r="K118" s="1" t="n"/>
      <c r="L118" s="1" t="n"/>
      <c r="M118" s="1" t="n"/>
    </row>
    <row r="119" ht="15" customHeight="1">
      <c r="A119" s="1" t="n"/>
      <c r="B119" s="1" t="n"/>
      <c r="C119" s="1" t="n"/>
      <c r="D119" s="1" t="n"/>
      <c r="E119" s="1" t="n"/>
      <c r="F119" s="1" t="n"/>
      <c r="G119" s="1" t="n"/>
      <c r="H119" s="1" t="n"/>
      <c r="I119" s="1" t="n"/>
      <c r="J119" s="1" t="n"/>
      <c r="K119" s="1" t="n"/>
      <c r="L119" s="1" t="n"/>
      <c r="M119" s="1" t="n"/>
    </row>
    <row r="120" ht="15" customHeight="1">
      <c r="A120" s="1" t="n"/>
      <c r="B120" s="1" t="n"/>
      <c r="C120" s="1" t="n"/>
      <c r="D120" s="1" t="n"/>
      <c r="E120" s="1" t="n"/>
      <c r="F120" s="1" t="n"/>
      <c r="G120" s="1" t="n"/>
      <c r="H120" s="1" t="n"/>
      <c r="I120" s="1" t="n"/>
      <c r="J120" s="1" t="n"/>
      <c r="K120" s="1" t="n"/>
      <c r="L120" s="1" t="n"/>
      <c r="M120" s="1" t="n"/>
    </row>
    <row r="121" ht="15" customHeight="1">
      <c r="A121" s="1" t="n"/>
      <c r="B121" s="1" t="n"/>
      <c r="C121" s="1" t="n"/>
      <c r="D121" s="1" t="n"/>
      <c r="E121" s="1" t="n"/>
      <c r="F121" s="1" t="n"/>
      <c r="G121" s="1" t="n"/>
      <c r="H121" s="1" t="n"/>
      <c r="I121" s="1" t="n"/>
      <c r="J121" s="1" t="n"/>
      <c r="K121" s="1" t="n"/>
      <c r="L121" s="1" t="n"/>
      <c r="M121" s="1" t="n"/>
    </row>
    <row r="122" ht="15" customHeight="1">
      <c r="A122" s="1" t="n"/>
      <c r="B122" s="1" t="n"/>
      <c r="C122" s="1" t="n"/>
      <c r="D122" s="1" t="n"/>
      <c r="E122" s="1" t="n"/>
      <c r="F122" s="1" t="n"/>
      <c r="G122" s="1" t="n"/>
      <c r="H122" s="1" t="n"/>
      <c r="I122" s="1" t="n"/>
      <c r="J122" s="1" t="n"/>
      <c r="K122" s="1" t="n"/>
      <c r="L122" s="1" t="n"/>
      <c r="M122" s="1" t="n"/>
    </row>
    <row r="123" ht="15" customHeight="1">
      <c r="A123" s="1" t="n"/>
      <c r="B123" s="1" t="n"/>
      <c r="C123" s="1" t="n"/>
      <c r="D123" s="1" t="n"/>
      <c r="E123" s="1" t="n"/>
      <c r="F123" s="1" t="n"/>
      <c r="G123" s="1" t="n"/>
      <c r="H123" s="1" t="n"/>
      <c r="I123" s="1" t="n"/>
      <c r="J123" s="1" t="n"/>
      <c r="K123" s="1" t="n"/>
      <c r="L123" s="1" t="n"/>
      <c r="M123" s="1" t="n"/>
    </row>
    <row r="124" ht="15" customHeight="1">
      <c r="A124" s="1" t="n"/>
      <c r="B124" s="1" t="n"/>
      <c r="C124" s="1" t="n"/>
      <c r="D124" s="1" t="n"/>
      <c r="E124" s="1" t="n"/>
      <c r="F124" s="1" t="n"/>
      <c r="G124" s="1" t="n"/>
      <c r="H124" s="1" t="n"/>
      <c r="I124" s="1" t="n"/>
      <c r="J124" s="1" t="n"/>
      <c r="K124" s="1" t="n"/>
      <c r="L124" s="1" t="n"/>
      <c r="M124" s="1" t="n"/>
    </row>
    <row r="125" ht="15" customHeight="1">
      <c r="A125" s="1" t="n"/>
      <c r="B125" s="1" t="n"/>
      <c r="C125" s="1" t="n"/>
      <c r="D125" s="1" t="n"/>
      <c r="E125" s="1" t="n"/>
      <c r="F125" s="1" t="n"/>
      <c r="G125" s="1" t="n"/>
      <c r="H125" s="1" t="n"/>
      <c r="I125" s="1" t="n"/>
      <c r="J125" s="1" t="n"/>
      <c r="K125" s="1" t="n"/>
      <c r="L125" s="1" t="n"/>
      <c r="M125" s="1" t="n"/>
    </row>
    <row r="126" ht="15" customHeight="1">
      <c r="A126" s="1" t="n"/>
      <c r="B126" s="1" t="n"/>
      <c r="C126" s="1" t="n"/>
      <c r="D126" s="1" t="n"/>
      <c r="E126" s="1" t="n"/>
      <c r="F126" s="1" t="n"/>
      <c r="G126" s="1" t="n"/>
      <c r="H126" s="1" t="n"/>
      <c r="I126" s="1" t="n"/>
      <c r="J126" s="1" t="n"/>
      <c r="K126" s="1" t="n"/>
      <c r="L126" s="1" t="n"/>
      <c r="M126" s="1" t="n"/>
    </row>
    <row r="127" ht="15" customHeight="1">
      <c r="A127" s="1" t="n"/>
      <c r="B127" s="1" t="n"/>
      <c r="C127" s="1" t="n"/>
      <c r="D127" s="1" t="n"/>
      <c r="E127" s="1" t="n"/>
      <c r="F127" s="1" t="n"/>
      <c r="G127" s="1" t="n"/>
      <c r="H127" s="1" t="n"/>
      <c r="I127" s="1" t="n"/>
      <c r="J127" s="1" t="n"/>
      <c r="K127" s="1" t="n"/>
      <c r="L127" s="1" t="n"/>
      <c r="M127" s="1" t="n"/>
    </row>
    <row r="128" ht="15" customHeight="1">
      <c r="A128" s="1" t="n"/>
      <c r="B128" s="1" t="n"/>
      <c r="C128" s="1" t="n"/>
      <c r="D128" s="1" t="n"/>
      <c r="E128" s="1" t="n"/>
      <c r="F128" s="1" t="n"/>
      <c r="G128" s="1" t="n"/>
      <c r="H128" s="1" t="n"/>
      <c r="I128" s="1" t="n"/>
      <c r="J128" s="1" t="n"/>
      <c r="K128" s="1" t="n"/>
      <c r="L128" s="1" t="n"/>
      <c r="M128" s="1" t="n"/>
    </row>
    <row r="129" ht="15" customHeight="1">
      <c r="A129" s="1" t="n"/>
      <c r="B129" s="1" t="n"/>
      <c r="C129" s="1" t="n"/>
      <c r="D129" s="1" t="n"/>
      <c r="E129" s="1" t="n"/>
      <c r="F129" s="1" t="n"/>
      <c r="G129" s="1" t="n"/>
      <c r="H129" s="1" t="n"/>
      <c r="I129" s="1" t="n"/>
      <c r="J129" s="1" t="n"/>
      <c r="K129" s="1" t="n"/>
      <c r="L129" s="1" t="n"/>
      <c r="M129" s="1" t="n"/>
    </row>
    <row r="130" ht="15" customHeight="1">
      <c r="A130" s="1" t="n"/>
      <c r="B130" s="1" t="n"/>
      <c r="C130" s="1" t="n"/>
      <c r="D130" s="1" t="n"/>
      <c r="E130" s="1" t="n"/>
      <c r="F130" s="1" t="n"/>
      <c r="G130" s="1" t="n"/>
      <c r="H130" s="1" t="n"/>
      <c r="I130" s="1" t="n"/>
      <c r="J130" s="1" t="n"/>
      <c r="K130" s="1" t="n"/>
      <c r="L130" s="1" t="n"/>
      <c r="M130" s="1" t="n"/>
    </row>
    <row r="131" ht="15" customHeight="1">
      <c r="A131" s="1" t="n"/>
      <c r="B131" s="1" t="n"/>
      <c r="C131" s="1" t="n"/>
      <c r="D131" s="1" t="n"/>
      <c r="E131" s="1" t="n"/>
      <c r="F131" s="1" t="n"/>
      <c r="G131" s="1" t="n"/>
      <c r="H131" s="1" t="n"/>
      <c r="I131" s="1" t="n"/>
      <c r="J131" s="1" t="n"/>
      <c r="K131" s="1" t="n"/>
      <c r="L131" s="1" t="n"/>
      <c r="M131" s="1" t="n"/>
    </row>
    <row r="132" ht="15" customHeight="1">
      <c r="A132" s="1" t="n"/>
      <c r="B132" s="1" t="n"/>
      <c r="C132" s="1" t="n"/>
      <c r="D132" s="1" t="n"/>
      <c r="E132" s="1" t="n"/>
      <c r="F132" s="1" t="n"/>
      <c r="G132" s="1" t="n"/>
      <c r="H132" s="1" t="n"/>
      <c r="I132" s="1" t="n"/>
      <c r="J132" s="1" t="n"/>
      <c r="K132" s="1" t="n"/>
      <c r="L132" s="1" t="n"/>
      <c r="M132" s="1" t="n"/>
    </row>
    <row r="133" ht="15" customHeight="1">
      <c r="A133" s="1" t="n"/>
      <c r="B133" s="1" t="n"/>
      <c r="C133" s="1" t="n"/>
      <c r="D133" s="1" t="n"/>
      <c r="E133" s="1" t="n"/>
      <c r="F133" s="1" t="n"/>
      <c r="G133" s="1" t="n"/>
      <c r="H133" s="1" t="n"/>
      <c r="I133" s="1" t="n"/>
      <c r="J133" s="1" t="n"/>
      <c r="K133" s="1" t="n"/>
      <c r="L133" s="1" t="n"/>
      <c r="M133" s="1" t="n"/>
    </row>
    <row r="134" ht="15" customHeight="1">
      <c r="A134" s="1" t="n"/>
      <c r="B134" s="1" t="n"/>
      <c r="C134" s="1" t="n"/>
      <c r="D134" s="1" t="n"/>
      <c r="E134" s="1" t="n"/>
      <c r="F134" s="1" t="n"/>
      <c r="G134" s="1" t="n"/>
      <c r="H134" s="1" t="n"/>
      <c r="I134" s="1" t="n"/>
      <c r="J134" s="1" t="n"/>
      <c r="K134" s="1" t="n"/>
      <c r="L134" s="1" t="n"/>
      <c r="M134" s="1" t="n"/>
    </row>
    <row r="135" ht="15" customHeight="1">
      <c r="A135" s="1" t="n"/>
      <c r="B135" s="1" t="n"/>
      <c r="C135" s="1" t="n"/>
      <c r="D135" s="1" t="n"/>
      <c r="E135" s="1" t="n"/>
      <c r="F135" s="1" t="n"/>
      <c r="G135" s="1" t="n"/>
      <c r="H135" s="1" t="n"/>
      <c r="I135" s="1" t="n"/>
      <c r="J135" s="1" t="n"/>
      <c r="K135" s="1" t="n"/>
      <c r="L135" s="1" t="n"/>
      <c r="M135" s="1" t="n"/>
    </row>
    <row r="136" ht="15" customHeight="1">
      <c r="A136" s="1" t="n"/>
      <c r="B136" s="1" t="n"/>
      <c r="C136" s="1" t="n"/>
      <c r="D136" s="1" t="n"/>
      <c r="E136" s="1" t="n"/>
      <c r="F136" s="1" t="n"/>
      <c r="G136" s="1" t="n"/>
      <c r="H136" s="1" t="n"/>
      <c r="I136" s="1" t="n"/>
      <c r="J136" s="1" t="n"/>
      <c r="K136" s="1" t="n"/>
      <c r="L136" s="1" t="n"/>
      <c r="M136" s="1" t="n"/>
    </row>
    <row r="137" ht="15" customHeight="1">
      <c r="A137" s="1" t="n"/>
      <c r="B137" s="1" t="n"/>
      <c r="C137" s="1" t="n"/>
      <c r="D137" s="1" t="n"/>
      <c r="E137" s="1" t="n"/>
      <c r="F137" s="1" t="n"/>
      <c r="G137" s="1" t="n"/>
      <c r="H137" s="1" t="n"/>
      <c r="I137" s="1" t="n"/>
      <c r="J137" s="1" t="n"/>
      <c r="K137" s="1" t="n"/>
      <c r="L137" s="1" t="n"/>
      <c r="M137" s="1" t="n"/>
    </row>
    <row r="138" ht="15" customHeight="1">
      <c r="A138" s="1" t="n"/>
      <c r="B138" s="1" t="n"/>
      <c r="C138" s="1" t="n"/>
      <c r="D138" s="1" t="n"/>
      <c r="E138" s="1" t="n"/>
      <c r="F138" s="1" t="n"/>
      <c r="G138" s="1" t="n"/>
      <c r="H138" s="1" t="n"/>
      <c r="I138" s="1" t="n"/>
      <c r="J138" s="1" t="n"/>
      <c r="K138" s="1" t="n"/>
      <c r="L138" s="1" t="n"/>
      <c r="M138" s="1" t="n"/>
    </row>
    <row r="139" ht="15" customHeight="1">
      <c r="A139" s="1" t="n"/>
      <c r="B139" s="1" t="n"/>
      <c r="C139" s="1" t="n"/>
      <c r="D139" s="1" t="n"/>
      <c r="E139" s="1" t="n"/>
      <c r="F139" s="1" t="n"/>
      <c r="G139" s="1" t="n"/>
      <c r="H139" s="1" t="n"/>
      <c r="I139" s="1" t="n"/>
      <c r="J139" s="1" t="n"/>
      <c r="K139" s="1" t="n"/>
      <c r="L139" s="1" t="n"/>
      <c r="M139" s="1" t="n"/>
    </row>
    <row r="140" ht="15" customHeight="1">
      <c r="A140" s="1" t="n"/>
      <c r="B140" s="1" t="n"/>
      <c r="C140" s="1" t="n"/>
      <c r="D140" s="1" t="n"/>
      <c r="E140" s="1" t="n"/>
      <c r="F140" s="1" t="n"/>
      <c r="G140" s="1" t="n"/>
      <c r="H140" s="1" t="n"/>
      <c r="I140" s="1" t="n"/>
      <c r="J140" s="1" t="n"/>
      <c r="K140" s="1" t="n"/>
      <c r="L140" s="1" t="n"/>
      <c r="M140" s="1" t="n"/>
    </row>
    <row r="141" ht="15" customHeight="1">
      <c r="A141" s="1" t="n"/>
      <c r="B141" s="1" t="n"/>
      <c r="C141" s="1" t="n"/>
      <c r="D141" s="1" t="n"/>
      <c r="E141" s="1" t="n"/>
      <c r="F141" s="1" t="n"/>
      <c r="G141" s="1" t="n"/>
      <c r="H141" s="1" t="n"/>
      <c r="I141" s="1" t="n"/>
      <c r="J141" s="1" t="n"/>
      <c r="K141" s="1" t="n"/>
      <c r="L141" s="1" t="n"/>
      <c r="M141" s="1" t="n"/>
    </row>
    <row r="142" ht="15" customHeight="1">
      <c r="A142" s="1" t="n"/>
      <c r="B142" s="1" t="n"/>
      <c r="C142" s="1" t="n"/>
      <c r="D142" s="1" t="n"/>
      <c r="E142" s="1" t="n"/>
      <c r="F142" s="1" t="n"/>
      <c r="G142" s="1" t="n"/>
      <c r="H142" s="1" t="n"/>
      <c r="I142" s="1" t="n"/>
      <c r="J142" s="1" t="n"/>
      <c r="K142" s="1" t="n"/>
      <c r="L142" s="1" t="n"/>
      <c r="M142" s="1" t="n"/>
    </row>
    <row r="143" ht="15" customHeight="1">
      <c r="A143" s="1" t="n"/>
      <c r="B143" s="1" t="n"/>
      <c r="C143" s="1" t="n"/>
      <c r="D143" s="1" t="n"/>
      <c r="E143" s="1" t="n"/>
      <c r="F143" s="1" t="n"/>
      <c r="G143" s="1" t="n"/>
      <c r="H143" s="1" t="n"/>
      <c r="I143" s="1" t="n"/>
      <c r="J143" s="1" t="n"/>
      <c r="K143" s="1" t="n"/>
      <c r="L143" s="1" t="n"/>
      <c r="M143" s="1" t="n"/>
    </row>
    <row r="144" ht="15" customHeight="1">
      <c r="A144" s="1" t="n"/>
      <c r="B144" s="1" t="n"/>
      <c r="C144" s="1" t="n"/>
      <c r="D144" s="1" t="n"/>
      <c r="E144" s="1" t="n"/>
      <c r="F144" s="1" t="n"/>
      <c r="G144" s="1" t="n"/>
      <c r="H144" s="1" t="n"/>
      <c r="I144" s="1" t="n"/>
      <c r="J144" s="1" t="n"/>
      <c r="K144" s="1" t="n"/>
      <c r="L144" s="1" t="n"/>
      <c r="M144" s="1" t="n"/>
    </row>
    <row r="145" ht="15" customHeight="1">
      <c r="A145" s="1" t="n"/>
      <c r="B145" s="1" t="n"/>
      <c r="C145" s="1" t="n"/>
      <c r="D145" s="1" t="n"/>
      <c r="E145" s="1" t="n"/>
      <c r="F145" s="1" t="n"/>
      <c r="G145" s="1" t="n"/>
      <c r="H145" s="1" t="n"/>
      <c r="I145" s="1" t="n"/>
      <c r="J145" s="1" t="n"/>
      <c r="K145" s="1" t="n"/>
      <c r="L145" s="1" t="n"/>
      <c r="M145" s="1" t="n"/>
    </row>
    <row r="146" ht="15" customHeight="1">
      <c r="A146" s="1" t="n"/>
      <c r="B146" s="1" t="n"/>
      <c r="C146" s="1" t="n"/>
      <c r="D146" s="1" t="n"/>
      <c r="E146" s="1" t="n"/>
      <c r="F146" s="1" t="n"/>
      <c r="G146" s="1" t="n"/>
      <c r="H146" s="1" t="n"/>
      <c r="I146" s="1" t="n"/>
      <c r="J146" s="1" t="n"/>
      <c r="K146" s="1" t="n"/>
      <c r="L146" s="1" t="n"/>
      <c r="M146" s="1" t="n"/>
    </row>
    <row r="147" ht="15" customHeight="1">
      <c r="A147" s="1" t="n"/>
      <c r="B147" s="1" t="n"/>
      <c r="C147" s="1" t="n"/>
      <c r="D147" s="1" t="n"/>
      <c r="E147" s="1" t="n"/>
      <c r="F147" s="1" t="n"/>
      <c r="G147" s="1" t="n"/>
      <c r="H147" s="1" t="n"/>
      <c r="I147" s="1" t="n"/>
      <c r="J147" s="1" t="n"/>
      <c r="K147" s="1" t="n"/>
      <c r="L147" s="1" t="n"/>
      <c r="M147" s="1" t="n"/>
    </row>
    <row r="148" ht="15" customHeight="1">
      <c r="A148" s="1" t="n"/>
      <c r="B148" s="1" t="n"/>
      <c r="C148" s="1" t="n"/>
      <c r="D148" s="1" t="n"/>
      <c r="E148" s="1" t="n"/>
      <c r="F148" s="1" t="n"/>
      <c r="G148" s="1" t="n"/>
      <c r="H148" s="1" t="n"/>
      <c r="I148" s="1" t="n"/>
      <c r="J148" s="1" t="n"/>
      <c r="K148" s="1" t="n"/>
      <c r="L148" s="1" t="n"/>
      <c r="M148" s="1" t="n"/>
    </row>
    <row r="149" ht="15" customHeight="1">
      <c r="A149" s="1" t="n"/>
      <c r="B149" s="1" t="n"/>
      <c r="C149" s="1" t="n"/>
      <c r="D149" s="1" t="n"/>
      <c r="E149" s="1" t="n"/>
      <c r="F149" s="1" t="n"/>
      <c r="G149" s="1" t="n"/>
      <c r="H149" s="1" t="n"/>
      <c r="I149" s="1" t="n"/>
      <c r="J149" s="1" t="n"/>
      <c r="K149" s="1" t="n"/>
      <c r="L149" s="1" t="n"/>
      <c r="M149" s="1" t="n"/>
    </row>
    <row r="150" ht="15" customHeight="1">
      <c r="A150" s="1" t="n"/>
      <c r="B150" s="1" t="n"/>
      <c r="C150" s="1" t="n"/>
      <c r="D150" s="1" t="n"/>
      <c r="E150" s="1" t="n"/>
      <c r="F150" s="1" t="n"/>
      <c r="G150" s="1" t="n"/>
      <c r="H150" s="1" t="n"/>
      <c r="I150" s="1" t="n"/>
      <c r="J150" s="1" t="n"/>
      <c r="K150" s="1" t="n"/>
      <c r="L150" s="1" t="n"/>
      <c r="M150" s="1" t="n"/>
    </row>
    <row r="151" ht="15" customHeight="1">
      <c r="A151" s="1" t="n"/>
      <c r="B151" s="1" t="n"/>
      <c r="C151" s="1" t="n"/>
      <c r="D151" s="1" t="n"/>
      <c r="E151" s="1" t="n"/>
      <c r="F151" s="1" t="n"/>
      <c r="G151" s="1" t="n"/>
      <c r="H151" s="1" t="n"/>
      <c r="I151" s="1" t="n"/>
      <c r="J151" s="1" t="n"/>
      <c r="K151" s="1" t="n"/>
      <c r="L151" s="1" t="n"/>
      <c r="M151" s="1" t="n"/>
    </row>
    <row r="152" ht="15" customHeight="1">
      <c r="A152" s="1" t="n"/>
      <c r="B152" s="1" t="n"/>
      <c r="C152" s="1" t="n"/>
      <c r="D152" s="1" t="n"/>
      <c r="E152" s="1" t="n"/>
      <c r="F152" s="1" t="n"/>
      <c r="G152" s="1" t="n"/>
      <c r="H152" s="1" t="n"/>
      <c r="I152" s="1" t="n"/>
      <c r="J152" s="1" t="n"/>
      <c r="K152" s="1" t="n"/>
      <c r="L152" s="1" t="n"/>
      <c r="M152" s="1" t="n"/>
    </row>
    <row r="153" ht="15" customHeight="1">
      <c r="A153" s="1" t="n"/>
      <c r="B153" s="1" t="n"/>
      <c r="C153" s="1" t="n"/>
      <c r="D153" s="1" t="n"/>
      <c r="E153" s="1" t="n"/>
      <c r="F153" s="1" t="n"/>
      <c r="G153" s="1" t="n"/>
      <c r="H153" s="1" t="n"/>
      <c r="I153" s="1" t="n"/>
      <c r="J153" s="1" t="n"/>
      <c r="K153" s="1" t="n"/>
      <c r="L153" s="1" t="n"/>
      <c r="M153" s="1" t="n"/>
    </row>
    <row r="154" ht="15" customHeight="1">
      <c r="A154" s="1" t="n"/>
      <c r="B154" s="1" t="n"/>
      <c r="C154" s="1" t="n"/>
      <c r="D154" s="1" t="n"/>
      <c r="E154" s="1" t="n"/>
      <c r="F154" s="1" t="n"/>
      <c r="G154" s="1" t="n"/>
      <c r="H154" s="1" t="n"/>
      <c r="I154" s="1" t="n"/>
      <c r="J154" s="1" t="n"/>
      <c r="K154" s="1" t="n"/>
      <c r="L154" s="1" t="n"/>
      <c r="M154" s="1" t="n"/>
    </row>
    <row r="155" ht="15" customHeight="1">
      <c r="A155" s="1" t="n"/>
      <c r="B155" s="1" t="n"/>
      <c r="C155" s="1" t="n"/>
      <c r="D155" s="1" t="n"/>
      <c r="E155" s="1" t="n"/>
      <c r="F155" s="1" t="n"/>
      <c r="G155" s="1" t="n"/>
      <c r="H155" s="1" t="n"/>
      <c r="I155" s="1" t="n"/>
      <c r="J155" s="1" t="n"/>
      <c r="K155" s="1" t="n"/>
      <c r="L155" s="1" t="n"/>
      <c r="M155" s="1" t="n"/>
    </row>
    <row r="156" ht="15" customHeight="1">
      <c r="A156" s="1" t="n"/>
      <c r="B156" s="1" t="n"/>
      <c r="C156" s="1" t="n"/>
      <c r="D156" s="1" t="n"/>
      <c r="E156" s="1" t="n"/>
      <c r="F156" s="1" t="n"/>
      <c r="G156" s="1" t="n"/>
      <c r="H156" s="1" t="n"/>
      <c r="I156" s="1" t="n"/>
      <c r="J156" s="1" t="n"/>
      <c r="K156" s="1" t="n"/>
      <c r="L156" s="1" t="n"/>
      <c r="M156" s="1" t="n"/>
    </row>
    <row r="157" ht="15" customHeight="1">
      <c r="A157" s="1" t="n"/>
      <c r="B157" s="1" t="n"/>
      <c r="C157" s="1" t="n"/>
      <c r="D157" s="1" t="n"/>
      <c r="E157" s="1" t="n"/>
      <c r="F157" s="1" t="n"/>
      <c r="G157" s="1" t="n"/>
      <c r="H157" s="1" t="n"/>
      <c r="I157" s="1" t="n"/>
      <c r="J157" s="1" t="n"/>
      <c r="K157" s="1" t="n"/>
      <c r="L157" s="1" t="n"/>
      <c r="M157" s="1" t="n"/>
    </row>
    <row r="158" ht="15" customHeight="1">
      <c r="A158" s="1" t="n"/>
      <c r="B158" s="1" t="n"/>
      <c r="C158" s="1" t="n"/>
      <c r="D158" s="1" t="n"/>
      <c r="E158" s="1" t="n"/>
      <c r="F158" s="1" t="n"/>
      <c r="G158" s="1" t="n"/>
      <c r="H158" s="1" t="n"/>
      <c r="I158" s="1" t="n"/>
      <c r="J158" s="1" t="n"/>
      <c r="K158" s="1" t="n"/>
      <c r="L158" s="1" t="n"/>
      <c r="M158" s="1" t="n"/>
    </row>
    <row r="159" ht="15" customHeight="1">
      <c r="A159" s="1" t="n"/>
      <c r="B159" s="1" t="n"/>
      <c r="C159" s="1" t="n"/>
      <c r="D159" s="1" t="n"/>
      <c r="E159" s="1" t="n"/>
      <c r="F159" s="1" t="n"/>
      <c r="G159" s="1" t="n"/>
      <c r="H159" s="1" t="n"/>
      <c r="I159" s="1" t="n"/>
      <c r="J159" s="1" t="n"/>
      <c r="K159" s="1" t="n"/>
      <c r="L159" s="1" t="n"/>
      <c r="M159" s="1" t="n"/>
    </row>
    <row r="160" ht="15" customHeight="1">
      <c r="A160" s="1" t="n"/>
      <c r="B160" s="1" t="n"/>
      <c r="C160" s="1" t="n"/>
      <c r="D160" s="1" t="n"/>
      <c r="E160" s="1" t="n"/>
      <c r="F160" s="1" t="n"/>
      <c r="G160" s="1" t="n"/>
      <c r="H160" s="1" t="n"/>
      <c r="I160" s="1" t="n"/>
      <c r="J160" s="1" t="n"/>
      <c r="K160" s="1" t="n"/>
      <c r="L160" s="1" t="n"/>
      <c r="M160" s="1" t="n"/>
    </row>
    <row r="161" ht="15" customHeight="1">
      <c r="A161" s="1" t="n"/>
      <c r="B161" s="1" t="n"/>
      <c r="C161" s="1" t="n"/>
      <c r="D161" s="1" t="n"/>
      <c r="E161" s="1" t="n"/>
      <c r="F161" s="1" t="n"/>
      <c r="G161" s="1" t="n"/>
      <c r="H161" s="1" t="n"/>
      <c r="I161" s="1" t="n"/>
      <c r="J161" s="1" t="n"/>
      <c r="K161" s="1" t="n"/>
      <c r="L161" s="1" t="n"/>
      <c r="M161" s="1" t="n"/>
    </row>
    <row r="162" ht="15" customHeight="1">
      <c r="A162" s="1" t="n"/>
      <c r="B162" s="1" t="n"/>
      <c r="C162" s="1" t="n"/>
      <c r="D162" s="1" t="n"/>
      <c r="E162" s="1" t="n"/>
      <c r="F162" s="1" t="n"/>
      <c r="G162" s="1" t="n"/>
      <c r="H162" s="1" t="n"/>
      <c r="I162" s="1" t="n"/>
      <c r="J162" s="1" t="n"/>
      <c r="K162" s="1" t="n"/>
      <c r="L162" s="1" t="n"/>
      <c r="M162" s="1" t="n"/>
    </row>
    <row r="163" ht="15" customHeight="1">
      <c r="A163" s="1" t="n"/>
      <c r="B163" s="1" t="n"/>
      <c r="C163" s="1" t="n"/>
      <c r="D163" s="1" t="n"/>
      <c r="E163" s="1" t="n"/>
      <c r="F163" s="1" t="n"/>
      <c r="G163" s="1" t="n"/>
      <c r="H163" s="1" t="n"/>
      <c r="I163" s="1" t="n"/>
      <c r="J163" s="1" t="n"/>
      <c r="K163" s="1" t="n"/>
      <c r="L163" s="1" t="n"/>
      <c r="M163" s="1" t="n"/>
    </row>
    <row r="164" ht="15" customHeight="1">
      <c r="A164" s="1" t="n"/>
      <c r="B164" s="1" t="n"/>
      <c r="C164" s="1" t="n"/>
      <c r="D164" s="1" t="n"/>
      <c r="E164" s="1" t="n"/>
      <c r="F164" s="1" t="n"/>
      <c r="G164" s="1" t="n"/>
      <c r="H164" s="1" t="n"/>
      <c r="I164" s="1" t="n"/>
      <c r="J164" s="1" t="n"/>
      <c r="K164" s="1" t="n"/>
      <c r="L164" s="1" t="n"/>
      <c r="M164" s="1" t="n"/>
    </row>
    <row r="165" ht="15" customHeight="1">
      <c r="A165" s="1" t="n"/>
      <c r="B165" s="1" t="n"/>
      <c r="C165" s="1" t="n"/>
      <c r="D165" s="1" t="n"/>
      <c r="E165" s="1" t="n"/>
      <c r="F165" s="1" t="n"/>
      <c r="G165" s="1" t="n"/>
      <c r="H165" s="1" t="n"/>
      <c r="I165" s="1" t="n"/>
      <c r="J165" s="1" t="n"/>
      <c r="K165" s="1" t="n"/>
      <c r="L165" s="1" t="n"/>
      <c r="M165" s="1" t="n"/>
    </row>
    <row r="166" ht="15" customHeight="1">
      <c r="A166" s="1" t="n"/>
      <c r="B166" s="1" t="n"/>
      <c r="C166" s="1" t="n"/>
      <c r="D166" s="1" t="n"/>
      <c r="E166" s="1" t="n"/>
      <c r="F166" s="1" t="n"/>
      <c r="G166" s="1" t="n"/>
      <c r="H166" s="1" t="n"/>
      <c r="I166" s="1" t="n"/>
      <c r="J166" s="1" t="n"/>
      <c r="K166" s="1" t="n"/>
      <c r="L166" s="1" t="n"/>
      <c r="M166" s="1" t="n"/>
    </row>
    <row r="167" ht="15" customHeight="1">
      <c r="A167" s="1" t="n"/>
      <c r="B167" s="1" t="n"/>
      <c r="C167" s="1" t="n"/>
      <c r="D167" s="1" t="n"/>
      <c r="E167" s="1" t="n"/>
      <c r="F167" s="1" t="n"/>
      <c r="G167" s="1" t="n"/>
      <c r="H167" s="1" t="n"/>
      <c r="I167" s="1" t="n"/>
      <c r="J167" s="1" t="n"/>
      <c r="K167" s="1" t="n"/>
      <c r="L167" s="1" t="n"/>
      <c r="M167" s="1" t="n"/>
    </row>
    <row r="168" ht="15" customHeight="1">
      <c r="A168" s="1" t="n"/>
      <c r="B168" s="1" t="n"/>
      <c r="C168" s="1" t="n"/>
      <c r="D168" s="1" t="n"/>
      <c r="E168" s="1" t="n"/>
      <c r="F168" s="1" t="n"/>
      <c r="G168" s="1" t="n"/>
      <c r="H168" s="1" t="n"/>
      <c r="I168" s="1" t="n"/>
      <c r="J168" s="1" t="n"/>
      <c r="K168" s="1" t="n"/>
      <c r="L168" s="1" t="n"/>
      <c r="M168" s="1" t="n"/>
    </row>
    <row r="169" ht="15" customHeight="1">
      <c r="A169" s="1" t="n"/>
      <c r="B169" s="1" t="n"/>
      <c r="C169" s="1" t="n"/>
      <c r="D169" s="1" t="n"/>
      <c r="E169" s="1" t="n"/>
      <c r="F169" s="1" t="n"/>
      <c r="G169" s="1" t="n"/>
      <c r="H169" s="1" t="n"/>
      <c r="I169" s="1" t="n"/>
      <c r="J169" s="1" t="n"/>
      <c r="K169" s="1" t="n"/>
      <c r="L169" s="1" t="n"/>
      <c r="M169" s="1" t="n"/>
    </row>
    <row r="170" ht="15" customHeight="1">
      <c r="A170" s="1" t="n"/>
      <c r="B170" s="1" t="n"/>
      <c r="C170" s="1" t="n"/>
      <c r="D170" s="1" t="n"/>
      <c r="E170" s="1" t="n"/>
      <c r="F170" s="1" t="n"/>
      <c r="G170" s="1" t="n"/>
      <c r="H170" s="1" t="n"/>
      <c r="I170" s="1" t="n"/>
      <c r="J170" s="1" t="n"/>
      <c r="K170" s="1" t="n"/>
      <c r="L170" s="1" t="n"/>
      <c r="M170" s="1" t="n"/>
    </row>
    <row r="171" ht="15" customHeight="1">
      <c r="A171" s="1" t="n"/>
      <c r="B171" s="1" t="n"/>
      <c r="C171" s="1" t="n"/>
      <c r="D171" s="1" t="n"/>
      <c r="E171" s="1" t="n"/>
      <c r="F171" s="1" t="n"/>
      <c r="G171" s="1" t="n"/>
      <c r="H171" s="1" t="n"/>
      <c r="I171" s="1" t="n"/>
      <c r="J171" s="1" t="n"/>
      <c r="K171" s="1" t="n"/>
      <c r="L171" s="1" t="n"/>
      <c r="M171" s="1" t="n"/>
    </row>
    <row r="172" ht="15" customHeight="1">
      <c r="A172" s="1" t="n"/>
      <c r="B172" s="1" t="n"/>
      <c r="C172" s="1" t="n"/>
      <c r="D172" s="1" t="n"/>
      <c r="E172" s="1" t="n"/>
      <c r="F172" s="1" t="n"/>
      <c r="G172" s="1" t="n"/>
      <c r="H172" s="1" t="n"/>
      <c r="I172" s="1" t="n"/>
      <c r="J172" s="1" t="n"/>
      <c r="K172" s="1" t="n"/>
      <c r="L172" s="1" t="n"/>
      <c r="M172" s="1" t="n"/>
    </row>
    <row r="173" ht="15" customHeight="1">
      <c r="A173" s="1" t="n"/>
      <c r="B173" s="1" t="n"/>
      <c r="C173" s="1" t="n"/>
      <c r="D173" s="1" t="n"/>
      <c r="E173" s="1" t="n"/>
      <c r="F173" s="1" t="n"/>
      <c r="G173" s="1" t="n"/>
      <c r="H173" s="1" t="n"/>
      <c r="I173" s="1" t="n"/>
      <c r="J173" s="1" t="n"/>
      <c r="K173" s="1" t="n"/>
      <c r="L173" s="1" t="n"/>
      <c r="M173" s="1" t="n"/>
    </row>
    <row r="174" ht="15" customHeight="1">
      <c r="A174" s="1" t="n"/>
      <c r="B174" s="1" t="n"/>
      <c r="C174" s="1" t="n"/>
      <c r="D174" s="1" t="n"/>
      <c r="E174" s="1" t="n"/>
      <c r="F174" s="1" t="n"/>
      <c r="G174" s="1" t="n"/>
      <c r="H174" s="1" t="n"/>
      <c r="I174" s="1" t="n"/>
      <c r="J174" s="1" t="n"/>
      <c r="K174" s="1" t="n"/>
      <c r="L174" s="1" t="n"/>
      <c r="M174" s="1" t="n"/>
    </row>
    <row r="175" ht="15" customHeight="1">
      <c r="A175" s="1" t="n"/>
      <c r="B175" s="1" t="n"/>
      <c r="C175" s="1" t="n"/>
      <c r="D175" s="1" t="n"/>
      <c r="E175" s="1" t="n"/>
      <c r="F175" s="1" t="n"/>
      <c r="G175" s="1" t="n"/>
      <c r="H175" s="1" t="n"/>
      <c r="I175" s="1" t="n"/>
      <c r="J175" s="1" t="n"/>
      <c r="K175" s="1" t="n"/>
      <c r="L175" s="1" t="n"/>
      <c r="M175" s="1" t="n"/>
    </row>
    <row r="176" ht="15" customHeight="1">
      <c r="A176" s="1" t="n"/>
      <c r="B176" s="1" t="n"/>
      <c r="C176" s="1" t="n"/>
      <c r="D176" s="1" t="n"/>
      <c r="E176" s="1" t="n"/>
      <c r="F176" s="1" t="n"/>
      <c r="G176" s="1" t="n"/>
      <c r="H176" s="1" t="n"/>
      <c r="I176" s="1" t="n"/>
      <c r="J176" s="1" t="n"/>
      <c r="K176" s="1" t="n"/>
      <c r="L176" s="1" t="n"/>
      <c r="M176" s="1" t="n"/>
    </row>
    <row r="177" ht="15" customHeight="1">
      <c r="A177" s="1" t="n"/>
      <c r="B177" s="1" t="n"/>
      <c r="C177" s="1" t="n"/>
      <c r="D177" s="1" t="n"/>
      <c r="E177" s="1" t="n"/>
      <c r="F177" s="1" t="n"/>
      <c r="G177" s="1" t="n"/>
      <c r="H177" s="1" t="n"/>
      <c r="I177" s="1" t="n"/>
      <c r="J177" s="1" t="n"/>
      <c r="K177" s="1" t="n"/>
      <c r="L177" s="1" t="n"/>
      <c r="M177" s="1" t="n"/>
    </row>
    <row r="178" ht="15" customHeight="1">
      <c r="A178" s="1" t="n"/>
      <c r="B178" s="1" t="n"/>
      <c r="C178" s="1" t="n"/>
      <c r="D178" s="1" t="n"/>
      <c r="E178" s="1" t="n"/>
      <c r="F178" s="1" t="n"/>
      <c r="G178" s="1" t="n"/>
      <c r="H178" s="1" t="n"/>
      <c r="I178" s="1" t="n"/>
      <c r="J178" s="1" t="n"/>
      <c r="K178" s="1" t="n"/>
      <c r="L178" s="1" t="n"/>
      <c r="M178" s="1" t="n"/>
    </row>
    <row r="179" ht="15" customHeight="1">
      <c r="A179" s="1" t="n"/>
      <c r="B179" s="1" t="n"/>
      <c r="C179" s="1" t="n"/>
      <c r="D179" s="1" t="n"/>
      <c r="E179" s="1" t="n"/>
      <c r="F179" s="1" t="n"/>
      <c r="G179" s="1" t="n"/>
      <c r="H179" s="1" t="n"/>
      <c r="I179" s="1" t="n"/>
      <c r="J179" s="1" t="n"/>
      <c r="K179" s="1" t="n"/>
      <c r="L179" s="1" t="n"/>
      <c r="M179" s="1" t="n"/>
    </row>
    <row r="180" ht="15" customHeight="1">
      <c r="A180" s="1" t="n"/>
      <c r="B180" s="1" t="n"/>
      <c r="C180" s="1" t="n"/>
      <c r="D180" s="1" t="n"/>
      <c r="E180" s="1" t="n"/>
      <c r="F180" s="1" t="n"/>
      <c r="G180" s="1" t="n"/>
      <c r="H180" s="1" t="n"/>
      <c r="I180" s="1" t="n"/>
      <c r="J180" s="1" t="n"/>
      <c r="K180" s="1" t="n"/>
      <c r="L180" s="1" t="n"/>
      <c r="M180" s="1" t="n"/>
    </row>
    <row r="181" ht="15" customHeight="1">
      <c r="A181" s="1" t="n"/>
      <c r="B181" s="1" t="n"/>
      <c r="C181" s="1" t="n"/>
      <c r="D181" s="1" t="n"/>
      <c r="E181" s="1" t="n"/>
      <c r="F181" s="1" t="n"/>
      <c r="G181" s="1" t="n"/>
      <c r="H181" s="1" t="n"/>
      <c r="I181" s="1" t="n"/>
      <c r="J181" s="1" t="n"/>
      <c r="K181" s="1" t="n"/>
      <c r="L181" s="1" t="n"/>
      <c r="M181" s="1" t="n"/>
    </row>
    <row r="182" ht="15" customHeight="1">
      <c r="A182" s="1" t="n"/>
      <c r="B182" s="1" t="n"/>
      <c r="C182" s="1" t="n"/>
      <c r="D182" s="1" t="n"/>
      <c r="E182" s="1" t="n"/>
      <c r="F182" s="1" t="n"/>
      <c r="G182" s="1" t="n"/>
      <c r="H182" s="1" t="n"/>
      <c r="I182" s="1" t="n"/>
      <c r="J182" s="1" t="n"/>
      <c r="K182" s="1" t="n"/>
      <c r="L182" s="1" t="n"/>
      <c r="M182" s="1" t="n"/>
    </row>
    <row r="183" ht="15" customHeight="1">
      <c r="A183" s="1" t="n"/>
      <c r="B183" s="1" t="n"/>
      <c r="C183" s="1" t="n"/>
      <c r="D183" s="1" t="n"/>
      <c r="E183" s="1" t="n"/>
      <c r="F183" s="1" t="n"/>
      <c r="G183" s="1" t="n"/>
      <c r="H183" s="1" t="n"/>
      <c r="I183" s="1" t="n"/>
      <c r="J183" s="1" t="n"/>
      <c r="K183" s="1" t="n"/>
      <c r="L183" s="1" t="n"/>
      <c r="M183" s="1" t="n"/>
    </row>
    <row r="184" ht="15" customHeight="1">
      <c r="A184" s="1" t="n"/>
      <c r="B184" s="1" t="n"/>
      <c r="C184" s="1" t="n"/>
      <c r="D184" s="1" t="n"/>
      <c r="E184" s="1" t="n"/>
      <c r="F184" s="1" t="n"/>
      <c r="G184" s="1" t="n"/>
      <c r="H184" s="1" t="n"/>
      <c r="I184" s="1" t="n"/>
      <c r="J184" s="1" t="n"/>
      <c r="K184" s="1" t="n"/>
      <c r="L184" s="1" t="n"/>
      <c r="M184" s="1" t="n"/>
    </row>
    <row r="185" ht="15" customHeight="1">
      <c r="A185" s="1" t="n"/>
      <c r="B185" s="1" t="n"/>
      <c r="C185" s="1" t="n"/>
      <c r="D185" s="1" t="n"/>
      <c r="E185" s="1" t="n"/>
      <c r="F185" s="1" t="n"/>
      <c r="G185" s="1" t="n"/>
      <c r="H185" s="1" t="n"/>
      <c r="I185" s="1" t="n"/>
      <c r="J185" s="1" t="n"/>
      <c r="K185" s="1" t="n"/>
      <c r="L185" s="1" t="n"/>
      <c r="M185" s="1" t="n"/>
    </row>
    <row r="186" ht="15" customHeight="1">
      <c r="A186" s="1" t="n"/>
      <c r="B186" s="1" t="n"/>
      <c r="C186" s="1" t="n"/>
      <c r="D186" s="1" t="n"/>
      <c r="E186" s="1" t="n"/>
      <c r="F186" s="1" t="n"/>
      <c r="G186" s="1" t="n"/>
      <c r="H186" s="1" t="n"/>
      <c r="I186" s="1" t="n"/>
      <c r="J186" s="1" t="n"/>
      <c r="K186" s="1" t="n"/>
      <c r="L186" s="1" t="n"/>
      <c r="M186" s="1" t="n"/>
    </row>
    <row r="187" ht="15" customHeight="1">
      <c r="A187" s="1" t="n"/>
      <c r="B187" s="1" t="n"/>
      <c r="C187" s="1" t="n"/>
      <c r="D187" s="1" t="n"/>
      <c r="E187" s="1" t="n"/>
      <c r="F187" s="1" t="n"/>
      <c r="G187" s="1" t="n"/>
      <c r="H187" s="1" t="n"/>
      <c r="I187" s="1" t="n"/>
      <c r="J187" s="1" t="n"/>
      <c r="K187" s="1" t="n"/>
      <c r="L187" s="1" t="n"/>
      <c r="M187" s="1" t="n"/>
    </row>
    <row r="188" ht="15" customHeight="1">
      <c r="A188" s="1" t="n"/>
      <c r="B188" s="1" t="n"/>
      <c r="C188" s="1" t="n"/>
      <c r="D188" s="1" t="n"/>
      <c r="E188" s="1" t="n"/>
      <c r="F188" s="1" t="n"/>
      <c r="G188" s="1" t="n"/>
      <c r="H188" s="1" t="n"/>
      <c r="I188" s="1" t="n"/>
      <c r="J188" s="1" t="n"/>
      <c r="K188" s="1" t="n"/>
      <c r="L188" s="1" t="n"/>
      <c r="M188" s="1" t="n"/>
    </row>
    <row r="189" ht="15" customHeight="1">
      <c r="A189" s="1" t="n"/>
      <c r="B189" s="1" t="n"/>
      <c r="C189" s="1" t="n"/>
      <c r="D189" s="1" t="n"/>
      <c r="E189" s="1" t="n"/>
      <c r="F189" s="1" t="n"/>
      <c r="G189" s="1" t="n"/>
      <c r="H189" s="1" t="n"/>
      <c r="I189" s="1" t="n"/>
      <c r="J189" s="1" t="n"/>
      <c r="K189" s="1" t="n"/>
      <c r="L189" s="1" t="n"/>
      <c r="M189" s="1" t="n"/>
    </row>
    <row r="190" ht="15" customHeight="1">
      <c r="A190" s="1" t="n"/>
      <c r="B190" s="1" t="n"/>
      <c r="C190" s="1" t="n"/>
      <c r="D190" s="1" t="n"/>
      <c r="E190" s="1" t="n"/>
      <c r="F190" s="1" t="n"/>
      <c r="G190" s="1" t="n"/>
      <c r="H190" s="1" t="n"/>
      <c r="I190" s="1" t="n"/>
      <c r="J190" s="1" t="n"/>
      <c r="K190" s="1" t="n"/>
      <c r="L190" s="1" t="n"/>
      <c r="M190" s="1" t="n"/>
    </row>
    <row r="191" ht="15" customHeight="1">
      <c r="A191" s="1" t="n"/>
      <c r="B191" s="1" t="n"/>
      <c r="C191" s="1" t="n"/>
      <c r="D191" s="1" t="n"/>
      <c r="E191" s="1" t="n"/>
      <c r="F191" s="1" t="n"/>
      <c r="G191" s="1" t="n"/>
      <c r="H191" s="1" t="n"/>
      <c r="I191" s="1" t="n"/>
      <c r="J191" s="1" t="n"/>
      <c r="K191" s="1" t="n"/>
      <c r="L191" s="1" t="n"/>
      <c r="M191" s="1" t="n"/>
    </row>
    <row r="192" ht="15" customHeight="1">
      <c r="A192" s="1" t="n"/>
      <c r="B192" s="1" t="n"/>
      <c r="C192" s="1" t="n"/>
      <c r="D192" s="1" t="n"/>
      <c r="E192" s="1" t="n"/>
      <c r="F192" s="1" t="n"/>
      <c r="G192" s="1" t="n"/>
      <c r="H192" s="1" t="n"/>
      <c r="I192" s="1" t="n"/>
      <c r="J192" s="1" t="n"/>
      <c r="K192" s="1" t="n"/>
      <c r="L192" s="1" t="n"/>
      <c r="M192" s="1" t="n"/>
    </row>
    <row r="193" ht="15" customHeight="1">
      <c r="A193" s="1" t="n"/>
      <c r="B193" s="1" t="n"/>
      <c r="C193" s="1" t="n"/>
      <c r="D193" s="1" t="n"/>
      <c r="E193" s="1" t="n"/>
      <c r="F193" s="1" t="n"/>
      <c r="G193" s="1" t="n"/>
      <c r="H193" s="1" t="n"/>
      <c r="I193" s="1" t="n"/>
      <c r="J193" s="1" t="n"/>
      <c r="K193" s="1" t="n"/>
      <c r="L193" s="1" t="n"/>
      <c r="M193" s="1" t="n"/>
    </row>
    <row r="194" ht="15" customHeight="1">
      <c r="A194" s="1" t="n"/>
      <c r="B194" s="1" t="n"/>
      <c r="C194" s="1" t="n"/>
      <c r="D194" s="1" t="n"/>
      <c r="E194" s="1" t="n"/>
      <c r="F194" s="1" t="n"/>
      <c r="G194" s="1" t="n"/>
      <c r="H194" s="1" t="n"/>
      <c r="I194" s="1" t="n"/>
      <c r="J194" s="1" t="n"/>
      <c r="K194" s="1" t="n"/>
      <c r="L194" s="1" t="n"/>
      <c r="M194" s="1" t="n"/>
    </row>
    <row r="195" ht="15" customHeight="1">
      <c r="A195" s="1" t="n"/>
      <c r="B195" s="1" t="n"/>
      <c r="C195" s="1" t="n"/>
      <c r="D195" s="1" t="n"/>
      <c r="E195" s="1" t="n"/>
      <c r="F195" s="1" t="n"/>
      <c r="G195" s="1" t="n"/>
      <c r="H195" s="1" t="n"/>
      <c r="I195" s="1" t="n"/>
      <c r="J195" s="1" t="n"/>
      <c r="K195" s="1" t="n"/>
      <c r="L195" s="1" t="n"/>
      <c r="M195" s="1" t="n"/>
    </row>
    <row r="196" ht="15" customHeight="1">
      <c r="A196" s="1" t="n"/>
      <c r="B196" s="1" t="n"/>
      <c r="C196" s="1" t="n"/>
      <c r="D196" s="1" t="n"/>
      <c r="E196" s="1" t="n"/>
      <c r="F196" s="1" t="n"/>
      <c r="G196" s="1" t="n"/>
      <c r="H196" s="1" t="n"/>
      <c r="I196" s="1" t="n"/>
      <c r="J196" s="1" t="n"/>
      <c r="K196" s="1" t="n"/>
      <c r="L196" s="1" t="n"/>
      <c r="M196" s="1" t="n"/>
    </row>
    <row r="197" ht="15" customHeight="1">
      <c r="A197" s="1" t="n"/>
      <c r="B197" s="1" t="n"/>
      <c r="C197" s="1" t="n"/>
      <c r="D197" s="1" t="n"/>
      <c r="E197" s="1" t="n"/>
      <c r="F197" s="1" t="n"/>
      <c r="G197" s="1" t="n"/>
      <c r="H197" s="1" t="n"/>
      <c r="I197" s="1" t="n"/>
      <c r="J197" s="1" t="n"/>
      <c r="K197" s="1" t="n"/>
      <c r="L197" s="1" t="n"/>
      <c r="M197" s="1" t="n"/>
    </row>
    <row r="198" ht="15" customHeight="1">
      <c r="A198" s="1" t="n"/>
      <c r="B198" s="1" t="n"/>
      <c r="C198" s="1" t="n"/>
      <c r="D198" s="1" t="n"/>
      <c r="E198" s="1" t="n"/>
      <c r="F198" s="1" t="n"/>
      <c r="G198" s="1" t="n"/>
      <c r="H198" s="1" t="n"/>
      <c r="I198" s="1" t="n"/>
      <c r="J198" s="1" t="n"/>
      <c r="K198" s="1" t="n"/>
      <c r="L198" s="1" t="n"/>
      <c r="M198" s="1" t="n"/>
    </row>
    <row r="199" ht="15" customHeight="1">
      <c r="A199" s="1" t="n"/>
      <c r="B199" s="1" t="n"/>
      <c r="C199" s="1" t="n"/>
      <c r="D199" s="1" t="n"/>
      <c r="E199" s="1" t="n"/>
      <c r="F199" s="1" t="n"/>
      <c r="G199" s="1" t="n"/>
      <c r="H199" s="1" t="n"/>
      <c r="I199" s="1" t="n"/>
      <c r="J199" s="1" t="n"/>
      <c r="K199" s="1" t="n"/>
      <c r="L199" s="1" t="n"/>
      <c r="M199" s="1" t="n"/>
    </row>
    <row r="200" ht="15" customHeight="1">
      <c r="A200" s="1" t="n"/>
      <c r="B200" s="1" t="n"/>
      <c r="C200" s="1" t="n"/>
      <c r="D200" s="1" t="n"/>
      <c r="E200" s="1" t="n"/>
      <c r="F200" s="1" t="n"/>
      <c r="G200" s="1" t="n"/>
      <c r="H200" s="1" t="n"/>
      <c r="I200" s="1" t="n"/>
      <c r="J200" s="1" t="n"/>
      <c r="K200" s="1" t="n"/>
      <c r="L200" s="1" t="n"/>
      <c r="M200" s="1" t="n"/>
    </row>
  </sheetData>
  <mergeCells count="2">
    <mergeCell ref="A2:L2"/>
    <mergeCell ref="A1:L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200"/>
  <sheetViews>
    <sheetView workbookViewId="0">
      <selection activeCell="A1" sqref="A1:M1"/>
    </sheetView>
  </sheetViews>
  <sheetFormatPr baseColWidth="10" defaultColWidth="8.83203125" defaultRowHeight="14"/>
  <cols>
    <col width="30" customWidth="1" min="1" max="1"/>
    <col width="18" customWidth="1" min="2" max="2"/>
    <col width="52" customWidth="1" min="3" max="3"/>
    <col width="33" customWidth="1" min="4" max="4"/>
    <col width="34" customWidth="1" min="5" max="5"/>
    <col width="28" customWidth="1" min="6" max="8"/>
    <col width="38" customWidth="1" min="9" max="9"/>
    <col width="24" customWidth="1" min="10" max="10"/>
    <col width="48" customWidth="1" min="11" max="11"/>
    <col width="18" customWidth="1" min="12" max="12"/>
    <col width="35" customWidth="1" min="13" max="13"/>
  </cols>
  <sheetData>
    <row r="1" ht="42.75" customHeight="1">
      <c r="A1" s="16" t="inlineStr">
        <is>
          <t>Calculation Model and Double-Counting Rules</t>
        </is>
      </c>
    </row>
    <row r="2" ht="40" customHeight="1">
      <c r="A2" s="17" t="inlineStr">
        <is>
          <t>Each additive component must have a defensible formula. Subtotals and diagnostic scores must never be added again to the total.</t>
        </is>
      </c>
    </row>
    <row r="3" ht="15" customHeight="1">
      <c r="A3" s="1" t="n"/>
      <c r="B3" s="1" t="n"/>
      <c r="C3" s="1" t="n"/>
      <c r="D3" s="1" t="n"/>
      <c r="E3" s="1" t="n"/>
      <c r="F3" s="1" t="n"/>
      <c r="G3" s="1" t="n"/>
      <c r="H3" s="1" t="n"/>
      <c r="I3" s="1" t="n"/>
      <c r="J3" s="1" t="n"/>
      <c r="K3" s="1" t="n"/>
      <c r="L3" s="1" t="n"/>
      <c r="M3" s="1" t="n"/>
    </row>
    <row r="4" ht="30" customHeight="1">
      <c r="A4" s="4" t="inlineStr">
        <is>
          <t>Component</t>
        </is>
      </c>
      <c r="B4" s="4" t="inlineStr">
        <is>
          <t>Additive?</t>
        </is>
      </c>
      <c r="C4" s="4" t="inlineStr">
        <is>
          <t>Core Formula</t>
        </is>
      </c>
      <c r="D4" s="4" t="inlineStr">
        <is>
          <t>Required Inputs</t>
        </is>
      </c>
      <c r="E4" s="4" t="inlineStr">
        <is>
          <t>Benchmark Inputs</t>
        </is>
      </c>
      <c r="F4" s="4" t="inlineStr">
        <is>
          <t>Low Scenario</t>
        </is>
      </c>
      <c r="G4" s="4" t="inlineStr">
        <is>
          <t>Mid Scenario</t>
        </is>
      </c>
      <c r="H4" s="4" t="inlineStr">
        <is>
          <t>High Scenario</t>
        </is>
      </c>
      <c r="I4" s="4" t="inlineStr">
        <is>
          <t>Avoid Double Counting With</t>
        </is>
      </c>
      <c r="J4" s="4" t="inlineStr">
        <is>
          <t>Methodology Status</t>
        </is>
      </c>
      <c r="K4" s="4" t="inlineStr">
        <is>
          <t>Explanation to User</t>
        </is>
      </c>
      <c r="L4" s="4" t="inlineStr">
        <is>
          <t>Jaspen Enhancement?</t>
        </is>
      </c>
      <c r="M4" s="4" t="inlineStr">
        <is>
          <t>Validation Needed</t>
        </is>
      </c>
    </row>
    <row r="5" ht="30" customHeight="1">
      <c r="A5" s="3" t="inlineStr">
        <is>
          <t>Recruiting &amp; sourcing</t>
        </is>
      </c>
      <c r="B5" s="3" t="inlineStr">
        <is>
          <t>Yes</t>
        </is>
      </c>
      <c r="C5" s="3" t="inlineStr">
        <is>
          <t>Departures × Cost per hire</t>
        </is>
      </c>
      <c r="D5" s="3" t="inlineStr">
        <is>
          <t>Departures</t>
        </is>
      </c>
      <c r="E5" s="3" t="inlineStr">
        <is>
          <t>Cost per hire by executive/nonexecutive</t>
        </is>
      </c>
      <c r="F5" s="3" t="inlineStr">
        <is>
          <t>CPH × 0.85</t>
        </is>
      </c>
      <c r="G5" s="3" t="inlineStr">
        <is>
          <t>CPH</t>
        </is>
      </c>
      <c r="H5" s="3" t="inlineStr">
        <is>
          <t>CPH × 1.15</t>
        </is>
      </c>
      <c r="I5" s="3" t="inlineStr">
        <is>
          <t>Hiring-admin labor if benchmark already includes it</t>
        </is>
      </c>
      <c r="J5" s="3" t="inlineStr">
        <is>
          <t>Grounded</t>
        </is>
      </c>
      <c r="K5" s="3" t="inlineStr">
        <is>
          <t>Estimated cost to source and recruit a replacement.</t>
        </is>
      </c>
      <c r="L5" s="3" t="inlineStr">
        <is>
          <t>No</t>
        </is>
      </c>
      <c r="M5" s="3" t="inlineStr">
        <is>
          <t>Confirm what SHRM benchmark includes</t>
        </is>
      </c>
    </row>
    <row r="6" ht="30" customHeight="1">
      <c r="A6" s="3" t="inlineStr">
        <is>
          <t>Hiring administration</t>
        </is>
      </c>
      <c r="B6" s="3" t="inlineStr">
        <is>
          <t>Conditional</t>
        </is>
      </c>
      <c r="C6" s="3" t="inlineStr">
        <is>
          <t>Departures × internal hiring hours × blended hourly rate</t>
        </is>
      </c>
      <c r="D6" s="3" t="inlineStr">
        <is>
          <t>Internal hours; rate</t>
        </is>
      </c>
      <c r="E6" s="3" t="inlineStr">
        <is>
          <t>Optional hours benchmark</t>
        </is>
      </c>
      <c r="F6" s="3" t="inlineStr">
        <is>
          <t>Hours × 0.8</t>
        </is>
      </c>
      <c r="G6" s="3" t="inlineStr">
        <is>
          <t>Hours</t>
        </is>
      </c>
      <c r="H6" s="3" t="inlineStr">
        <is>
          <t>Hours × 1.2</t>
        </is>
      </c>
      <c r="I6" s="3" t="inlineStr">
        <is>
          <t>Cost per hire benchmark</t>
        </is>
      </c>
      <c r="J6" s="3" t="inlineStr">
        <is>
          <t>Needs scope decision</t>
        </is>
      </c>
      <c r="K6" s="3" t="inlineStr">
        <is>
          <t>Internal interview and administrative time not already included in recruiting cost.</t>
        </is>
      </c>
      <c r="L6" s="3" t="inlineStr">
        <is>
          <t>No</t>
        </is>
      </c>
      <c r="M6" s="3" t="inlineStr">
        <is>
          <t>Choose either bundled or itemized mode</t>
        </is>
      </c>
    </row>
    <row r="7" ht="30" customHeight="1">
      <c r="A7" s="3" t="inlineStr">
        <is>
          <t>Vacancy capacity loss</t>
        </is>
      </c>
      <c r="B7" s="3" t="inlineStr">
        <is>
          <t>Yes</t>
        </is>
      </c>
      <c r="C7" s="3" t="inlineStr">
        <is>
          <t>Departures × vacancy working days × loaded daily cost × uncovered work %</t>
        </is>
      </c>
      <c r="D7" s="3" t="inlineStr">
        <is>
          <t>Salary; days; uncovered %</t>
        </is>
      </c>
      <c r="E7" s="3" t="inlineStr">
        <is>
          <t>Time to fill; compensation multiplier</t>
        </is>
      </c>
      <c r="F7" s="3" t="inlineStr">
        <is>
          <t>Days × 0.85; uncovered -10 pts</t>
        </is>
      </c>
      <c r="G7" s="3" t="inlineStr">
        <is>
          <t>Selected inputs</t>
        </is>
      </c>
      <c r="H7" s="3" t="inlineStr">
        <is>
          <t>Days × 1.15; uncovered +10 pts</t>
        </is>
      </c>
      <c r="I7" s="3" t="inlineStr">
        <is>
          <t>Ramp-up and project disruption</t>
        </is>
      </c>
      <c r="J7" s="3" t="inlineStr">
        <is>
          <t>Defensible model</t>
        </is>
      </c>
      <c r="K7" s="3" t="inlineStr">
        <is>
          <t>Estimated value of work not covered while the role is vacant.</t>
        </is>
      </c>
      <c r="L7" s="3" t="inlineStr">
        <is>
          <t>No</t>
        </is>
      </c>
      <c r="M7" s="3" t="inlineStr">
        <is>
          <t>Validate uncovered-work default</t>
        </is>
      </c>
    </row>
    <row r="8" ht="30" customHeight="1">
      <c r="A8" s="3" t="inlineStr">
        <is>
          <t>Onboarding &amp; direct training</t>
        </is>
      </c>
      <c r="B8" s="3" t="inlineStr">
        <is>
          <t>Yes</t>
        </is>
      </c>
      <c r="C8" s="3" t="inlineStr">
        <is>
          <t>Departures × (direct training cost + onboarding labor hours × blended hourly rate)</t>
        </is>
      </c>
      <c r="D8" s="3" t="inlineStr">
        <is>
          <t>Direct cost; hours; rate</t>
        </is>
      </c>
      <c r="E8" s="3" t="inlineStr">
        <is>
          <t>Default direct cost/hours</t>
        </is>
      </c>
      <c r="F8" s="3" t="inlineStr">
        <is>
          <t>×0.8</t>
        </is>
      </c>
      <c r="G8" s="3" t="inlineStr">
        <is>
          <t>Selected inputs</t>
        </is>
      </c>
      <c r="H8" s="3" t="inlineStr">
        <is>
          <t>×1.2</t>
        </is>
      </c>
      <c r="I8" s="3" t="inlineStr">
        <is>
          <t>Ramp-up productivity</t>
        </is>
      </c>
      <c r="J8" s="3" t="inlineStr">
        <is>
          <t>Common model</t>
        </is>
      </c>
      <c r="K8" s="3" t="inlineStr">
        <is>
          <t>Direct training, systems, and employee time required to onboard the replacement.</t>
        </is>
      </c>
      <c r="L8" s="3" t="inlineStr">
        <is>
          <t>No</t>
        </is>
      </c>
      <c r="M8" s="3" t="inlineStr">
        <is>
          <t>Find robust default benchmark</t>
        </is>
      </c>
    </row>
    <row r="9" ht="30" customHeight="1">
      <c r="A9" s="3" t="inlineStr">
        <is>
          <t>Ramp-up productivity loss</t>
        </is>
      </c>
      <c r="B9" s="3" t="inlineStr">
        <is>
          <t>Yes</t>
        </is>
      </c>
      <c r="C9" s="3" t="inlineStr">
        <is>
          <t>Departures × loaded monthly cost × ramp months × (1 - average productivity %)</t>
        </is>
      </c>
      <c r="D9" s="3" t="inlineStr">
        <is>
          <t>Salary; ramp months; productivity %</t>
        </is>
      </c>
      <c r="E9" s="3" t="inlineStr">
        <is>
          <t>Role complexity defaults</t>
        </is>
      </c>
      <c r="F9" s="3" t="inlineStr">
        <is>
          <t>Ramp -20%; productivity +10 pts</t>
        </is>
      </c>
      <c r="G9" s="3" t="inlineStr">
        <is>
          <t>Selected inputs</t>
        </is>
      </c>
      <c r="H9" s="3" t="inlineStr">
        <is>
          <t>Ramp +20%; productivity -10 pts</t>
        </is>
      </c>
      <c r="I9" s="3" t="inlineStr">
        <is>
          <t>Context rediscovery; onboarding</t>
        </is>
      </c>
      <c r="J9" s="3" t="inlineStr">
        <is>
          <t>Common model</t>
        </is>
      </c>
      <c r="K9" s="3" t="inlineStr">
        <is>
          <t>Incremental productivity loss during ramp, not full replacement cost. Formula multiplies by the productivity GAP (1 - average productivity), and the ~60% average represents the mean of a gradual improvement curve. Example: 8 ramp months x 40% gap = 3.2 month-equivalents lost, not 8 months.</t>
        </is>
      </c>
      <c r="L9" s="3" t="inlineStr">
        <is>
          <t>No</t>
        </is>
      </c>
      <c r="M9" s="3" t="inlineStr">
        <is>
          <t>Calibrate defaults by role category/level</t>
        </is>
      </c>
    </row>
    <row r="10" ht="30" customHeight="1">
      <c r="A10" s="3" t="inlineStr">
        <is>
          <t>Knowledge transfer</t>
        </is>
      </c>
      <c r="B10" s="3" t="inlineStr">
        <is>
          <t>Yes</t>
        </is>
      </c>
      <c r="C10" s="3" t="inlineStr">
        <is>
          <t>Departures × transfer hours × blended loaded hourly rate</t>
        </is>
      </c>
      <c r="D10" s="3" t="inlineStr">
        <is>
          <t>Transfer hours; participant rate</t>
        </is>
      </c>
      <c r="E10" s="3" t="inlineStr">
        <is>
          <t>Transfer hours by complexity</t>
        </is>
      </c>
      <c r="F10" s="3" t="inlineStr">
        <is>
          <t>×0.75</t>
        </is>
      </c>
      <c r="G10" s="3" t="inlineStr">
        <is>
          <t>Selected inputs</t>
        </is>
      </c>
      <c r="H10" s="3" t="inlineStr">
        <is>
          <t>×1.25</t>
        </is>
      </c>
      <c r="I10" s="3" t="inlineStr">
        <is>
          <t>Onboarding labor and rediscovery</t>
        </is>
      </c>
      <c r="J10" s="3" t="inlineStr">
        <is>
          <t>Enhanced model</t>
        </is>
      </c>
      <c r="K10" s="3" t="inlineStr">
        <is>
          <t>Employee time used to transfer knowledge through overlap, handoffs, mentoring, or documentation.</t>
        </is>
      </c>
      <c r="L10" s="3" t="inlineStr">
        <is>
          <t>Yes</t>
        </is>
      </c>
      <c r="M10" s="3" t="inlineStr">
        <is>
          <t>Define participant-rate method</t>
        </is>
      </c>
    </row>
    <row r="11" ht="30" customHeight="1">
      <c r="A11" s="3" t="inlineStr">
        <is>
          <t>Context rediscovery</t>
        </is>
      </c>
      <c r="B11" s="3" t="inlineStr">
        <is>
          <t>Yes</t>
        </is>
      </c>
      <c r="C11" s="3" t="inlineStr">
        <is>
          <t>Departures × rediscovery working hours × replacement loaded hourly rate</t>
        </is>
      </c>
      <c r="D11" s="3" t="inlineStr">
        <is>
          <t>Rediscovery time; salary</t>
        </is>
      </c>
      <c r="E11" s="3" t="inlineStr">
        <is>
          <t>Default by role category/level and transfer quality</t>
        </is>
      </c>
      <c r="F11" s="3" t="inlineStr">
        <is>
          <t>×0.7</t>
        </is>
      </c>
      <c r="G11" s="3" t="inlineStr">
        <is>
          <t>Selected inputs</t>
        </is>
      </c>
      <c r="H11" s="3" t="inlineStr">
        <is>
          <t>×1.3</t>
        </is>
      </c>
      <c r="I11" s="3" t="inlineStr">
        <is>
          <t>Ramp-up productivity (STRICT: rediscovery counts only hours incremental to, and outside, the ramp window) and institutional-memory reconstruction</t>
        </is>
      </c>
      <c r="J11" s="3" t="inlineStr">
        <is>
          <t>Proposed differentiator</t>
        </is>
      </c>
      <c r="K11" s="3" t="inlineStr">
        <is>
          <t>Time spent rebuilding historical context and rationale that was not transferred - counted only where it is NOT already captured by the ramp-up productivity gap.</t>
        </is>
      </c>
      <c r="L11" s="3" t="inlineStr">
        <is>
          <t>Yes</t>
        </is>
      </c>
      <c r="M11" s="3" t="inlineStr">
        <is>
          <t>Empirical calibration required</t>
        </is>
      </c>
    </row>
    <row r="12" ht="30" customHeight="1">
      <c r="A12" s="3" t="inlineStr">
        <is>
          <t>Institutional-memory reconstruction</t>
        </is>
      </c>
      <c r="B12" s="3" t="inlineStr">
        <is>
          <t>Yes</t>
        </is>
      </c>
      <c r="C12" s="3" t="inlineStr">
        <is>
          <t>Departures × support hours × blended loaded hourly rate</t>
        </is>
      </c>
      <c r="D12" s="3" t="inlineStr">
        <is>
          <t>Support hours; blended rate</t>
        </is>
      </c>
      <c r="E12" s="3" t="inlineStr">
        <is>
          <t>Default by knowledge criticality/documentation</t>
        </is>
      </c>
      <c r="F12" s="3" t="inlineStr">
        <is>
          <t>×0.7</t>
        </is>
      </c>
      <c r="G12" s="3" t="inlineStr">
        <is>
          <t>Selected inputs</t>
        </is>
      </c>
      <c r="H12" s="3" t="inlineStr">
        <is>
          <t>×1.3</t>
        </is>
      </c>
      <c r="I12" s="3" t="inlineStr">
        <is>
          <t>Context rediscovery and project disruption</t>
        </is>
      </c>
      <c r="J12" s="3" t="inlineStr">
        <is>
          <t>Proposed differentiator</t>
        </is>
      </c>
      <c r="K12" s="3" t="inlineStr">
        <is>
          <t>Coworker and leadership time spent recreating missing records, lessons, history, and explanations.</t>
        </is>
      </c>
      <c r="L12" s="3" t="inlineStr">
        <is>
          <t>Yes</t>
        </is>
      </c>
      <c r="M12" s="3" t="inlineStr">
        <is>
          <t>Empirical calibration required</t>
        </is>
      </c>
    </row>
    <row r="13" ht="30" customHeight="1">
      <c r="A13" s="3" t="inlineStr">
        <is>
          <t>Project disruption</t>
        </is>
      </c>
      <c r="B13" s="3" t="inlineStr">
        <is>
          <t>Optional additive</t>
        </is>
      </c>
      <c r="C13" s="3" t="inlineStr">
        <is>
          <t>Departures × affected projects × added team hours per project × blended loaded hourly rate</t>
        </is>
      </c>
      <c r="D13" s="3" t="inlineStr">
        <is>
          <t>Projects; added hours; rate</t>
        </is>
      </c>
      <c r="E13" s="3" t="inlineStr">
        <is>
          <t>Default only if validated</t>
        </is>
      </c>
      <c r="F13" s="3" t="inlineStr">
        <is>
          <t>×0.7</t>
        </is>
      </c>
      <c r="G13" s="3" t="inlineStr">
        <is>
          <t>Selected inputs</t>
        </is>
      </c>
      <c r="H13" s="3" t="inlineStr">
        <is>
          <t>×1.3</t>
        </is>
      </c>
      <c r="I13" s="3" t="inlineStr">
        <is>
          <t>Vacancy loss and institutional-memory reconstruction</t>
        </is>
      </c>
      <c r="J13" s="3" t="inlineStr">
        <is>
          <t>Proposed differentiator</t>
        </is>
      </c>
      <c r="K13" s="3" t="inlineStr">
        <is>
          <t>Additional labor required on active projects because critical context or expertise is missing.</t>
        </is>
      </c>
      <c r="L13" s="3" t="inlineStr">
        <is>
          <t>Yes</t>
        </is>
      </c>
      <c r="M13" s="3" t="inlineStr">
        <is>
          <t>Start labor-only; exclude speculative project value</t>
        </is>
      </c>
    </row>
    <row r="14" ht="30" customHeight="1">
      <c r="A14" s="3" t="inlineStr">
        <is>
          <t>Customer/supplier continuity</t>
        </is>
      </c>
      <c r="B14" s="3" t="inlineStr">
        <is>
          <t>Optional separate module</t>
        </is>
      </c>
      <c r="C14" s="3" t="inlineStr">
        <is>
          <t>Scenario-specific: affected relationships × expected recovery/replacement cost</t>
        </is>
      </c>
      <c r="D14" s="3" t="inlineStr">
        <is>
          <t>Relationship economics</t>
        </is>
      </c>
      <c r="E14" s="3" t="inlineStr">
        <is>
          <t>No universal default recommended</t>
        </is>
      </c>
      <c r="F14" s="3" t="inlineStr">
        <is>
          <t>User-defined</t>
        </is>
      </c>
      <c r="G14" s="3" t="inlineStr">
        <is>
          <t>User-defined</t>
        </is>
      </c>
      <c r="H14" s="3" t="inlineStr">
        <is>
          <t>User-defined</t>
        </is>
      </c>
      <c r="I14" s="3" t="inlineStr">
        <is>
          <t>Project disruption and general churn</t>
        </is>
      </c>
      <c r="J14" s="3" t="inlineStr">
        <is>
          <t>Not v1 core</t>
        </is>
      </c>
      <c r="K14" s="3" t="inlineStr">
        <is>
          <t>Optional estimate for roles with measurable relationship ownership.</t>
        </is>
      </c>
      <c r="L14" s="3" t="inlineStr">
        <is>
          <t>No direct Jaspen claim</t>
        </is>
      </c>
      <c r="M14" s="3" t="inlineStr">
        <is>
          <t>Do not use CAC × churn without fit</t>
        </is>
      </c>
    </row>
    <row r="15" ht="15" customHeight="1">
      <c r="A15" s="3" t="inlineStr">
        <is>
          <t>Traditional turnover subtotal</t>
        </is>
      </c>
      <c r="B15" s="3" t="inlineStr">
        <is>
          <t>No - subtotal</t>
        </is>
      </c>
      <c r="C15" s="3" t="inlineStr">
        <is>
          <t>Recruiting + hiring admin + vacancy + onboarding + ramp-up</t>
        </is>
      </c>
      <c r="D15" s="3" t="inlineStr">
        <is>
          <t>Calculated</t>
        </is>
      </c>
      <c r="E15" s="3" t="inlineStr">
        <is>
          <t>None</t>
        </is>
      </c>
      <c r="F15" s="3" t="inlineStr">
        <is>
          <t>Sum low</t>
        </is>
      </c>
      <c r="G15" s="3" t="inlineStr">
        <is>
          <t>Sum mid</t>
        </is>
      </c>
      <c r="H15" s="3" t="inlineStr">
        <is>
          <t>Sum high</t>
        </is>
      </c>
      <c r="I15" s="3" t="inlineStr">
        <is>
          <t>Total</t>
        </is>
      </c>
      <c r="J15" s="3" t="inlineStr">
        <is>
          <t>Core output</t>
        </is>
      </c>
      <c r="K15" s="3" t="inlineStr">
        <is>
          <t>Costs commonly included in employee-turnover estimates.</t>
        </is>
      </c>
      <c r="L15" s="3" t="inlineStr">
        <is>
          <t>No</t>
        </is>
      </c>
      <c r="M15" s="3" t="n"/>
    </row>
    <row r="16" ht="30" customHeight="1">
      <c r="A16" s="3" t="inlineStr">
        <is>
          <t>Knowledge &amp; context subtotal</t>
        </is>
      </c>
      <c r="B16" s="3" t="inlineStr">
        <is>
          <t>No - subtotal</t>
        </is>
      </c>
      <c r="C16" s="3" t="inlineStr">
        <is>
          <t>Knowledge transfer + rediscovery + institutional-memory reconstruction + project disruption</t>
        </is>
      </c>
      <c r="D16" s="3" t="inlineStr">
        <is>
          <t>Calculated</t>
        </is>
      </c>
      <c r="E16" s="3" t="inlineStr">
        <is>
          <t>None</t>
        </is>
      </c>
      <c r="F16" s="3" t="inlineStr">
        <is>
          <t>Sum low</t>
        </is>
      </c>
      <c r="G16" s="3" t="inlineStr">
        <is>
          <t>Sum mid</t>
        </is>
      </c>
      <c r="H16" s="3" t="inlineStr">
        <is>
          <t>Sum high</t>
        </is>
      </c>
      <c r="I16" s="3" t="inlineStr">
        <is>
          <t>Total</t>
        </is>
      </c>
      <c r="J16" s="3" t="inlineStr">
        <is>
          <t>Core output</t>
        </is>
      </c>
      <c r="K16" s="3" t="inlineStr">
        <is>
          <t>Additional costs associated with rebuilding knowledge, context, and project continuity.</t>
        </is>
      </c>
      <c r="L16" s="3" t="inlineStr">
        <is>
          <t>Yes</t>
        </is>
      </c>
      <c r="M16" s="3" t="n"/>
    </row>
    <row r="17" ht="30" customHeight="1">
      <c r="A17" s="3" t="inlineStr">
        <is>
          <t>Estimated total cost</t>
        </is>
      </c>
      <c r="B17" s="3" t="inlineStr">
        <is>
          <t>No - final aggregation</t>
        </is>
      </c>
      <c r="C17" s="3" t="inlineStr">
        <is>
          <t>Sum of additive components only</t>
        </is>
      </c>
      <c r="D17" s="3" t="inlineStr">
        <is>
          <t>Calculated</t>
        </is>
      </c>
      <c r="E17" s="3" t="inlineStr">
        <is>
          <t>None</t>
        </is>
      </c>
      <c r="F17" s="3" t="inlineStr">
        <is>
          <t>Sum component lows</t>
        </is>
      </c>
      <c r="G17" s="3" t="inlineStr">
        <is>
          <t>Sum component mids</t>
        </is>
      </c>
      <c r="H17" s="3" t="inlineStr">
        <is>
          <t>Sum component highs</t>
        </is>
      </c>
      <c r="I17" s="3" t="inlineStr">
        <is>
          <t>All subtotals</t>
        </is>
      </c>
      <c r="J17" s="3" t="inlineStr">
        <is>
          <t>Core output</t>
        </is>
      </c>
      <c r="K17" s="3" t="inlineStr">
        <is>
          <t>Estimated total cost for the selected role and number of departures.</t>
        </is>
      </c>
      <c r="L17" s="3" t="inlineStr">
        <is>
          <t>No</t>
        </is>
      </c>
      <c r="M17" s="3" t="inlineStr">
        <is>
          <t>Formula audit</t>
        </is>
      </c>
    </row>
    <row r="18" ht="30" customHeight="1">
      <c r="A18" s="3" t="inlineStr">
        <is>
          <t>Estimate Built Using</t>
        </is>
      </c>
      <c r="B18" s="3" t="inlineStr">
        <is>
          <t>No</t>
        </is>
      </c>
      <c r="C18" s="3" t="inlineStr">
        <is>
          <t>Cost-weighted 3-way composition: Published Benchmarks vs Research-Based Estimates vs Your Organization's Inputs. Auditable per-component provenance; always totals 100%.</t>
        </is>
      </c>
      <c r="D18" s="3" t="inlineStr">
        <is>
          <t>Input provenance flags; component costs</t>
        </is>
      </c>
      <c r="E18" s="3" t="inlineStr">
        <is>
          <t>None</t>
        </is>
      </c>
      <c r="F18" s="3" t="inlineStr">
        <is>
          <t>N/A</t>
        </is>
      </c>
      <c r="G18" s="3" t="inlineStr">
        <is>
          <t>N/A</t>
        </is>
      </c>
      <c r="H18" s="3" t="inlineStr">
        <is>
          <t>N/A</t>
        </is>
      </c>
      <c r="I18" s="3" t="inlineStr">
        <is>
          <t>Accuracy/confidence labels</t>
        </is>
      </c>
      <c r="J18" s="3" t="inlineStr">
        <is>
          <t>Transparency output</t>
        </is>
      </c>
      <c r="K18" s="3" t="inlineStr">
        <is>
          <t>Shows how the estimate was constructed across published, research-based, and user-supplied values. Composition, not accuracy.</t>
        </is>
      </c>
      <c r="L18" s="3" t="inlineStr">
        <is>
          <t>Yes</t>
        </is>
      </c>
      <c r="M18" s="3" t="inlineStr">
        <is>
          <t>Define mixed-input weighting</t>
        </is>
      </c>
    </row>
    <row r="19" ht="15" customHeight="1">
      <c r="A19" s="1" t="n"/>
      <c r="B19" s="1" t="n"/>
      <c r="C19" s="1" t="n"/>
      <c r="D19" s="1" t="n"/>
      <c r="E19" s="1" t="n"/>
      <c r="F19" s="1" t="n"/>
      <c r="G19" s="1" t="n"/>
      <c r="H19" s="1" t="n"/>
      <c r="I19" s="1" t="n"/>
      <c r="J19" s="1" t="n"/>
      <c r="K19" s="1" t="n"/>
      <c r="L19" s="1" t="n"/>
      <c r="M19" s="1" t="n"/>
    </row>
    <row r="20" ht="15" customHeight="1">
      <c r="A20" s="1" t="n"/>
      <c r="B20" s="1" t="n"/>
      <c r="C20" s="1" t="n"/>
      <c r="D20" s="1" t="n"/>
      <c r="E20" s="1" t="n"/>
      <c r="F20" s="1" t="n"/>
      <c r="G20" s="1" t="n"/>
      <c r="H20" s="1" t="n"/>
      <c r="I20" s="1" t="n"/>
      <c r="J20" s="1" t="n"/>
      <c r="K20" s="1" t="n"/>
      <c r="L20" s="1" t="n"/>
      <c r="M20" s="1" t="n"/>
    </row>
    <row r="21" ht="15" customHeight="1">
      <c r="A21" s="1" t="n"/>
      <c r="B21" s="1" t="n"/>
      <c r="C21" s="1" t="n"/>
      <c r="D21" s="1" t="n"/>
      <c r="E21" s="1" t="n"/>
      <c r="F21" s="1" t="n"/>
      <c r="G21" s="1" t="n"/>
      <c r="H21" s="1" t="n"/>
      <c r="I21" s="1" t="n"/>
      <c r="J21" s="1" t="n"/>
      <c r="K21" s="1" t="n"/>
      <c r="L21" s="1" t="n"/>
      <c r="M21" s="1" t="n"/>
    </row>
    <row r="22" ht="15" customHeight="1">
      <c r="A22" s="1" t="n"/>
      <c r="B22" s="1" t="n"/>
      <c r="C22" s="1" t="n"/>
      <c r="D22" s="1" t="n"/>
      <c r="E22" s="1" t="n"/>
      <c r="F22" s="1" t="n"/>
      <c r="G22" s="1" t="n"/>
      <c r="H22" s="1" t="n"/>
      <c r="I22" s="1" t="n"/>
      <c r="J22" s="1" t="n"/>
      <c r="K22" s="1" t="n"/>
      <c r="L22" s="1" t="n"/>
      <c r="M22" s="1" t="n"/>
    </row>
    <row r="23" ht="15" customHeight="1">
      <c r="A23" s="1" t="n"/>
      <c r="B23" s="1" t="n"/>
      <c r="C23" s="1" t="n"/>
      <c r="D23" s="1" t="n"/>
      <c r="E23" s="1" t="n"/>
      <c r="F23" s="1" t="n"/>
      <c r="G23" s="1" t="n"/>
      <c r="H23" s="1" t="n"/>
      <c r="I23" s="1" t="n"/>
      <c r="J23" s="1" t="n"/>
      <c r="K23" s="1" t="n"/>
      <c r="L23" s="1" t="n"/>
      <c r="M23" s="1" t="n"/>
    </row>
    <row r="24" ht="15" customHeight="1">
      <c r="A24" s="1" t="n"/>
      <c r="B24" s="1" t="n"/>
      <c r="C24" s="1" t="n"/>
      <c r="D24" s="1" t="n"/>
      <c r="E24" s="1" t="n"/>
      <c r="F24" s="1" t="n"/>
      <c r="G24" s="1" t="n"/>
      <c r="H24" s="1" t="n"/>
      <c r="I24" s="1" t="n"/>
      <c r="J24" s="1" t="n"/>
      <c r="K24" s="1" t="n"/>
      <c r="L24" s="1" t="n"/>
      <c r="M24" s="1" t="n"/>
    </row>
    <row r="25" ht="15" customHeight="1">
      <c r="A25" s="1" t="n"/>
      <c r="B25" s="1" t="n"/>
      <c r="C25" s="1" t="n"/>
      <c r="D25" s="1" t="n"/>
      <c r="E25" s="1" t="n"/>
      <c r="F25" s="1" t="n"/>
      <c r="G25" s="1" t="n"/>
      <c r="H25" s="1" t="n"/>
      <c r="I25" s="1" t="n"/>
      <c r="J25" s="1" t="n"/>
      <c r="K25" s="1" t="n"/>
      <c r="L25" s="1" t="n"/>
      <c r="M25" s="1" t="n"/>
    </row>
    <row r="26" ht="15" customHeight="1">
      <c r="A26" s="1" t="n"/>
      <c r="B26" s="1" t="n"/>
      <c r="C26" s="1" t="n"/>
      <c r="D26" s="1" t="n"/>
      <c r="E26" s="1" t="n"/>
      <c r="F26" s="1" t="n"/>
      <c r="G26" s="1" t="n"/>
      <c r="H26" s="1" t="n"/>
      <c r="I26" s="1" t="n"/>
      <c r="J26" s="1" t="n"/>
      <c r="K26" s="1" t="n"/>
      <c r="L26" s="1" t="n"/>
      <c r="M26" s="1" t="n"/>
    </row>
    <row r="27" ht="15" customHeight="1">
      <c r="A27" s="1" t="n"/>
      <c r="B27" s="1" t="n"/>
      <c r="C27" s="1" t="n"/>
      <c r="D27" s="1" t="n"/>
      <c r="E27" s="1" t="n"/>
      <c r="F27" s="1" t="n"/>
      <c r="G27" s="1" t="n"/>
      <c r="H27" s="1" t="n"/>
      <c r="I27" s="1" t="n"/>
      <c r="J27" s="1" t="n"/>
      <c r="K27" s="1" t="n"/>
      <c r="L27" s="1" t="n"/>
      <c r="M27" s="1" t="n"/>
    </row>
    <row r="28" ht="15" customHeight="1">
      <c r="A28" s="1" t="n"/>
      <c r="B28" s="1" t="n"/>
      <c r="C28" s="1" t="n"/>
      <c r="D28" s="1" t="n"/>
      <c r="E28" s="1" t="n"/>
      <c r="F28" s="1" t="n"/>
      <c r="G28" s="1" t="n"/>
      <c r="H28" s="1" t="n"/>
      <c r="I28" s="1" t="n"/>
      <c r="J28" s="1" t="n"/>
      <c r="K28" s="1" t="n"/>
      <c r="L28" s="1" t="n"/>
      <c r="M28" s="1" t="n"/>
    </row>
    <row r="29" ht="15" customHeight="1">
      <c r="A29" s="1" t="n"/>
      <c r="B29" s="1" t="n"/>
      <c r="C29" s="1" t="n"/>
      <c r="D29" s="1" t="n"/>
      <c r="E29" s="1" t="n"/>
      <c r="F29" s="1" t="n"/>
      <c r="G29" s="1" t="n"/>
      <c r="H29" s="1" t="n"/>
      <c r="I29" s="1" t="n"/>
      <c r="J29" s="1" t="n"/>
      <c r="K29" s="1" t="n"/>
      <c r="L29" s="1" t="n"/>
      <c r="M29" s="1" t="n"/>
    </row>
    <row r="30" ht="15" customHeight="1">
      <c r="A30" s="1" t="n"/>
      <c r="B30" s="1" t="n"/>
      <c r="C30" s="1" t="n"/>
      <c r="D30" s="1" t="n"/>
      <c r="E30" s="1" t="n"/>
      <c r="F30" s="1" t="n"/>
      <c r="G30" s="1" t="n"/>
      <c r="H30" s="1" t="n"/>
      <c r="I30" s="1" t="n"/>
      <c r="J30" s="1" t="n"/>
      <c r="K30" s="1" t="n"/>
      <c r="L30" s="1" t="n"/>
      <c r="M30" s="1" t="n"/>
    </row>
    <row r="31" ht="15" customHeight="1">
      <c r="A31" s="1" t="n"/>
      <c r="B31" s="1" t="n"/>
      <c r="C31" s="1" t="n"/>
      <c r="D31" s="1" t="n"/>
      <c r="E31" s="1" t="n"/>
      <c r="F31" s="1" t="n"/>
      <c r="G31" s="1" t="n"/>
      <c r="H31" s="1" t="n"/>
      <c r="I31" s="1" t="n"/>
      <c r="J31" s="1" t="n"/>
      <c r="K31" s="1" t="n"/>
      <c r="L31" s="1" t="n"/>
      <c r="M31" s="1" t="n"/>
    </row>
    <row r="32" ht="15" customHeight="1">
      <c r="A32" s="1" t="n"/>
      <c r="B32" s="1" t="n"/>
      <c r="C32" s="1" t="n"/>
      <c r="D32" s="1" t="n"/>
      <c r="E32" s="1" t="n"/>
      <c r="F32" s="1" t="n"/>
      <c r="G32" s="1" t="n"/>
      <c r="H32" s="1" t="n"/>
      <c r="I32" s="1" t="n"/>
      <c r="J32" s="1" t="n"/>
      <c r="K32" s="1" t="n"/>
      <c r="L32" s="1" t="n"/>
      <c r="M32" s="1" t="n"/>
    </row>
    <row r="33" ht="15" customHeight="1">
      <c r="A33" s="1" t="n"/>
      <c r="B33" s="1" t="n"/>
      <c r="C33" s="1" t="n"/>
      <c r="D33" s="1" t="n"/>
      <c r="E33" s="1" t="n"/>
      <c r="F33" s="1" t="n"/>
      <c r="G33" s="1" t="n"/>
      <c r="H33" s="1" t="n"/>
      <c r="I33" s="1" t="n"/>
      <c r="J33" s="1" t="n"/>
      <c r="K33" s="1" t="n"/>
      <c r="L33" s="1" t="n"/>
      <c r="M33" s="1" t="n"/>
    </row>
    <row r="34" ht="15" customHeight="1">
      <c r="A34" s="1" t="n"/>
      <c r="B34" s="1" t="n"/>
      <c r="C34" s="1" t="n"/>
      <c r="D34" s="1" t="n"/>
      <c r="E34" s="1" t="n"/>
      <c r="F34" s="1" t="n"/>
      <c r="G34" s="1" t="n"/>
      <c r="H34" s="1" t="n"/>
      <c r="I34" s="1" t="n"/>
      <c r="J34" s="1" t="n"/>
      <c r="K34" s="1" t="n"/>
      <c r="L34" s="1" t="n"/>
      <c r="M34" s="1" t="n"/>
    </row>
    <row r="35" ht="15" customHeight="1">
      <c r="A35" s="1" t="n"/>
      <c r="B35" s="1" t="n"/>
      <c r="C35" s="1" t="n"/>
      <c r="D35" s="1" t="n"/>
      <c r="E35" s="1" t="n"/>
      <c r="F35" s="1" t="n"/>
      <c r="G35" s="1" t="n"/>
      <c r="H35" s="1" t="n"/>
      <c r="I35" s="1" t="n"/>
      <c r="J35" s="1" t="n"/>
      <c r="K35" s="1" t="n"/>
      <c r="L35" s="1" t="n"/>
      <c r="M35" s="1" t="n"/>
    </row>
    <row r="36" ht="15" customHeight="1">
      <c r="A36" s="1" t="n"/>
      <c r="B36" s="1" t="n"/>
      <c r="C36" s="1" t="n"/>
      <c r="D36" s="1" t="n"/>
      <c r="E36" s="1" t="n"/>
      <c r="F36" s="1" t="n"/>
      <c r="G36" s="1" t="n"/>
      <c r="H36" s="1" t="n"/>
      <c r="I36" s="1" t="n"/>
      <c r="J36" s="1" t="n"/>
      <c r="K36" s="1" t="n"/>
      <c r="L36" s="1" t="n"/>
      <c r="M36" s="1" t="n"/>
    </row>
    <row r="37" ht="15" customHeight="1">
      <c r="A37" s="1" t="n"/>
      <c r="B37" s="1" t="n"/>
      <c r="C37" s="1" t="n"/>
      <c r="D37" s="1" t="n"/>
      <c r="E37" s="1" t="n"/>
      <c r="F37" s="1" t="n"/>
      <c r="G37" s="1" t="n"/>
      <c r="H37" s="1" t="n"/>
      <c r="I37" s="1" t="n"/>
      <c r="J37" s="1" t="n"/>
      <c r="K37" s="1" t="n"/>
      <c r="L37" s="1" t="n"/>
      <c r="M37" s="1" t="n"/>
    </row>
    <row r="38" ht="15" customHeight="1">
      <c r="A38" s="1" t="n"/>
      <c r="B38" s="1" t="n"/>
      <c r="C38" s="1" t="n"/>
      <c r="D38" s="1" t="n"/>
      <c r="E38" s="1" t="n"/>
      <c r="F38" s="1" t="n"/>
      <c r="G38" s="1" t="n"/>
      <c r="H38" s="1" t="n"/>
      <c r="I38" s="1" t="n"/>
      <c r="J38" s="1" t="n"/>
      <c r="K38" s="1" t="n"/>
      <c r="L38" s="1" t="n"/>
      <c r="M38" s="1" t="n"/>
    </row>
    <row r="39" ht="15" customHeight="1">
      <c r="A39" s="1" t="n"/>
      <c r="B39" s="1" t="n"/>
      <c r="C39" s="1" t="n"/>
      <c r="D39" s="1" t="n"/>
      <c r="E39" s="1" t="n"/>
      <c r="F39" s="1" t="n"/>
      <c r="G39" s="1" t="n"/>
      <c r="H39" s="1" t="n"/>
      <c r="I39" s="1" t="n"/>
      <c r="J39" s="1" t="n"/>
      <c r="K39" s="1" t="n"/>
      <c r="L39" s="1" t="n"/>
      <c r="M39" s="1" t="n"/>
    </row>
    <row r="40" ht="15" customHeight="1">
      <c r="A40" s="1" t="n"/>
      <c r="B40" s="1" t="n"/>
      <c r="C40" s="1" t="n"/>
      <c r="D40" s="1" t="n"/>
      <c r="E40" s="1" t="n"/>
      <c r="F40" s="1" t="n"/>
      <c r="G40" s="1" t="n"/>
      <c r="H40" s="1" t="n"/>
      <c r="I40" s="1" t="n"/>
      <c r="J40" s="1" t="n"/>
      <c r="K40" s="1" t="n"/>
      <c r="L40" s="1" t="n"/>
      <c r="M40" s="1" t="n"/>
    </row>
    <row r="41" ht="15" customHeight="1">
      <c r="A41" s="1" t="n"/>
      <c r="B41" s="1" t="n"/>
      <c r="C41" s="1" t="n"/>
      <c r="D41" s="1" t="n"/>
      <c r="E41" s="1" t="n"/>
      <c r="F41" s="1" t="n"/>
      <c r="G41" s="1" t="n"/>
      <c r="H41" s="1" t="n"/>
      <c r="I41" s="1" t="n"/>
      <c r="J41" s="1" t="n"/>
      <c r="K41" s="1" t="n"/>
      <c r="L41" s="1" t="n"/>
      <c r="M41" s="1" t="n"/>
    </row>
    <row r="42" ht="15" customHeight="1">
      <c r="A42" s="1" t="n"/>
      <c r="B42" s="1" t="n"/>
      <c r="C42" s="1" t="n"/>
      <c r="D42" s="1" t="n"/>
      <c r="E42" s="1" t="n"/>
      <c r="F42" s="1" t="n"/>
      <c r="G42" s="1" t="n"/>
      <c r="H42" s="1" t="n"/>
      <c r="I42" s="1" t="n"/>
      <c r="J42" s="1" t="n"/>
      <c r="K42" s="1" t="n"/>
      <c r="L42" s="1" t="n"/>
      <c r="M42" s="1" t="n"/>
    </row>
    <row r="43" ht="15" customHeight="1">
      <c r="A43" s="1" t="n"/>
      <c r="B43" s="1" t="n"/>
      <c r="C43" s="1" t="n"/>
      <c r="D43" s="1" t="n"/>
      <c r="E43" s="1" t="n"/>
      <c r="F43" s="1" t="n"/>
      <c r="G43" s="1" t="n"/>
      <c r="H43" s="1" t="n"/>
      <c r="I43" s="1" t="n"/>
      <c r="J43" s="1" t="n"/>
      <c r="K43" s="1" t="n"/>
      <c r="L43" s="1" t="n"/>
      <c r="M43" s="1" t="n"/>
    </row>
    <row r="44" ht="15" customHeight="1">
      <c r="A44" s="1" t="n"/>
      <c r="B44" s="1" t="n"/>
      <c r="C44" s="1" t="n"/>
      <c r="D44" s="1" t="n"/>
      <c r="E44" s="1" t="n"/>
      <c r="F44" s="1" t="n"/>
      <c r="G44" s="1" t="n"/>
      <c r="H44" s="1" t="n"/>
      <c r="I44" s="1" t="n"/>
      <c r="J44" s="1" t="n"/>
      <c r="K44" s="1" t="n"/>
      <c r="L44" s="1" t="n"/>
      <c r="M44" s="1" t="n"/>
    </row>
    <row r="45" ht="15" customHeight="1">
      <c r="A45" s="1" t="n"/>
      <c r="B45" s="1" t="n"/>
      <c r="C45" s="1" t="n"/>
      <c r="D45" s="1" t="n"/>
      <c r="E45" s="1" t="n"/>
      <c r="F45" s="1" t="n"/>
      <c r="G45" s="1" t="n"/>
      <c r="H45" s="1" t="n"/>
      <c r="I45" s="1" t="n"/>
      <c r="J45" s="1" t="n"/>
      <c r="K45" s="1" t="n"/>
      <c r="L45" s="1" t="n"/>
      <c r="M45" s="1" t="n"/>
    </row>
    <row r="46" ht="15" customHeight="1">
      <c r="A46" s="1" t="n"/>
      <c r="B46" s="1" t="n"/>
      <c r="C46" s="1" t="n"/>
      <c r="D46" s="1" t="n"/>
      <c r="E46" s="1" t="n"/>
      <c r="F46" s="1" t="n"/>
      <c r="G46" s="1" t="n"/>
      <c r="H46" s="1" t="n"/>
      <c r="I46" s="1" t="n"/>
      <c r="J46" s="1" t="n"/>
      <c r="K46" s="1" t="n"/>
      <c r="L46" s="1" t="n"/>
      <c r="M46" s="1" t="n"/>
    </row>
    <row r="47" ht="15" customHeight="1">
      <c r="A47" s="1" t="n"/>
      <c r="B47" s="1" t="n"/>
      <c r="C47" s="1" t="n"/>
      <c r="D47" s="1" t="n"/>
      <c r="E47" s="1" t="n"/>
      <c r="F47" s="1" t="n"/>
      <c r="G47" s="1" t="n"/>
      <c r="H47" s="1" t="n"/>
      <c r="I47" s="1" t="n"/>
      <c r="J47" s="1" t="n"/>
      <c r="K47" s="1" t="n"/>
      <c r="L47" s="1" t="n"/>
      <c r="M47" s="1" t="n"/>
    </row>
    <row r="48" ht="15" customHeight="1">
      <c r="A48" s="1" t="n"/>
      <c r="B48" s="1" t="n"/>
      <c r="C48" s="1" t="n"/>
      <c r="D48" s="1" t="n"/>
      <c r="E48" s="1" t="n"/>
      <c r="F48" s="1" t="n"/>
      <c r="G48" s="1" t="n"/>
      <c r="H48" s="1" t="n"/>
      <c r="I48" s="1" t="n"/>
      <c r="J48" s="1" t="n"/>
      <c r="K48" s="1" t="n"/>
      <c r="L48" s="1" t="n"/>
      <c r="M48" s="1" t="n"/>
    </row>
    <row r="49" ht="15" customHeight="1">
      <c r="A49" s="1" t="n"/>
      <c r="B49" s="1" t="n"/>
      <c r="C49" s="1" t="n"/>
      <c r="D49" s="1" t="n"/>
      <c r="E49" s="1" t="n"/>
      <c r="F49" s="1" t="n"/>
      <c r="G49" s="1" t="n"/>
      <c r="H49" s="1" t="n"/>
      <c r="I49" s="1" t="n"/>
      <c r="J49" s="1" t="n"/>
      <c r="K49" s="1" t="n"/>
      <c r="L49" s="1" t="n"/>
      <c r="M49" s="1" t="n"/>
    </row>
    <row r="50" ht="15" customHeight="1">
      <c r="A50" s="1" t="n"/>
      <c r="B50" s="1" t="n"/>
      <c r="C50" s="1" t="n"/>
      <c r="D50" s="1" t="n"/>
      <c r="E50" s="1" t="n"/>
      <c r="F50" s="1" t="n"/>
      <c r="G50" s="1" t="n"/>
      <c r="H50" s="1" t="n"/>
      <c r="I50" s="1" t="n"/>
      <c r="J50" s="1" t="n"/>
      <c r="K50" s="1" t="n"/>
      <c r="L50" s="1" t="n"/>
      <c r="M50" s="1" t="n"/>
    </row>
    <row r="51" ht="15" customHeight="1">
      <c r="A51" s="1" t="n"/>
      <c r="B51" s="1" t="n"/>
      <c r="C51" s="1" t="n"/>
      <c r="D51" s="1" t="n"/>
      <c r="E51" s="1" t="n"/>
      <c r="F51" s="1" t="n"/>
      <c r="G51" s="1" t="n"/>
      <c r="H51" s="1" t="n"/>
      <c r="I51" s="1" t="n"/>
      <c r="J51" s="1" t="n"/>
      <c r="K51" s="1" t="n"/>
      <c r="L51" s="1" t="n"/>
      <c r="M51" s="1" t="n"/>
    </row>
    <row r="52" ht="15" customHeight="1">
      <c r="A52" s="1" t="n"/>
      <c r="B52" s="1" t="n"/>
      <c r="C52" s="1" t="n"/>
      <c r="D52" s="1" t="n"/>
      <c r="E52" s="1" t="n"/>
      <c r="F52" s="1" t="n"/>
      <c r="G52" s="1" t="n"/>
      <c r="H52" s="1" t="n"/>
      <c r="I52" s="1" t="n"/>
      <c r="J52" s="1" t="n"/>
      <c r="K52" s="1" t="n"/>
      <c r="L52" s="1" t="n"/>
      <c r="M52" s="1" t="n"/>
    </row>
    <row r="53" ht="15" customHeight="1">
      <c r="A53" s="1" t="n"/>
      <c r="B53" s="1" t="n"/>
      <c r="C53" s="1" t="n"/>
      <c r="D53" s="1" t="n"/>
      <c r="E53" s="1" t="n"/>
      <c r="F53" s="1" t="n"/>
      <c r="G53" s="1" t="n"/>
      <c r="H53" s="1" t="n"/>
      <c r="I53" s="1" t="n"/>
      <c r="J53" s="1" t="n"/>
      <c r="K53" s="1" t="n"/>
      <c r="L53" s="1" t="n"/>
      <c r="M53" s="1" t="n"/>
    </row>
    <row r="54" ht="15" customHeight="1">
      <c r="A54" s="1" t="n"/>
      <c r="B54" s="1" t="n"/>
      <c r="C54" s="1" t="n"/>
      <c r="D54" s="1" t="n"/>
      <c r="E54" s="1" t="n"/>
      <c r="F54" s="1" t="n"/>
      <c r="G54" s="1" t="n"/>
      <c r="H54" s="1" t="n"/>
      <c r="I54" s="1" t="n"/>
      <c r="J54" s="1" t="n"/>
      <c r="K54" s="1" t="n"/>
      <c r="L54" s="1" t="n"/>
      <c r="M54" s="1" t="n"/>
    </row>
    <row r="55" ht="15" customHeight="1">
      <c r="A55" s="1" t="n"/>
      <c r="B55" s="1" t="n"/>
      <c r="C55" s="1" t="n"/>
      <c r="D55" s="1" t="n"/>
      <c r="E55" s="1" t="n"/>
      <c r="F55" s="1" t="n"/>
      <c r="G55" s="1" t="n"/>
      <c r="H55" s="1" t="n"/>
      <c r="I55" s="1" t="n"/>
      <c r="J55" s="1" t="n"/>
      <c r="K55" s="1" t="n"/>
      <c r="L55" s="1" t="n"/>
      <c r="M55" s="1" t="n"/>
    </row>
    <row r="56" ht="15" customHeight="1">
      <c r="A56" s="1" t="n"/>
      <c r="B56" s="1" t="n"/>
      <c r="C56" s="1" t="n"/>
      <c r="D56" s="1" t="n"/>
      <c r="E56" s="1" t="n"/>
      <c r="F56" s="1" t="n"/>
      <c r="G56" s="1" t="n"/>
      <c r="H56" s="1" t="n"/>
      <c r="I56" s="1" t="n"/>
      <c r="J56" s="1" t="n"/>
      <c r="K56" s="1" t="n"/>
      <c r="L56" s="1" t="n"/>
      <c r="M56" s="1" t="n"/>
    </row>
    <row r="57" ht="15" customHeight="1">
      <c r="A57" s="1" t="n"/>
      <c r="B57" s="1" t="n"/>
      <c r="C57" s="1" t="n"/>
      <c r="D57" s="1" t="n"/>
      <c r="E57" s="1" t="n"/>
      <c r="F57" s="1" t="n"/>
      <c r="G57" s="1" t="n"/>
      <c r="H57" s="1" t="n"/>
      <c r="I57" s="1" t="n"/>
      <c r="J57" s="1" t="n"/>
      <c r="K57" s="1" t="n"/>
      <c r="L57" s="1" t="n"/>
      <c r="M57" s="1" t="n"/>
    </row>
    <row r="58" ht="15" customHeight="1">
      <c r="A58" s="1" t="n"/>
      <c r="B58" s="1" t="n"/>
      <c r="C58" s="1" t="n"/>
      <c r="D58" s="1" t="n"/>
      <c r="E58" s="1" t="n"/>
      <c r="F58" s="1" t="n"/>
      <c r="G58" s="1" t="n"/>
      <c r="H58" s="1" t="n"/>
      <c r="I58" s="1" t="n"/>
      <c r="J58" s="1" t="n"/>
      <c r="K58" s="1" t="n"/>
      <c r="L58" s="1" t="n"/>
      <c r="M58" s="1" t="n"/>
    </row>
    <row r="59" ht="15" customHeight="1">
      <c r="A59" s="1" t="n"/>
      <c r="B59" s="1" t="n"/>
      <c r="C59" s="1" t="n"/>
      <c r="D59" s="1" t="n"/>
      <c r="E59" s="1" t="n"/>
      <c r="F59" s="1" t="n"/>
      <c r="G59" s="1" t="n"/>
      <c r="H59" s="1" t="n"/>
      <c r="I59" s="1" t="n"/>
      <c r="J59" s="1" t="n"/>
      <c r="K59" s="1" t="n"/>
      <c r="L59" s="1" t="n"/>
      <c r="M59" s="1" t="n"/>
    </row>
    <row r="60" ht="15" customHeight="1">
      <c r="A60" s="1" t="n"/>
      <c r="B60" s="1" t="n"/>
      <c r="C60" s="1" t="n"/>
      <c r="D60" s="1" t="n"/>
      <c r="E60" s="1" t="n"/>
      <c r="F60" s="1" t="n"/>
      <c r="G60" s="1" t="n"/>
      <c r="H60" s="1" t="n"/>
      <c r="I60" s="1" t="n"/>
      <c r="J60" s="1" t="n"/>
      <c r="K60" s="1" t="n"/>
      <c r="L60" s="1" t="n"/>
      <c r="M60" s="1" t="n"/>
    </row>
    <row r="61" ht="15" customHeight="1">
      <c r="A61" s="1" t="n"/>
      <c r="B61" s="1" t="n"/>
      <c r="C61" s="1" t="n"/>
      <c r="D61" s="1" t="n"/>
      <c r="E61" s="1" t="n"/>
      <c r="F61" s="1" t="n"/>
      <c r="G61" s="1" t="n"/>
      <c r="H61" s="1" t="n"/>
      <c r="I61" s="1" t="n"/>
      <c r="J61" s="1" t="n"/>
      <c r="K61" s="1" t="n"/>
      <c r="L61" s="1" t="n"/>
      <c r="M61" s="1" t="n"/>
    </row>
    <row r="62" ht="15" customHeight="1">
      <c r="A62" s="1" t="n"/>
      <c r="B62" s="1" t="n"/>
      <c r="C62" s="1" t="n"/>
      <c r="D62" s="1" t="n"/>
      <c r="E62" s="1" t="n"/>
      <c r="F62" s="1" t="n"/>
      <c r="G62" s="1" t="n"/>
      <c r="H62" s="1" t="n"/>
      <c r="I62" s="1" t="n"/>
      <c r="J62" s="1" t="n"/>
      <c r="K62" s="1" t="n"/>
      <c r="L62" s="1" t="n"/>
      <c r="M62" s="1" t="n"/>
    </row>
    <row r="63" ht="15" customHeight="1">
      <c r="A63" s="1" t="n"/>
      <c r="B63" s="1" t="n"/>
      <c r="C63" s="1" t="n"/>
      <c r="D63" s="1" t="n"/>
      <c r="E63" s="1" t="n"/>
      <c r="F63" s="1" t="n"/>
      <c r="G63" s="1" t="n"/>
      <c r="H63" s="1" t="n"/>
      <c r="I63" s="1" t="n"/>
      <c r="J63" s="1" t="n"/>
      <c r="K63" s="1" t="n"/>
      <c r="L63" s="1" t="n"/>
      <c r="M63" s="1" t="n"/>
    </row>
    <row r="64" ht="15" customHeight="1">
      <c r="A64" s="1" t="n"/>
      <c r="B64" s="1" t="n"/>
      <c r="C64" s="1" t="n"/>
      <c r="D64" s="1" t="n"/>
      <c r="E64" s="1" t="n"/>
      <c r="F64" s="1" t="n"/>
      <c r="G64" s="1" t="n"/>
      <c r="H64" s="1" t="n"/>
      <c r="I64" s="1" t="n"/>
      <c r="J64" s="1" t="n"/>
      <c r="K64" s="1" t="n"/>
      <c r="L64" s="1" t="n"/>
      <c r="M64" s="1" t="n"/>
    </row>
    <row r="65" ht="15" customHeight="1">
      <c r="A65" s="1" t="n"/>
      <c r="B65" s="1" t="n"/>
      <c r="C65" s="1" t="n"/>
      <c r="D65" s="1" t="n"/>
      <c r="E65" s="1" t="n"/>
      <c r="F65" s="1" t="n"/>
      <c r="G65" s="1" t="n"/>
      <c r="H65" s="1" t="n"/>
      <c r="I65" s="1" t="n"/>
      <c r="J65" s="1" t="n"/>
      <c r="K65" s="1" t="n"/>
      <c r="L65" s="1" t="n"/>
      <c r="M65" s="1" t="n"/>
    </row>
    <row r="66" ht="15" customHeight="1">
      <c r="A66" s="1" t="n"/>
      <c r="B66" s="1" t="n"/>
      <c r="C66" s="1" t="n"/>
      <c r="D66" s="1" t="n"/>
      <c r="E66" s="1" t="n"/>
      <c r="F66" s="1" t="n"/>
      <c r="G66" s="1" t="n"/>
      <c r="H66" s="1" t="n"/>
      <c r="I66" s="1" t="n"/>
      <c r="J66" s="1" t="n"/>
      <c r="K66" s="1" t="n"/>
      <c r="L66" s="1" t="n"/>
      <c r="M66" s="1" t="n"/>
    </row>
    <row r="67" ht="15" customHeight="1">
      <c r="A67" s="1" t="n"/>
      <c r="B67" s="1" t="n"/>
      <c r="C67" s="1" t="n"/>
      <c r="D67" s="1" t="n"/>
      <c r="E67" s="1" t="n"/>
      <c r="F67" s="1" t="n"/>
      <c r="G67" s="1" t="n"/>
      <c r="H67" s="1" t="n"/>
      <c r="I67" s="1" t="n"/>
      <c r="J67" s="1" t="n"/>
      <c r="K67" s="1" t="n"/>
      <c r="L67" s="1" t="n"/>
      <c r="M67" s="1" t="n"/>
    </row>
    <row r="68" ht="15" customHeight="1">
      <c r="A68" s="1" t="n"/>
      <c r="B68" s="1" t="n"/>
      <c r="C68" s="1" t="n"/>
      <c r="D68" s="1" t="n"/>
      <c r="E68" s="1" t="n"/>
      <c r="F68" s="1" t="n"/>
      <c r="G68" s="1" t="n"/>
      <c r="H68" s="1" t="n"/>
      <c r="I68" s="1" t="n"/>
      <c r="J68" s="1" t="n"/>
      <c r="K68" s="1" t="n"/>
      <c r="L68" s="1" t="n"/>
      <c r="M68" s="1" t="n"/>
    </row>
    <row r="69" ht="15" customHeight="1">
      <c r="A69" s="1" t="n"/>
      <c r="B69" s="1" t="n"/>
      <c r="C69" s="1" t="n"/>
      <c r="D69" s="1" t="n"/>
      <c r="E69" s="1" t="n"/>
      <c r="F69" s="1" t="n"/>
      <c r="G69" s="1" t="n"/>
      <c r="H69" s="1" t="n"/>
      <c r="I69" s="1" t="n"/>
      <c r="J69" s="1" t="n"/>
      <c r="K69" s="1" t="n"/>
      <c r="L69" s="1" t="n"/>
      <c r="M69" s="1" t="n"/>
    </row>
    <row r="70" ht="15" customHeight="1">
      <c r="A70" s="1" t="n"/>
      <c r="B70" s="1" t="n"/>
      <c r="C70" s="1" t="n"/>
      <c r="D70" s="1" t="n"/>
      <c r="E70" s="1" t="n"/>
      <c r="F70" s="1" t="n"/>
      <c r="G70" s="1" t="n"/>
      <c r="H70" s="1" t="n"/>
      <c r="I70" s="1" t="n"/>
      <c r="J70" s="1" t="n"/>
      <c r="K70" s="1" t="n"/>
      <c r="L70" s="1" t="n"/>
      <c r="M70" s="1" t="n"/>
    </row>
    <row r="71" ht="15" customHeight="1">
      <c r="A71" s="1" t="n"/>
      <c r="B71" s="1" t="n"/>
      <c r="C71" s="1" t="n"/>
      <c r="D71" s="1" t="n"/>
      <c r="E71" s="1" t="n"/>
      <c r="F71" s="1" t="n"/>
      <c r="G71" s="1" t="n"/>
      <c r="H71" s="1" t="n"/>
      <c r="I71" s="1" t="n"/>
      <c r="J71" s="1" t="n"/>
      <c r="K71" s="1" t="n"/>
      <c r="L71" s="1" t="n"/>
      <c r="M71" s="1" t="n"/>
    </row>
    <row r="72" ht="15" customHeight="1">
      <c r="A72" s="1" t="n"/>
      <c r="B72" s="1" t="n"/>
      <c r="C72" s="1" t="n"/>
      <c r="D72" s="1" t="n"/>
      <c r="E72" s="1" t="n"/>
      <c r="F72" s="1" t="n"/>
      <c r="G72" s="1" t="n"/>
      <c r="H72" s="1" t="n"/>
      <c r="I72" s="1" t="n"/>
      <c r="J72" s="1" t="n"/>
      <c r="K72" s="1" t="n"/>
      <c r="L72" s="1" t="n"/>
      <c r="M72" s="1" t="n"/>
    </row>
    <row r="73" ht="15" customHeight="1">
      <c r="A73" s="1" t="n"/>
      <c r="B73" s="1" t="n"/>
      <c r="C73" s="1" t="n"/>
      <c r="D73" s="1" t="n"/>
      <c r="E73" s="1" t="n"/>
      <c r="F73" s="1" t="n"/>
      <c r="G73" s="1" t="n"/>
      <c r="H73" s="1" t="n"/>
      <c r="I73" s="1" t="n"/>
      <c r="J73" s="1" t="n"/>
      <c r="K73" s="1" t="n"/>
      <c r="L73" s="1" t="n"/>
      <c r="M73" s="1" t="n"/>
    </row>
    <row r="74" ht="15" customHeight="1">
      <c r="A74" s="1" t="n"/>
      <c r="B74" s="1" t="n"/>
      <c r="C74" s="1" t="n"/>
      <c r="D74" s="1" t="n"/>
      <c r="E74" s="1" t="n"/>
      <c r="F74" s="1" t="n"/>
      <c r="G74" s="1" t="n"/>
      <c r="H74" s="1" t="n"/>
      <c r="I74" s="1" t="n"/>
      <c r="J74" s="1" t="n"/>
      <c r="K74" s="1" t="n"/>
      <c r="L74" s="1" t="n"/>
      <c r="M74" s="1" t="n"/>
    </row>
    <row r="75" ht="15" customHeight="1">
      <c r="A75" s="1" t="n"/>
      <c r="B75" s="1" t="n"/>
      <c r="C75" s="1" t="n"/>
      <c r="D75" s="1" t="n"/>
      <c r="E75" s="1" t="n"/>
      <c r="F75" s="1" t="n"/>
      <c r="G75" s="1" t="n"/>
      <c r="H75" s="1" t="n"/>
      <c r="I75" s="1" t="n"/>
      <c r="J75" s="1" t="n"/>
      <c r="K75" s="1" t="n"/>
      <c r="L75" s="1" t="n"/>
      <c r="M75" s="1" t="n"/>
    </row>
    <row r="76" ht="15" customHeight="1">
      <c r="A76" s="1" t="n"/>
      <c r="B76" s="1" t="n"/>
      <c r="C76" s="1" t="n"/>
      <c r="D76" s="1" t="n"/>
      <c r="E76" s="1" t="n"/>
      <c r="F76" s="1" t="n"/>
      <c r="G76" s="1" t="n"/>
      <c r="H76" s="1" t="n"/>
      <c r="I76" s="1" t="n"/>
      <c r="J76" s="1" t="n"/>
      <c r="K76" s="1" t="n"/>
      <c r="L76" s="1" t="n"/>
      <c r="M76" s="1" t="n"/>
    </row>
    <row r="77" ht="15" customHeight="1">
      <c r="A77" s="1" t="n"/>
      <c r="B77" s="1" t="n"/>
      <c r="C77" s="1" t="n"/>
      <c r="D77" s="1" t="n"/>
      <c r="E77" s="1" t="n"/>
      <c r="F77" s="1" t="n"/>
      <c r="G77" s="1" t="n"/>
      <c r="H77" s="1" t="n"/>
      <c r="I77" s="1" t="n"/>
      <c r="J77" s="1" t="n"/>
      <c r="K77" s="1" t="n"/>
      <c r="L77" s="1" t="n"/>
      <c r="M77" s="1" t="n"/>
    </row>
    <row r="78" ht="15" customHeight="1">
      <c r="A78" s="1" t="n"/>
      <c r="B78" s="1" t="n"/>
      <c r="C78" s="1" t="n"/>
      <c r="D78" s="1" t="n"/>
      <c r="E78" s="1" t="n"/>
      <c r="F78" s="1" t="n"/>
      <c r="G78" s="1" t="n"/>
      <c r="H78" s="1" t="n"/>
      <c r="I78" s="1" t="n"/>
      <c r="J78" s="1" t="n"/>
      <c r="K78" s="1" t="n"/>
      <c r="L78" s="1" t="n"/>
      <c r="M78" s="1" t="n"/>
    </row>
    <row r="79" ht="15" customHeight="1">
      <c r="A79" s="1" t="n"/>
      <c r="B79" s="1" t="n"/>
      <c r="C79" s="1" t="n"/>
      <c r="D79" s="1" t="n"/>
      <c r="E79" s="1" t="n"/>
      <c r="F79" s="1" t="n"/>
      <c r="G79" s="1" t="n"/>
      <c r="H79" s="1" t="n"/>
      <c r="I79" s="1" t="n"/>
      <c r="J79" s="1" t="n"/>
      <c r="K79" s="1" t="n"/>
      <c r="L79" s="1" t="n"/>
      <c r="M79" s="1" t="n"/>
    </row>
    <row r="80" ht="15" customHeight="1">
      <c r="A80" s="1" t="n"/>
      <c r="B80" s="1" t="n"/>
      <c r="C80" s="1" t="n"/>
      <c r="D80" s="1" t="n"/>
      <c r="E80" s="1" t="n"/>
      <c r="F80" s="1" t="n"/>
      <c r="G80" s="1" t="n"/>
      <c r="H80" s="1" t="n"/>
      <c r="I80" s="1" t="n"/>
      <c r="J80" s="1" t="n"/>
      <c r="K80" s="1" t="n"/>
      <c r="L80" s="1" t="n"/>
      <c r="M80" s="1" t="n"/>
    </row>
    <row r="81" ht="15" customHeight="1">
      <c r="A81" s="1" t="n"/>
      <c r="B81" s="1" t="n"/>
      <c r="C81" s="1" t="n"/>
      <c r="D81" s="1" t="n"/>
      <c r="E81" s="1" t="n"/>
      <c r="F81" s="1" t="n"/>
      <c r="G81" s="1" t="n"/>
      <c r="H81" s="1" t="n"/>
      <c r="I81" s="1" t="n"/>
      <c r="J81" s="1" t="n"/>
      <c r="K81" s="1" t="n"/>
      <c r="L81" s="1" t="n"/>
      <c r="M81" s="1" t="n"/>
    </row>
    <row r="82" ht="15" customHeight="1">
      <c r="A82" s="1" t="n"/>
      <c r="B82" s="1" t="n"/>
      <c r="C82" s="1" t="n"/>
      <c r="D82" s="1" t="n"/>
      <c r="E82" s="1" t="n"/>
      <c r="F82" s="1" t="n"/>
      <c r="G82" s="1" t="n"/>
      <c r="H82" s="1" t="n"/>
      <c r="I82" s="1" t="n"/>
      <c r="J82" s="1" t="n"/>
      <c r="K82" s="1" t="n"/>
      <c r="L82" s="1" t="n"/>
      <c r="M82" s="1" t="n"/>
    </row>
    <row r="83" ht="15" customHeight="1">
      <c r="A83" s="1" t="n"/>
      <c r="B83" s="1" t="n"/>
      <c r="C83" s="1" t="n"/>
      <c r="D83" s="1" t="n"/>
      <c r="E83" s="1" t="n"/>
      <c r="F83" s="1" t="n"/>
      <c r="G83" s="1" t="n"/>
      <c r="H83" s="1" t="n"/>
      <c r="I83" s="1" t="n"/>
      <c r="J83" s="1" t="n"/>
      <c r="K83" s="1" t="n"/>
      <c r="L83" s="1" t="n"/>
      <c r="M83" s="1" t="n"/>
    </row>
    <row r="84" ht="15" customHeight="1">
      <c r="A84" s="1" t="n"/>
      <c r="B84" s="1" t="n"/>
      <c r="C84" s="1" t="n"/>
      <c r="D84" s="1" t="n"/>
      <c r="E84" s="1" t="n"/>
      <c r="F84" s="1" t="n"/>
      <c r="G84" s="1" t="n"/>
      <c r="H84" s="1" t="n"/>
      <c r="I84" s="1" t="n"/>
      <c r="J84" s="1" t="n"/>
      <c r="K84" s="1" t="n"/>
      <c r="L84" s="1" t="n"/>
      <c r="M84" s="1" t="n"/>
    </row>
    <row r="85" ht="15" customHeight="1">
      <c r="A85" s="1" t="n"/>
      <c r="B85" s="1" t="n"/>
      <c r="C85" s="1" t="n"/>
      <c r="D85" s="1" t="n"/>
      <c r="E85" s="1" t="n"/>
      <c r="F85" s="1" t="n"/>
      <c r="G85" s="1" t="n"/>
      <c r="H85" s="1" t="n"/>
      <c r="I85" s="1" t="n"/>
      <c r="J85" s="1" t="n"/>
      <c r="K85" s="1" t="n"/>
      <c r="L85" s="1" t="n"/>
      <c r="M85" s="1" t="n"/>
    </row>
    <row r="86" ht="15" customHeight="1">
      <c r="A86" s="1" t="n"/>
      <c r="B86" s="1" t="n"/>
      <c r="C86" s="1" t="n"/>
      <c r="D86" s="1" t="n"/>
      <c r="E86" s="1" t="n"/>
      <c r="F86" s="1" t="n"/>
      <c r="G86" s="1" t="n"/>
      <c r="H86" s="1" t="n"/>
      <c r="I86" s="1" t="n"/>
      <c r="J86" s="1" t="n"/>
      <c r="K86" s="1" t="n"/>
      <c r="L86" s="1" t="n"/>
      <c r="M86" s="1" t="n"/>
    </row>
    <row r="87" ht="15" customHeight="1">
      <c r="A87" s="1" t="n"/>
      <c r="B87" s="1" t="n"/>
      <c r="C87" s="1" t="n"/>
      <c r="D87" s="1" t="n"/>
      <c r="E87" s="1" t="n"/>
      <c r="F87" s="1" t="n"/>
      <c r="G87" s="1" t="n"/>
      <c r="H87" s="1" t="n"/>
      <c r="I87" s="1" t="n"/>
      <c r="J87" s="1" t="n"/>
      <c r="K87" s="1" t="n"/>
      <c r="L87" s="1" t="n"/>
      <c r="M87" s="1" t="n"/>
    </row>
    <row r="88" ht="15" customHeight="1">
      <c r="A88" s="1" t="n"/>
      <c r="B88" s="1" t="n"/>
      <c r="C88" s="1" t="n"/>
      <c r="D88" s="1" t="n"/>
      <c r="E88" s="1" t="n"/>
      <c r="F88" s="1" t="n"/>
      <c r="G88" s="1" t="n"/>
      <c r="H88" s="1" t="n"/>
      <c r="I88" s="1" t="n"/>
      <c r="J88" s="1" t="n"/>
      <c r="K88" s="1" t="n"/>
      <c r="L88" s="1" t="n"/>
      <c r="M88" s="1" t="n"/>
    </row>
    <row r="89" ht="15" customHeight="1">
      <c r="A89" s="1" t="n"/>
      <c r="B89" s="1" t="n"/>
      <c r="C89" s="1" t="n"/>
      <c r="D89" s="1" t="n"/>
      <c r="E89" s="1" t="n"/>
      <c r="F89" s="1" t="n"/>
      <c r="G89" s="1" t="n"/>
      <c r="H89" s="1" t="n"/>
      <c r="I89" s="1" t="n"/>
      <c r="J89" s="1" t="n"/>
      <c r="K89" s="1" t="n"/>
      <c r="L89" s="1" t="n"/>
      <c r="M89" s="1" t="n"/>
    </row>
    <row r="90" ht="15" customHeight="1">
      <c r="A90" s="1" t="n"/>
      <c r="B90" s="1" t="n"/>
      <c r="C90" s="1" t="n"/>
      <c r="D90" s="1" t="n"/>
      <c r="E90" s="1" t="n"/>
      <c r="F90" s="1" t="n"/>
      <c r="G90" s="1" t="n"/>
      <c r="H90" s="1" t="n"/>
      <c r="I90" s="1" t="n"/>
      <c r="J90" s="1" t="n"/>
      <c r="K90" s="1" t="n"/>
      <c r="L90" s="1" t="n"/>
      <c r="M90" s="1" t="n"/>
    </row>
    <row r="91" ht="15" customHeight="1">
      <c r="A91" s="1" t="n"/>
      <c r="B91" s="1" t="n"/>
      <c r="C91" s="1" t="n"/>
      <c r="D91" s="1" t="n"/>
      <c r="E91" s="1" t="n"/>
      <c r="F91" s="1" t="n"/>
      <c r="G91" s="1" t="n"/>
      <c r="H91" s="1" t="n"/>
      <c r="I91" s="1" t="n"/>
      <c r="J91" s="1" t="n"/>
      <c r="K91" s="1" t="n"/>
      <c r="L91" s="1" t="n"/>
      <c r="M91" s="1" t="n"/>
    </row>
    <row r="92" ht="15" customHeight="1">
      <c r="A92" s="1" t="n"/>
      <c r="B92" s="1" t="n"/>
      <c r="C92" s="1" t="n"/>
      <c r="D92" s="1" t="n"/>
      <c r="E92" s="1" t="n"/>
      <c r="F92" s="1" t="n"/>
      <c r="G92" s="1" t="n"/>
      <c r="H92" s="1" t="n"/>
      <c r="I92" s="1" t="n"/>
      <c r="J92" s="1" t="n"/>
      <c r="K92" s="1" t="n"/>
      <c r="L92" s="1" t="n"/>
      <c r="M92" s="1" t="n"/>
    </row>
    <row r="93" ht="15" customHeight="1">
      <c r="A93" s="1" t="n"/>
      <c r="B93" s="1" t="n"/>
      <c r="C93" s="1" t="n"/>
      <c r="D93" s="1" t="n"/>
      <c r="E93" s="1" t="n"/>
      <c r="F93" s="1" t="n"/>
      <c r="G93" s="1" t="n"/>
      <c r="H93" s="1" t="n"/>
      <c r="I93" s="1" t="n"/>
      <c r="J93" s="1" t="n"/>
      <c r="K93" s="1" t="n"/>
      <c r="L93" s="1" t="n"/>
      <c r="M93" s="1" t="n"/>
    </row>
    <row r="94" ht="15" customHeight="1">
      <c r="A94" s="1" t="n"/>
      <c r="B94" s="1" t="n"/>
      <c r="C94" s="1" t="n"/>
      <c r="D94" s="1" t="n"/>
      <c r="E94" s="1" t="n"/>
      <c r="F94" s="1" t="n"/>
      <c r="G94" s="1" t="n"/>
      <c r="H94" s="1" t="n"/>
      <c r="I94" s="1" t="n"/>
      <c r="J94" s="1" t="n"/>
      <c r="K94" s="1" t="n"/>
      <c r="L94" s="1" t="n"/>
      <c r="M94" s="1" t="n"/>
    </row>
    <row r="95" ht="15" customHeight="1">
      <c r="A95" s="1" t="n"/>
      <c r="B95" s="1" t="n"/>
      <c r="C95" s="1" t="n"/>
      <c r="D95" s="1" t="n"/>
      <c r="E95" s="1" t="n"/>
      <c r="F95" s="1" t="n"/>
      <c r="G95" s="1" t="n"/>
      <c r="H95" s="1" t="n"/>
      <c r="I95" s="1" t="n"/>
      <c r="J95" s="1" t="n"/>
      <c r="K95" s="1" t="n"/>
      <c r="L95" s="1" t="n"/>
      <c r="M95" s="1" t="n"/>
    </row>
    <row r="96" ht="15" customHeight="1">
      <c r="A96" s="1" t="n"/>
      <c r="B96" s="1" t="n"/>
      <c r="C96" s="1" t="n"/>
      <c r="D96" s="1" t="n"/>
      <c r="E96" s="1" t="n"/>
      <c r="F96" s="1" t="n"/>
      <c r="G96" s="1" t="n"/>
      <c r="H96" s="1" t="n"/>
      <c r="I96" s="1" t="n"/>
      <c r="J96" s="1" t="n"/>
      <c r="K96" s="1" t="n"/>
      <c r="L96" s="1" t="n"/>
      <c r="M96" s="1" t="n"/>
    </row>
    <row r="97" ht="15" customHeight="1">
      <c r="A97" s="1" t="n"/>
      <c r="B97" s="1" t="n"/>
      <c r="C97" s="1" t="n"/>
      <c r="D97" s="1" t="n"/>
      <c r="E97" s="1" t="n"/>
      <c r="F97" s="1" t="n"/>
      <c r="G97" s="1" t="n"/>
      <c r="H97" s="1" t="n"/>
      <c r="I97" s="1" t="n"/>
      <c r="J97" s="1" t="n"/>
      <c r="K97" s="1" t="n"/>
      <c r="L97" s="1" t="n"/>
      <c r="M97" s="1" t="n"/>
    </row>
    <row r="98" ht="15" customHeight="1">
      <c r="A98" s="1" t="n"/>
      <c r="B98" s="1" t="n"/>
      <c r="C98" s="1" t="n"/>
      <c r="D98" s="1" t="n"/>
      <c r="E98" s="1" t="n"/>
      <c r="F98" s="1" t="n"/>
      <c r="G98" s="1" t="n"/>
      <c r="H98" s="1" t="n"/>
      <c r="I98" s="1" t="n"/>
      <c r="J98" s="1" t="n"/>
      <c r="K98" s="1" t="n"/>
      <c r="L98" s="1" t="n"/>
      <c r="M98" s="1" t="n"/>
    </row>
    <row r="99" ht="15" customHeight="1">
      <c r="A99" s="1" t="n"/>
      <c r="B99" s="1" t="n"/>
      <c r="C99" s="1" t="n"/>
      <c r="D99" s="1" t="n"/>
      <c r="E99" s="1" t="n"/>
      <c r="F99" s="1" t="n"/>
      <c r="G99" s="1" t="n"/>
      <c r="H99" s="1" t="n"/>
      <c r="I99" s="1" t="n"/>
      <c r="J99" s="1" t="n"/>
      <c r="K99" s="1" t="n"/>
      <c r="L99" s="1" t="n"/>
      <c r="M99" s="1" t="n"/>
    </row>
    <row r="100" ht="15" customHeight="1">
      <c r="A100" s="1" t="n"/>
      <c r="B100" s="1" t="n"/>
      <c r="C100" s="1" t="n"/>
      <c r="D100" s="1" t="n"/>
      <c r="E100" s="1" t="n"/>
      <c r="F100" s="1" t="n"/>
      <c r="G100" s="1" t="n"/>
      <c r="H100" s="1" t="n"/>
      <c r="I100" s="1" t="n"/>
      <c r="J100" s="1" t="n"/>
      <c r="K100" s="1" t="n"/>
      <c r="L100" s="1" t="n"/>
      <c r="M100" s="1" t="n"/>
    </row>
    <row r="101" ht="15" customHeight="1">
      <c r="A101" s="1" t="n"/>
      <c r="B101" s="1" t="n"/>
      <c r="C101" s="1" t="n"/>
      <c r="D101" s="1" t="n"/>
      <c r="E101" s="1" t="n"/>
      <c r="F101" s="1" t="n"/>
      <c r="G101" s="1" t="n"/>
      <c r="H101" s="1" t="n"/>
      <c r="I101" s="1" t="n"/>
      <c r="J101" s="1" t="n"/>
      <c r="K101" s="1" t="n"/>
      <c r="L101" s="1" t="n"/>
      <c r="M101" s="1" t="n"/>
    </row>
    <row r="102" ht="15" customHeight="1">
      <c r="A102" s="1" t="n"/>
      <c r="B102" s="1" t="n"/>
      <c r="C102" s="1" t="n"/>
      <c r="D102" s="1" t="n"/>
      <c r="E102" s="1" t="n"/>
      <c r="F102" s="1" t="n"/>
      <c r="G102" s="1" t="n"/>
      <c r="H102" s="1" t="n"/>
      <c r="I102" s="1" t="n"/>
      <c r="J102" s="1" t="n"/>
      <c r="K102" s="1" t="n"/>
      <c r="L102" s="1" t="n"/>
      <c r="M102" s="1" t="n"/>
    </row>
    <row r="103" ht="15" customHeight="1">
      <c r="A103" s="1" t="n"/>
      <c r="B103" s="1" t="n"/>
      <c r="C103" s="1" t="n"/>
      <c r="D103" s="1" t="n"/>
      <c r="E103" s="1" t="n"/>
      <c r="F103" s="1" t="n"/>
      <c r="G103" s="1" t="n"/>
      <c r="H103" s="1" t="n"/>
      <c r="I103" s="1" t="n"/>
      <c r="J103" s="1" t="n"/>
      <c r="K103" s="1" t="n"/>
      <c r="L103" s="1" t="n"/>
      <c r="M103" s="1" t="n"/>
    </row>
    <row r="104" ht="15" customHeight="1">
      <c r="A104" s="1" t="n"/>
      <c r="B104" s="1" t="n"/>
      <c r="C104" s="1" t="n"/>
      <c r="D104" s="1" t="n"/>
      <c r="E104" s="1" t="n"/>
      <c r="F104" s="1" t="n"/>
      <c r="G104" s="1" t="n"/>
      <c r="H104" s="1" t="n"/>
      <c r="I104" s="1" t="n"/>
      <c r="J104" s="1" t="n"/>
      <c r="K104" s="1" t="n"/>
      <c r="L104" s="1" t="n"/>
      <c r="M104" s="1" t="n"/>
    </row>
    <row r="105" ht="15" customHeight="1">
      <c r="A105" s="1" t="n"/>
      <c r="B105" s="1" t="n"/>
      <c r="C105" s="1" t="n"/>
      <c r="D105" s="1" t="n"/>
      <c r="E105" s="1" t="n"/>
      <c r="F105" s="1" t="n"/>
      <c r="G105" s="1" t="n"/>
      <c r="H105" s="1" t="n"/>
      <c r="I105" s="1" t="n"/>
      <c r="J105" s="1" t="n"/>
      <c r="K105" s="1" t="n"/>
      <c r="L105" s="1" t="n"/>
      <c r="M105" s="1" t="n"/>
    </row>
    <row r="106" ht="15" customHeight="1">
      <c r="A106" s="1" t="n"/>
      <c r="B106" s="1" t="n"/>
      <c r="C106" s="1" t="n"/>
      <c r="D106" s="1" t="n"/>
      <c r="E106" s="1" t="n"/>
      <c r="F106" s="1" t="n"/>
      <c r="G106" s="1" t="n"/>
      <c r="H106" s="1" t="n"/>
      <c r="I106" s="1" t="n"/>
      <c r="J106" s="1" t="n"/>
      <c r="K106" s="1" t="n"/>
      <c r="L106" s="1" t="n"/>
      <c r="M106" s="1" t="n"/>
    </row>
    <row r="107" ht="15" customHeight="1">
      <c r="A107" s="1" t="n"/>
      <c r="B107" s="1" t="n"/>
      <c r="C107" s="1" t="n"/>
      <c r="D107" s="1" t="n"/>
      <c r="E107" s="1" t="n"/>
      <c r="F107" s="1" t="n"/>
      <c r="G107" s="1" t="n"/>
      <c r="H107" s="1" t="n"/>
      <c r="I107" s="1" t="n"/>
      <c r="J107" s="1" t="n"/>
      <c r="K107" s="1" t="n"/>
      <c r="L107" s="1" t="n"/>
      <c r="M107" s="1" t="n"/>
    </row>
    <row r="108" ht="15" customHeight="1">
      <c r="A108" s="1" t="n"/>
      <c r="B108" s="1" t="n"/>
      <c r="C108" s="1" t="n"/>
      <c r="D108" s="1" t="n"/>
      <c r="E108" s="1" t="n"/>
      <c r="F108" s="1" t="n"/>
      <c r="G108" s="1" t="n"/>
      <c r="H108" s="1" t="n"/>
      <c r="I108" s="1" t="n"/>
      <c r="J108" s="1" t="n"/>
      <c r="K108" s="1" t="n"/>
      <c r="L108" s="1" t="n"/>
      <c r="M108" s="1" t="n"/>
    </row>
    <row r="109" ht="15" customHeight="1">
      <c r="A109" s="1" t="n"/>
      <c r="B109" s="1" t="n"/>
      <c r="C109" s="1" t="n"/>
      <c r="D109" s="1" t="n"/>
      <c r="E109" s="1" t="n"/>
      <c r="F109" s="1" t="n"/>
      <c r="G109" s="1" t="n"/>
      <c r="H109" s="1" t="n"/>
      <c r="I109" s="1" t="n"/>
      <c r="J109" s="1" t="n"/>
      <c r="K109" s="1" t="n"/>
      <c r="L109" s="1" t="n"/>
      <c r="M109" s="1" t="n"/>
    </row>
    <row r="110" ht="15" customHeight="1">
      <c r="A110" s="1" t="n"/>
      <c r="B110" s="1" t="n"/>
      <c r="C110" s="1" t="n"/>
      <c r="D110" s="1" t="n"/>
      <c r="E110" s="1" t="n"/>
      <c r="F110" s="1" t="n"/>
      <c r="G110" s="1" t="n"/>
      <c r="H110" s="1" t="n"/>
      <c r="I110" s="1" t="n"/>
      <c r="J110" s="1" t="n"/>
      <c r="K110" s="1" t="n"/>
      <c r="L110" s="1" t="n"/>
      <c r="M110" s="1" t="n"/>
    </row>
    <row r="111" ht="15" customHeight="1">
      <c r="A111" s="1" t="n"/>
      <c r="B111" s="1" t="n"/>
      <c r="C111" s="1" t="n"/>
      <c r="D111" s="1" t="n"/>
      <c r="E111" s="1" t="n"/>
      <c r="F111" s="1" t="n"/>
      <c r="G111" s="1" t="n"/>
      <c r="H111" s="1" t="n"/>
      <c r="I111" s="1" t="n"/>
      <c r="J111" s="1" t="n"/>
      <c r="K111" s="1" t="n"/>
      <c r="L111" s="1" t="n"/>
      <c r="M111" s="1" t="n"/>
    </row>
    <row r="112" ht="15" customHeight="1">
      <c r="A112" s="1" t="n"/>
      <c r="B112" s="1" t="n"/>
      <c r="C112" s="1" t="n"/>
      <c r="D112" s="1" t="n"/>
      <c r="E112" s="1" t="n"/>
      <c r="F112" s="1" t="n"/>
      <c r="G112" s="1" t="n"/>
      <c r="H112" s="1" t="n"/>
      <c r="I112" s="1" t="n"/>
      <c r="J112" s="1" t="n"/>
      <c r="K112" s="1" t="n"/>
      <c r="L112" s="1" t="n"/>
      <c r="M112" s="1" t="n"/>
    </row>
    <row r="113" ht="15" customHeight="1">
      <c r="A113" s="1" t="n"/>
      <c r="B113" s="1" t="n"/>
      <c r="C113" s="1" t="n"/>
      <c r="D113" s="1" t="n"/>
      <c r="E113" s="1" t="n"/>
      <c r="F113" s="1" t="n"/>
      <c r="G113" s="1" t="n"/>
      <c r="H113" s="1" t="n"/>
      <c r="I113" s="1" t="n"/>
      <c r="J113" s="1" t="n"/>
      <c r="K113" s="1" t="n"/>
      <c r="L113" s="1" t="n"/>
      <c r="M113" s="1" t="n"/>
    </row>
    <row r="114" ht="15" customHeight="1">
      <c r="A114" s="1" t="n"/>
      <c r="B114" s="1" t="n"/>
      <c r="C114" s="1" t="n"/>
      <c r="D114" s="1" t="n"/>
      <c r="E114" s="1" t="n"/>
      <c r="F114" s="1" t="n"/>
      <c r="G114" s="1" t="n"/>
      <c r="H114" s="1" t="n"/>
      <c r="I114" s="1" t="n"/>
      <c r="J114" s="1" t="n"/>
      <c r="K114" s="1" t="n"/>
      <c r="L114" s="1" t="n"/>
      <c r="M114" s="1" t="n"/>
    </row>
    <row r="115" ht="15" customHeight="1">
      <c r="A115" s="1" t="n"/>
      <c r="B115" s="1" t="n"/>
      <c r="C115" s="1" t="n"/>
      <c r="D115" s="1" t="n"/>
      <c r="E115" s="1" t="n"/>
      <c r="F115" s="1" t="n"/>
      <c r="G115" s="1" t="n"/>
      <c r="H115" s="1" t="n"/>
      <c r="I115" s="1" t="n"/>
      <c r="J115" s="1" t="n"/>
      <c r="K115" s="1" t="n"/>
      <c r="L115" s="1" t="n"/>
      <c r="M115" s="1" t="n"/>
    </row>
    <row r="116" ht="15" customHeight="1">
      <c r="A116" s="1" t="n"/>
      <c r="B116" s="1" t="n"/>
      <c r="C116" s="1" t="n"/>
      <c r="D116" s="1" t="n"/>
      <c r="E116" s="1" t="n"/>
      <c r="F116" s="1" t="n"/>
      <c r="G116" s="1" t="n"/>
      <c r="H116" s="1" t="n"/>
      <c r="I116" s="1" t="n"/>
      <c r="J116" s="1" t="n"/>
      <c r="K116" s="1" t="n"/>
      <c r="L116" s="1" t="n"/>
      <c r="M116" s="1" t="n"/>
    </row>
    <row r="117" ht="15" customHeight="1">
      <c r="A117" s="1" t="n"/>
      <c r="B117" s="1" t="n"/>
      <c r="C117" s="1" t="n"/>
      <c r="D117" s="1" t="n"/>
      <c r="E117" s="1" t="n"/>
      <c r="F117" s="1" t="n"/>
      <c r="G117" s="1" t="n"/>
      <c r="H117" s="1" t="n"/>
      <c r="I117" s="1" t="n"/>
      <c r="J117" s="1" t="n"/>
      <c r="K117" s="1" t="n"/>
      <c r="L117" s="1" t="n"/>
      <c r="M117" s="1" t="n"/>
    </row>
    <row r="118" ht="15" customHeight="1">
      <c r="A118" s="1" t="n"/>
      <c r="B118" s="1" t="n"/>
      <c r="C118" s="1" t="n"/>
      <c r="D118" s="1" t="n"/>
      <c r="E118" s="1" t="n"/>
      <c r="F118" s="1" t="n"/>
      <c r="G118" s="1" t="n"/>
      <c r="H118" s="1" t="n"/>
      <c r="I118" s="1" t="n"/>
      <c r="J118" s="1" t="n"/>
      <c r="K118" s="1" t="n"/>
      <c r="L118" s="1" t="n"/>
      <c r="M118" s="1" t="n"/>
    </row>
    <row r="119" ht="15" customHeight="1">
      <c r="A119" s="1" t="n"/>
      <c r="B119" s="1" t="n"/>
      <c r="C119" s="1" t="n"/>
      <c r="D119" s="1" t="n"/>
      <c r="E119" s="1" t="n"/>
      <c r="F119" s="1" t="n"/>
      <c r="G119" s="1" t="n"/>
      <c r="H119" s="1" t="n"/>
      <c r="I119" s="1" t="n"/>
      <c r="J119" s="1" t="n"/>
      <c r="K119" s="1" t="n"/>
      <c r="L119" s="1" t="n"/>
      <c r="M119" s="1" t="n"/>
    </row>
    <row r="120" ht="15" customHeight="1">
      <c r="A120" s="1" t="n"/>
      <c r="B120" s="1" t="n"/>
      <c r="C120" s="1" t="n"/>
      <c r="D120" s="1" t="n"/>
      <c r="E120" s="1" t="n"/>
      <c r="F120" s="1" t="n"/>
      <c r="G120" s="1" t="n"/>
      <c r="H120" s="1" t="n"/>
      <c r="I120" s="1" t="n"/>
      <c r="J120" s="1" t="n"/>
      <c r="K120" s="1" t="n"/>
      <c r="L120" s="1" t="n"/>
      <c r="M120" s="1" t="n"/>
    </row>
    <row r="121" ht="15" customHeight="1">
      <c r="A121" s="1" t="n"/>
      <c r="B121" s="1" t="n"/>
      <c r="C121" s="1" t="n"/>
      <c r="D121" s="1" t="n"/>
      <c r="E121" s="1" t="n"/>
      <c r="F121" s="1" t="n"/>
      <c r="G121" s="1" t="n"/>
      <c r="H121" s="1" t="n"/>
      <c r="I121" s="1" t="n"/>
      <c r="J121" s="1" t="n"/>
      <c r="K121" s="1" t="n"/>
      <c r="L121" s="1" t="n"/>
      <c r="M121" s="1" t="n"/>
    </row>
    <row r="122" ht="15" customHeight="1">
      <c r="A122" s="1" t="n"/>
      <c r="B122" s="1" t="n"/>
      <c r="C122" s="1" t="n"/>
      <c r="D122" s="1" t="n"/>
      <c r="E122" s="1" t="n"/>
      <c r="F122" s="1" t="n"/>
      <c r="G122" s="1" t="n"/>
      <c r="H122" s="1" t="n"/>
      <c r="I122" s="1" t="n"/>
      <c r="J122" s="1" t="n"/>
      <c r="K122" s="1" t="n"/>
      <c r="L122" s="1" t="n"/>
      <c r="M122" s="1" t="n"/>
    </row>
    <row r="123" ht="15" customHeight="1">
      <c r="A123" s="1" t="n"/>
      <c r="B123" s="1" t="n"/>
      <c r="C123" s="1" t="n"/>
      <c r="D123" s="1" t="n"/>
      <c r="E123" s="1" t="n"/>
      <c r="F123" s="1" t="n"/>
      <c r="G123" s="1" t="n"/>
      <c r="H123" s="1" t="n"/>
      <c r="I123" s="1" t="n"/>
      <c r="J123" s="1" t="n"/>
      <c r="K123" s="1" t="n"/>
      <c r="L123" s="1" t="n"/>
      <c r="M123" s="1" t="n"/>
    </row>
    <row r="124" ht="15" customHeight="1">
      <c r="A124" s="1" t="n"/>
      <c r="B124" s="1" t="n"/>
      <c r="C124" s="1" t="n"/>
      <c r="D124" s="1" t="n"/>
      <c r="E124" s="1" t="n"/>
      <c r="F124" s="1" t="n"/>
      <c r="G124" s="1" t="n"/>
      <c r="H124" s="1" t="n"/>
      <c r="I124" s="1" t="n"/>
      <c r="J124" s="1" t="n"/>
      <c r="K124" s="1" t="n"/>
      <c r="L124" s="1" t="n"/>
      <c r="M124" s="1" t="n"/>
    </row>
    <row r="125" ht="15" customHeight="1">
      <c r="A125" s="1" t="n"/>
      <c r="B125" s="1" t="n"/>
      <c r="C125" s="1" t="n"/>
      <c r="D125" s="1" t="n"/>
      <c r="E125" s="1" t="n"/>
      <c r="F125" s="1" t="n"/>
      <c r="G125" s="1" t="n"/>
      <c r="H125" s="1" t="n"/>
      <c r="I125" s="1" t="n"/>
      <c r="J125" s="1" t="n"/>
      <c r="K125" s="1" t="n"/>
      <c r="L125" s="1" t="n"/>
      <c r="M125" s="1" t="n"/>
    </row>
    <row r="126" ht="15" customHeight="1">
      <c r="A126" s="1" t="n"/>
      <c r="B126" s="1" t="n"/>
      <c r="C126" s="1" t="n"/>
      <c r="D126" s="1" t="n"/>
      <c r="E126" s="1" t="n"/>
      <c r="F126" s="1" t="n"/>
      <c r="G126" s="1" t="n"/>
      <c r="H126" s="1" t="n"/>
      <c r="I126" s="1" t="n"/>
      <c r="J126" s="1" t="n"/>
      <c r="K126" s="1" t="n"/>
      <c r="L126" s="1" t="n"/>
      <c r="M126" s="1" t="n"/>
    </row>
    <row r="127" ht="15" customHeight="1">
      <c r="A127" s="1" t="n"/>
      <c r="B127" s="1" t="n"/>
      <c r="C127" s="1" t="n"/>
      <c r="D127" s="1" t="n"/>
      <c r="E127" s="1" t="n"/>
      <c r="F127" s="1" t="n"/>
      <c r="G127" s="1" t="n"/>
      <c r="H127" s="1" t="n"/>
      <c r="I127" s="1" t="n"/>
      <c r="J127" s="1" t="n"/>
      <c r="K127" s="1" t="n"/>
      <c r="L127" s="1" t="n"/>
      <c r="M127" s="1" t="n"/>
    </row>
    <row r="128" ht="15" customHeight="1">
      <c r="A128" s="1" t="n"/>
      <c r="B128" s="1" t="n"/>
      <c r="C128" s="1" t="n"/>
      <c r="D128" s="1" t="n"/>
      <c r="E128" s="1" t="n"/>
      <c r="F128" s="1" t="n"/>
      <c r="G128" s="1" t="n"/>
      <c r="H128" s="1" t="n"/>
      <c r="I128" s="1" t="n"/>
      <c r="J128" s="1" t="n"/>
      <c r="K128" s="1" t="n"/>
      <c r="L128" s="1" t="n"/>
      <c r="M128" s="1" t="n"/>
    </row>
    <row r="129" ht="15" customHeight="1">
      <c r="A129" s="1" t="n"/>
      <c r="B129" s="1" t="n"/>
      <c r="C129" s="1" t="n"/>
      <c r="D129" s="1" t="n"/>
      <c r="E129" s="1" t="n"/>
      <c r="F129" s="1" t="n"/>
      <c r="G129" s="1" t="n"/>
      <c r="H129" s="1" t="n"/>
      <c r="I129" s="1" t="n"/>
      <c r="J129" s="1" t="n"/>
      <c r="K129" s="1" t="n"/>
      <c r="L129" s="1" t="n"/>
      <c r="M129" s="1" t="n"/>
    </row>
    <row r="130" ht="15" customHeight="1">
      <c r="A130" s="1" t="n"/>
      <c r="B130" s="1" t="n"/>
      <c r="C130" s="1" t="n"/>
      <c r="D130" s="1" t="n"/>
      <c r="E130" s="1" t="n"/>
      <c r="F130" s="1" t="n"/>
      <c r="G130" s="1" t="n"/>
      <c r="H130" s="1" t="n"/>
      <c r="I130" s="1" t="n"/>
      <c r="J130" s="1" t="n"/>
      <c r="K130" s="1" t="n"/>
      <c r="L130" s="1" t="n"/>
      <c r="M130" s="1" t="n"/>
    </row>
    <row r="131" ht="15" customHeight="1">
      <c r="A131" s="1" t="n"/>
      <c r="B131" s="1" t="n"/>
      <c r="C131" s="1" t="n"/>
      <c r="D131" s="1" t="n"/>
      <c r="E131" s="1" t="n"/>
      <c r="F131" s="1" t="n"/>
      <c r="G131" s="1" t="n"/>
      <c r="H131" s="1" t="n"/>
      <c r="I131" s="1" t="n"/>
      <c r="J131" s="1" t="n"/>
      <c r="K131" s="1" t="n"/>
      <c r="L131" s="1" t="n"/>
      <c r="M131" s="1" t="n"/>
    </row>
    <row r="132" ht="15" customHeight="1">
      <c r="A132" s="1" t="n"/>
      <c r="B132" s="1" t="n"/>
      <c r="C132" s="1" t="n"/>
      <c r="D132" s="1" t="n"/>
      <c r="E132" s="1" t="n"/>
      <c r="F132" s="1" t="n"/>
      <c r="G132" s="1" t="n"/>
      <c r="H132" s="1" t="n"/>
      <c r="I132" s="1" t="n"/>
      <c r="J132" s="1" t="n"/>
      <c r="K132" s="1" t="n"/>
      <c r="L132" s="1" t="n"/>
      <c r="M132" s="1" t="n"/>
    </row>
    <row r="133" ht="15" customHeight="1">
      <c r="A133" s="1" t="n"/>
      <c r="B133" s="1" t="n"/>
      <c r="C133" s="1" t="n"/>
      <c r="D133" s="1" t="n"/>
      <c r="E133" s="1" t="n"/>
      <c r="F133" s="1" t="n"/>
      <c r="G133" s="1" t="n"/>
      <c r="H133" s="1" t="n"/>
      <c r="I133" s="1" t="n"/>
      <c r="J133" s="1" t="n"/>
      <c r="K133" s="1" t="n"/>
      <c r="L133" s="1" t="n"/>
      <c r="M133" s="1" t="n"/>
    </row>
    <row r="134" ht="15" customHeight="1">
      <c r="A134" s="1" t="n"/>
      <c r="B134" s="1" t="n"/>
      <c r="C134" s="1" t="n"/>
      <c r="D134" s="1" t="n"/>
      <c r="E134" s="1" t="n"/>
      <c r="F134" s="1" t="n"/>
      <c r="G134" s="1" t="n"/>
      <c r="H134" s="1" t="n"/>
      <c r="I134" s="1" t="n"/>
      <c r="J134" s="1" t="n"/>
      <c r="K134" s="1" t="n"/>
      <c r="L134" s="1" t="n"/>
      <c r="M134" s="1" t="n"/>
    </row>
    <row r="135" ht="15" customHeight="1">
      <c r="A135" s="1" t="n"/>
      <c r="B135" s="1" t="n"/>
      <c r="C135" s="1" t="n"/>
      <c r="D135" s="1" t="n"/>
      <c r="E135" s="1" t="n"/>
      <c r="F135" s="1" t="n"/>
      <c r="G135" s="1" t="n"/>
      <c r="H135" s="1" t="n"/>
      <c r="I135" s="1" t="n"/>
      <c r="J135" s="1" t="n"/>
      <c r="K135" s="1" t="n"/>
      <c r="L135" s="1" t="n"/>
      <c r="M135" s="1" t="n"/>
    </row>
    <row r="136" ht="15" customHeight="1">
      <c r="A136" s="1" t="n"/>
      <c r="B136" s="1" t="n"/>
      <c r="C136" s="1" t="n"/>
      <c r="D136" s="1" t="n"/>
      <c r="E136" s="1" t="n"/>
      <c r="F136" s="1" t="n"/>
      <c r="G136" s="1" t="n"/>
      <c r="H136" s="1" t="n"/>
      <c r="I136" s="1" t="n"/>
      <c r="J136" s="1" t="n"/>
      <c r="K136" s="1" t="n"/>
      <c r="L136" s="1" t="n"/>
      <c r="M136" s="1" t="n"/>
    </row>
    <row r="137" ht="15" customHeight="1">
      <c r="A137" s="1" t="n"/>
      <c r="B137" s="1" t="n"/>
      <c r="C137" s="1" t="n"/>
      <c r="D137" s="1" t="n"/>
      <c r="E137" s="1" t="n"/>
      <c r="F137" s="1" t="n"/>
      <c r="G137" s="1" t="n"/>
      <c r="H137" s="1" t="n"/>
      <c r="I137" s="1" t="n"/>
      <c r="J137" s="1" t="n"/>
      <c r="K137" s="1" t="n"/>
      <c r="L137" s="1" t="n"/>
      <c r="M137" s="1" t="n"/>
    </row>
    <row r="138" ht="15" customHeight="1">
      <c r="A138" s="1" t="n"/>
      <c r="B138" s="1" t="n"/>
      <c r="C138" s="1" t="n"/>
      <c r="D138" s="1" t="n"/>
      <c r="E138" s="1" t="n"/>
      <c r="F138" s="1" t="n"/>
      <c r="G138" s="1" t="n"/>
      <c r="H138" s="1" t="n"/>
      <c r="I138" s="1" t="n"/>
      <c r="J138" s="1" t="n"/>
      <c r="K138" s="1" t="n"/>
      <c r="L138" s="1" t="n"/>
      <c r="M138" s="1" t="n"/>
    </row>
    <row r="139" ht="15" customHeight="1">
      <c r="A139" s="1" t="n"/>
      <c r="B139" s="1" t="n"/>
      <c r="C139" s="1" t="n"/>
      <c r="D139" s="1" t="n"/>
      <c r="E139" s="1" t="n"/>
      <c r="F139" s="1" t="n"/>
      <c r="G139" s="1" t="n"/>
      <c r="H139" s="1" t="n"/>
      <c r="I139" s="1" t="n"/>
      <c r="J139" s="1" t="n"/>
      <c r="K139" s="1" t="n"/>
      <c r="L139" s="1" t="n"/>
      <c r="M139" s="1" t="n"/>
    </row>
    <row r="140" ht="15" customHeight="1">
      <c r="A140" s="1" t="n"/>
      <c r="B140" s="1" t="n"/>
      <c r="C140" s="1" t="n"/>
      <c r="D140" s="1" t="n"/>
      <c r="E140" s="1" t="n"/>
      <c r="F140" s="1" t="n"/>
      <c r="G140" s="1" t="n"/>
      <c r="H140" s="1" t="n"/>
      <c r="I140" s="1" t="n"/>
      <c r="J140" s="1" t="n"/>
      <c r="K140" s="1" t="n"/>
      <c r="L140" s="1" t="n"/>
      <c r="M140" s="1" t="n"/>
    </row>
    <row r="141" ht="15" customHeight="1">
      <c r="A141" s="1" t="n"/>
      <c r="B141" s="1" t="n"/>
      <c r="C141" s="1" t="n"/>
      <c r="D141" s="1" t="n"/>
      <c r="E141" s="1" t="n"/>
      <c r="F141" s="1" t="n"/>
      <c r="G141" s="1" t="n"/>
      <c r="H141" s="1" t="n"/>
      <c r="I141" s="1" t="n"/>
      <c r="J141" s="1" t="n"/>
      <c r="K141" s="1" t="n"/>
      <c r="L141" s="1" t="n"/>
      <c r="M141" s="1" t="n"/>
    </row>
    <row r="142" ht="15" customHeight="1">
      <c r="A142" s="1" t="n"/>
      <c r="B142" s="1" t="n"/>
      <c r="C142" s="1" t="n"/>
      <c r="D142" s="1" t="n"/>
      <c r="E142" s="1" t="n"/>
      <c r="F142" s="1" t="n"/>
      <c r="G142" s="1" t="n"/>
      <c r="H142" s="1" t="n"/>
      <c r="I142" s="1" t="n"/>
      <c r="J142" s="1" t="n"/>
      <c r="K142" s="1" t="n"/>
      <c r="L142" s="1" t="n"/>
      <c r="M142" s="1" t="n"/>
    </row>
    <row r="143" ht="15" customHeight="1">
      <c r="A143" s="1" t="n"/>
      <c r="B143" s="1" t="n"/>
      <c r="C143" s="1" t="n"/>
      <c r="D143" s="1" t="n"/>
      <c r="E143" s="1" t="n"/>
      <c r="F143" s="1" t="n"/>
      <c r="G143" s="1" t="n"/>
      <c r="H143" s="1" t="n"/>
      <c r="I143" s="1" t="n"/>
      <c r="J143" s="1" t="n"/>
      <c r="K143" s="1" t="n"/>
      <c r="L143" s="1" t="n"/>
      <c r="M143" s="1" t="n"/>
    </row>
    <row r="144" ht="15" customHeight="1">
      <c r="A144" s="1" t="n"/>
      <c r="B144" s="1" t="n"/>
      <c r="C144" s="1" t="n"/>
      <c r="D144" s="1" t="n"/>
      <c r="E144" s="1" t="n"/>
      <c r="F144" s="1" t="n"/>
      <c r="G144" s="1" t="n"/>
      <c r="H144" s="1" t="n"/>
      <c r="I144" s="1" t="n"/>
      <c r="J144" s="1" t="n"/>
      <c r="K144" s="1" t="n"/>
      <c r="L144" s="1" t="n"/>
      <c r="M144" s="1" t="n"/>
    </row>
    <row r="145" ht="15" customHeight="1">
      <c r="A145" s="1" t="n"/>
      <c r="B145" s="1" t="n"/>
      <c r="C145" s="1" t="n"/>
      <c r="D145" s="1" t="n"/>
      <c r="E145" s="1" t="n"/>
      <c r="F145" s="1" t="n"/>
      <c r="G145" s="1" t="n"/>
      <c r="H145" s="1" t="n"/>
      <c r="I145" s="1" t="n"/>
      <c r="J145" s="1" t="n"/>
      <c r="K145" s="1" t="n"/>
      <c r="L145" s="1" t="n"/>
      <c r="M145" s="1" t="n"/>
    </row>
    <row r="146" ht="15" customHeight="1">
      <c r="A146" s="1" t="n"/>
      <c r="B146" s="1" t="n"/>
      <c r="C146" s="1" t="n"/>
      <c r="D146" s="1" t="n"/>
      <c r="E146" s="1" t="n"/>
      <c r="F146" s="1" t="n"/>
      <c r="G146" s="1" t="n"/>
      <c r="H146" s="1" t="n"/>
      <c r="I146" s="1" t="n"/>
      <c r="J146" s="1" t="n"/>
      <c r="K146" s="1" t="n"/>
      <c r="L146" s="1" t="n"/>
      <c r="M146" s="1" t="n"/>
    </row>
    <row r="147" ht="15" customHeight="1">
      <c r="A147" s="1" t="n"/>
      <c r="B147" s="1" t="n"/>
      <c r="C147" s="1" t="n"/>
      <c r="D147" s="1" t="n"/>
      <c r="E147" s="1" t="n"/>
      <c r="F147" s="1" t="n"/>
      <c r="G147" s="1" t="n"/>
      <c r="H147" s="1" t="n"/>
      <c r="I147" s="1" t="n"/>
      <c r="J147" s="1" t="n"/>
      <c r="K147" s="1" t="n"/>
      <c r="L147" s="1" t="n"/>
      <c r="M147" s="1" t="n"/>
    </row>
    <row r="148" ht="15" customHeight="1">
      <c r="A148" s="1" t="n"/>
      <c r="B148" s="1" t="n"/>
      <c r="C148" s="1" t="n"/>
      <c r="D148" s="1" t="n"/>
      <c r="E148" s="1" t="n"/>
      <c r="F148" s="1" t="n"/>
      <c r="G148" s="1" t="n"/>
      <c r="H148" s="1" t="n"/>
      <c r="I148" s="1" t="n"/>
      <c r="J148" s="1" t="n"/>
      <c r="K148" s="1" t="n"/>
      <c r="L148" s="1" t="n"/>
      <c r="M148" s="1" t="n"/>
    </row>
    <row r="149" ht="15" customHeight="1">
      <c r="A149" s="1" t="n"/>
      <c r="B149" s="1" t="n"/>
      <c r="C149" s="1" t="n"/>
      <c r="D149" s="1" t="n"/>
      <c r="E149" s="1" t="n"/>
      <c r="F149" s="1" t="n"/>
      <c r="G149" s="1" t="n"/>
      <c r="H149" s="1" t="n"/>
      <c r="I149" s="1" t="n"/>
      <c r="J149" s="1" t="n"/>
      <c r="K149" s="1" t="n"/>
      <c r="L149" s="1" t="n"/>
      <c r="M149" s="1" t="n"/>
    </row>
    <row r="150" ht="15" customHeight="1">
      <c r="A150" s="1" t="n"/>
      <c r="B150" s="1" t="n"/>
      <c r="C150" s="1" t="n"/>
      <c r="D150" s="1" t="n"/>
      <c r="E150" s="1" t="n"/>
      <c r="F150" s="1" t="n"/>
      <c r="G150" s="1" t="n"/>
      <c r="H150" s="1" t="n"/>
      <c r="I150" s="1" t="n"/>
      <c r="J150" s="1" t="n"/>
      <c r="K150" s="1" t="n"/>
      <c r="L150" s="1" t="n"/>
      <c r="M150" s="1" t="n"/>
    </row>
    <row r="151" ht="15" customHeight="1">
      <c r="A151" s="1" t="n"/>
      <c r="B151" s="1" t="n"/>
      <c r="C151" s="1" t="n"/>
      <c r="D151" s="1" t="n"/>
      <c r="E151" s="1" t="n"/>
      <c r="F151" s="1" t="n"/>
      <c r="G151" s="1" t="n"/>
      <c r="H151" s="1" t="n"/>
      <c r="I151" s="1" t="n"/>
      <c r="J151" s="1" t="n"/>
      <c r="K151" s="1" t="n"/>
      <c r="L151" s="1" t="n"/>
      <c r="M151" s="1" t="n"/>
    </row>
    <row r="152" ht="15" customHeight="1">
      <c r="A152" s="1" t="n"/>
      <c r="B152" s="1" t="n"/>
      <c r="C152" s="1" t="n"/>
      <c r="D152" s="1" t="n"/>
      <c r="E152" s="1" t="n"/>
      <c r="F152" s="1" t="n"/>
      <c r="G152" s="1" t="n"/>
      <c r="H152" s="1" t="n"/>
      <c r="I152" s="1" t="n"/>
      <c r="J152" s="1" t="n"/>
      <c r="K152" s="1" t="n"/>
      <c r="L152" s="1" t="n"/>
      <c r="M152" s="1" t="n"/>
    </row>
    <row r="153" ht="15" customHeight="1">
      <c r="A153" s="1" t="n"/>
      <c r="B153" s="1" t="n"/>
      <c r="C153" s="1" t="n"/>
      <c r="D153" s="1" t="n"/>
      <c r="E153" s="1" t="n"/>
      <c r="F153" s="1" t="n"/>
      <c r="G153" s="1" t="n"/>
      <c r="H153" s="1" t="n"/>
      <c r="I153" s="1" t="n"/>
      <c r="J153" s="1" t="n"/>
      <c r="K153" s="1" t="n"/>
      <c r="L153" s="1" t="n"/>
      <c r="M153" s="1" t="n"/>
    </row>
    <row r="154" ht="15" customHeight="1">
      <c r="A154" s="1" t="n"/>
      <c r="B154" s="1" t="n"/>
      <c r="C154" s="1" t="n"/>
      <c r="D154" s="1" t="n"/>
      <c r="E154" s="1" t="n"/>
      <c r="F154" s="1" t="n"/>
      <c r="G154" s="1" t="n"/>
      <c r="H154" s="1" t="n"/>
      <c r="I154" s="1" t="n"/>
      <c r="J154" s="1" t="n"/>
      <c r="K154" s="1" t="n"/>
      <c r="L154" s="1" t="n"/>
      <c r="M154" s="1" t="n"/>
    </row>
    <row r="155" ht="15" customHeight="1">
      <c r="A155" s="1" t="n"/>
      <c r="B155" s="1" t="n"/>
      <c r="C155" s="1" t="n"/>
      <c r="D155" s="1" t="n"/>
      <c r="E155" s="1" t="n"/>
      <c r="F155" s="1" t="n"/>
      <c r="G155" s="1" t="n"/>
      <c r="H155" s="1" t="n"/>
      <c r="I155" s="1" t="n"/>
      <c r="J155" s="1" t="n"/>
      <c r="K155" s="1" t="n"/>
      <c r="L155" s="1" t="n"/>
      <c r="M155" s="1" t="n"/>
    </row>
    <row r="156" ht="15" customHeight="1">
      <c r="A156" s="1" t="n"/>
      <c r="B156" s="1" t="n"/>
      <c r="C156" s="1" t="n"/>
      <c r="D156" s="1" t="n"/>
      <c r="E156" s="1" t="n"/>
      <c r="F156" s="1" t="n"/>
      <c r="G156" s="1" t="n"/>
      <c r="H156" s="1" t="n"/>
      <c r="I156" s="1" t="n"/>
      <c r="J156" s="1" t="n"/>
      <c r="K156" s="1" t="n"/>
      <c r="L156" s="1" t="n"/>
      <c r="M156" s="1" t="n"/>
    </row>
    <row r="157" ht="15" customHeight="1">
      <c r="A157" s="1" t="n"/>
      <c r="B157" s="1" t="n"/>
      <c r="C157" s="1" t="n"/>
      <c r="D157" s="1" t="n"/>
      <c r="E157" s="1" t="n"/>
      <c r="F157" s="1" t="n"/>
      <c r="G157" s="1" t="n"/>
      <c r="H157" s="1" t="n"/>
      <c r="I157" s="1" t="n"/>
      <c r="J157" s="1" t="n"/>
      <c r="K157" s="1" t="n"/>
      <c r="L157" s="1" t="n"/>
      <c r="M157" s="1" t="n"/>
    </row>
    <row r="158" ht="15" customHeight="1">
      <c r="A158" s="1" t="n"/>
      <c r="B158" s="1" t="n"/>
      <c r="C158" s="1" t="n"/>
      <c r="D158" s="1" t="n"/>
      <c r="E158" s="1" t="n"/>
      <c r="F158" s="1" t="n"/>
      <c r="G158" s="1" t="n"/>
      <c r="H158" s="1" t="n"/>
      <c r="I158" s="1" t="n"/>
      <c r="J158" s="1" t="n"/>
      <c r="K158" s="1" t="n"/>
      <c r="L158" s="1" t="n"/>
      <c r="M158" s="1" t="n"/>
    </row>
    <row r="159" ht="15" customHeight="1">
      <c r="A159" s="1" t="n"/>
      <c r="B159" s="1" t="n"/>
      <c r="C159" s="1" t="n"/>
      <c r="D159" s="1" t="n"/>
      <c r="E159" s="1" t="n"/>
      <c r="F159" s="1" t="n"/>
      <c r="G159" s="1" t="n"/>
      <c r="H159" s="1" t="n"/>
      <c r="I159" s="1" t="n"/>
      <c r="J159" s="1" t="n"/>
      <c r="K159" s="1" t="n"/>
      <c r="L159" s="1" t="n"/>
      <c r="M159" s="1" t="n"/>
    </row>
    <row r="160" ht="15" customHeight="1">
      <c r="A160" s="1" t="n"/>
      <c r="B160" s="1" t="n"/>
      <c r="C160" s="1" t="n"/>
      <c r="D160" s="1" t="n"/>
      <c r="E160" s="1" t="n"/>
      <c r="F160" s="1" t="n"/>
      <c r="G160" s="1" t="n"/>
      <c r="H160" s="1" t="n"/>
      <c r="I160" s="1" t="n"/>
      <c r="J160" s="1" t="n"/>
      <c r="K160" s="1" t="n"/>
      <c r="L160" s="1" t="n"/>
      <c r="M160" s="1" t="n"/>
    </row>
    <row r="161" ht="15" customHeight="1">
      <c r="A161" s="1" t="n"/>
      <c r="B161" s="1" t="n"/>
      <c r="C161" s="1" t="n"/>
      <c r="D161" s="1" t="n"/>
      <c r="E161" s="1" t="n"/>
      <c r="F161" s="1" t="n"/>
      <c r="G161" s="1" t="n"/>
      <c r="H161" s="1" t="n"/>
      <c r="I161" s="1" t="n"/>
      <c r="J161" s="1" t="n"/>
      <c r="K161" s="1" t="n"/>
      <c r="L161" s="1" t="n"/>
      <c r="M161" s="1" t="n"/>
    </row>
    <row r="162" ht="15" customHeight="1">
      <c r="A162" s="1" t="n"/>
      <c r="B162" s="1" t="n"/>
      <c r="C162" s="1" t="n"/>
      <c r="D162" s="1" t="n"/>
      <c r="E162" s="1" t="n"/>
      <c r="F162" s="1" t="n"/>
      <c r="G162" s="1" t="n"/>
      <c r="H162" s="1" t="n"/>
      <c r="I162" s="1" t="n"/>
      <c r="J162" s="1" t="n"/>
      <c r="K162" s="1" t="n"/>
      <c r="L162" s="1" t="n"/>
      <c r="M162" s="1" t="n"/>
    </row>
    <row r="163" ht="15" customHeight="1">
      <c r="A163" s="1" t="n"/>
      <c r="B163" s="1" t="n"/>
      <c r="C163" s="1" t="n"/>
      <c r="D163" s="1" t="n"/>
      <c r="E163" s="1" t="n"/>
      <c r="F163" s="1" t="n"/>
      <c r="G163" s="1" t="n"/>
      <c r="H163" s="1" t="n"/>
      <c r="I163" s="1" t="n"/>
      <c r="J163" s="1" t="n"/>
      <c r="K163" s="1" t="n"/>
      <c r="L163" s="1" t="n"/>
      <c r="M163" s="1" t="n"/>
    </row>
    <row r="164" ht="15" customHeight="1">
      <c r="A164" s="1" t="n"/>
      <c r="B164" s="1" t="n"/>
      <c r="C164" s="1" t="n"/>
      <c r="D164" s="1" t="n"/>
      <c r="E164" s="1" t="n"/>
      <c r="F164" s="1" t="n"/>
      <c r="G164" s="1" t="n"/>
      <c r="H164" s="1" t="n"/>
      <c r="I164" s="1" t="n"/>
      <c r="J164" s="1" t="n"/>
      <c r="K164" s="1" t="n"/>
      <c r="L164" s="1" t="n"/>
      <c r="M164" s="1" t="n"/>
    </row>
    <row r="165" ht="15" customHeight="1">
      <c r="A165" s="1" t="n"/>
      <c r="B165" s="1" t="n"/>
      <c r="C165" s="1" t="n"/>
      <c r="D165" s="1" t="n"/>
      <c r="E165" s="1" t="n"/>
      <c r="F165" s="1" t="n"/>
      <c r="G165" s="1" t="n"/>
      <c r="H165" s="1" t="n"/>
      <c r="I165" s="1" t="n"/>
      <c r="J165" s="1" t="n"/>
      <c r="K165" s="1" t="n"/>
      <c r="L165" s="1" t="n"/>
      <c r="M165" s="1" t="n"/>
    </row>
    <row r="166" ht="15" customHeight="1">
      <c r="A166" s="1" t="n"/>
      <c r="B166" s="1" t="n"/>
      <c r="C166" s="1" t="n"/>
      <c r="D166" s="1" t="n"/>
      <c r="E166" s="1" t="n"/>
      <c r="F166" s="1" t="n"/>
      <c r="G166" s="1" t="n"/>
      <c r="H166" s="1" t="n"/>
      <c r="I166" s="1" t="n"/>
      <c r="J166" s="1" t="n"/>
      <c r="K166" s="1" t="n"/>
      <c r="L166" s="1" t="n"/>
      <c r="M166" s="1" t="n"/>
    </row>
    <row r="167" ht="15" customHeight="1">
      <c r="A167" s="1" t="n"/>
      <c r="B167" s="1" t="n"/>
      <c r="C167" s="1" t="n"/>
      <c r="D167" s="1" t="n"/>
      <c r="E167" s="1" t="n"/>
      <c r="F167" s="1" t="n"/>
      <c r="G167" s="1" t="n"/>
      <c r="H167" s="1" t="n"/>
      <c r="I167" s="1" t="n"/>
      <c r="J167" s="1" t="n"/>
      <c r="K167" s="1" t="n"/>
      <c r="L167" s="1" t="n"/>
      <c r="M167" s="1" t="n"/>
    </row>
    <row r="168" ht="15" customHeight="1">
      <c r="A168" s="1" t="n"/>
      <c r="B168" s="1" t="n"/>
      <c r="C168" s="1" t="n"/>
      <c r="D168" s="1" t="n"/>
      <c r="E168" s="1" t="n"/>
      <c r="F168" s="1" t="n"/>
      <c r="G168" s="1" t="n"/>
      <c r="H168" s="1" t="n"/>
      <c r="I168" s="1" t="n"/>
      <c r="J168" s="1" t="n"/>
      <c r="K168" s="1" t="n"/>
      <c r="L168" s="1" t="n"/>
      <c r="M168" s="1" t="n"/>
    </row>
    <row r="169" ht="15" customHeight="1">
      <c r="A169" s="1" t="n"/>
      <c r="B169" s="1" t="n"/>
      <c r="C169" s="1" t="n"/>
      <c r="D169" s="1" t="n"/>
      <c r="E169" s="1" t="n"/>
      <c r="F169" s="1" t="n"/>
      <c r="G169" s="1" t="n"/>
      <c r="H169" s="1" t="n"/>
      <c r="I169" s="1" t="n"/>
      <c r="J169" s="1" t="n"/>
      <c r="K169" s="1" t="n"/>
      <c r="L169" s="1" t="n"/>
      <c r="M169" s="1" t="n"/>
    </row>
    <row r="170" ht="15" customHeight="1">
      <c r="A170" s="1" t="n"/>
      <c r="B170" s="1" t="n"/>
      <c r="C170" s="1" t="n"/>
      <c r="D170" s="1" t="n"/>
      <c r="E170" s="1" t="n"/>
      <c r="F170" s="1" t="n"/>
      <c r="G170" s="1" t="n"/>
      <c r="H170" s="1" t="n"/>
      <c r="I170" s="1" t="n"/>
      <c r="J170" s="1" t="n"/>
      <c r="K170" s="1" t="n"/>
      <c r="L170" s="1" t="n"/>
      <c r="M170" s="1" t="n"/>
    </row>
    <row r="171" ht="15" customHeight="1">
      <c r="A171" s="1" t="n"/>
      <c r="B171" s="1" t="n"/>
      <c r="C171" s="1" t="n"/>
      <c r="D171" s="1" t="n"/>
      <c r="E171" s="1" t="n"/>
      <c r="F171" s="1" t="n"/>
      <c r="G171" s="1" t="n"/>
      <c r="H171" s="1" t="n"/>
      <c r="I171" s="1" t="n"/>
      <c r="J171" s="1" t="n"/>
      <c r="K171" s="1" t="n"/>
      <c r="L171" s="1" t="n"/>
      <c r="M171" s="1" t="n"/>
    </row>
    <row r="172" ht="15" customHeight="1">
      <c r="A172" s="1" t="n"/>
      <c r="B172" s="1" t="n"/>
      <c r="C172" s="1" t="n"/>
      <c r="D172" s="1" t="n"/>
      <c r="E172" s="1" t="n"/>
      <c r="F172" s="1" t="n"/>
      <c r="G172" s="1" t="n"/>
      <c r="H172" s="1" t="n"/>
      <c r="I172" s="1" t="n"/>
      <c r="J172" s="1" t="n"/>
      <c r="K172" s="1" t="n"/>
      <c r="L172" s="1" t="n"/>
      <c r="M172" s="1" t="n"/>
    </row>
    <row r="173" ht="15" customHeight="1">
      <c r="A173" s="1" t="n"/>
      <c r="B173" s="1" t="n"/>
      <c r="C173" s="1" t="n"/>
      <c r="D173" s="1" t="n"/>
      <c r="E173" s="1" t="n"/>
      <c r="F173" s="1" t="n"/>
      <c r="G173" s="1" t="n"/>
      <c r="H173" s="1" t="n"/>
      <c r="I173" s="1" t="n"/>
      <c r="J173" s="1" t="n"/>
      <c r="K173" s="1" t="n"/>
      <c r="L173" s="1" t="n"/>
      <c r="M173" s="1" t="n"/>
    </row>
    <row r="174" ht="15" customHeight="1">
      <c r="A174" s="1" t="n"/>
      <c r="B174" s="1" t="n"/>
      <c r="C174" s="1" t="n"/>
      <c r="D174" s="1" t="n"/>
      <c r="E174" s="1" t="n"/>
      <c r="F174" s="1" t="n"/>
      <c r="G174" s="1" t="n"/>
      <c r="H174" s="1" t="n"/>
      <c r="I174" s="1" t="n"/>
      <c r="J174" s="1" t="n"/>
      <c r="K174" s="1" t="n"/>
      <c r="L174" s="1" t="n"/>
      <c r="M174" s="1" t="n"/>
    </row>
    <row r="175" ht="15" customHeight="1">
      <c r="A175" s="1" t="n"/>
      <c r="B175" s="1" t="n"/>
      <c r="C175" s="1" t="n"/>
      <c r="D175" s="1" t="n"/>
      <c r="E175" s="1" t="n"/>
      <c r="F175" s="1" t="n"/>
      <c r="G175" s="1" t="n"/>
      <c r="H175" s="1" t="n"/>
      <c r="I175" s="1" t="n"/>
      <c r="J175" s="1" t="n"/>
      <c r="K175" s="1" t="n"/>
      <c r="L175" s="1" t="n"/>
      <c r="M175" s="1" t="n"/>
    </row>
    <row r="176" ht="15" customHeight="1">
      <c r="A176" s="1" t="n"/>
      <c r="B176" s="1" t="n"/>
      <c r="C176" s="1" t="n"/>
      <c r="D176" s="1" t="n"/>
      <c r="E176" s="1" t="n"/>
      <c r="F176" s="1" t="n"/>
      <c r="G176" s="1" t="n"/>
      <c r="H176" s="1" t="n"/>
      <c r="I176" s="1" t="n"/>
      <c r="J176" s="1" t="n"/>
      <c r="K176" s="1" t="n"/>
      <c r="L176" s="1" t="n"/>
      <c r="M176" s="1" t="n"/>
    </row>
    <row r="177" ht="15" customHeight="1">
      <c r="A177" s="1" t="n"/>
      <c r="B177" s="1" t="n"/>
      <c r="C177" s="1" t="n"/>
      <c r="D177" s="1" t="n"/>
      <c r="E177" s="1" t="n"/>
      <c r="F177" s="1" t="n"/>
      <c r="G177" s="1" t="n"/>
      <c r="H177" s="1" t="n"/>
      <c r="I177" s="1" t="n"/>
      <c r="J177" s="1" t="n"/>
      <c r="K177" s="1" t="n"/>
      <c r="L177" s="1" t="n"/>
      <c r="M177" s="1" t="n"/>
    </row>
    <row r="178" ht="15" customHeight="1">
      <c r="A178" s="1" t="n"/>
      <c r="B178" s="1" t="n"/>
      <c r="C178" s="1" t="n"/>
      <c r="D178" s="1" t="n"/>
      <c r="E178" s="1" t="n"/>
      <c r="F178" s="1" t="n"/>
      <c r="G178" s="1" t="n"/>
      <c r="H178" s="1" t="n"/>
      <c r="I178" s="1" t="n"/>
      <c r="J178" s="1" t="n"/>
      <c r="K178" s="1" t="n"/>
      <c r="L178" s="1" t="n"/>
      <c r="M178" s="1" t="n"/>
    </row>
    <row r="179" ht="15" customHeight="1">
      <c r="A179" s="1" t="n"/>
      <c r="B179" s="1" t="n"/>
      <c r="C179" s="1" t="n"/>
      <c r="D179" s="1" t="n"/>
      <c r="E179" s="1" t="n"/>
      <c r="F179" s="1" t="n"/>
      <c r="G179" s="1" t="n"/>
      <c r="H179" s="1" t="n"/>
      <c r="I179" s="1" t="n"/>
      <c r="J179" s="1" t="n"/>
      <c r="K179" s="1" t="n"/>
      <c r="L179" s="1" t="n"/>
      <c r="M179" s="1" t="n"/>
    </row>
    <row r="180" ht="15" customHeight="1">
      <c r="A180" s="1" t="n"/>
      <c r="B180" s="1" t="n"/>
      <c r="C180" s="1" t="n"/>
      <c r="D180" s="1" t="n"/>
      <c r="E180" s="1" t="n"/>
      <c r="F180" s="1" t="n"/>
      <c r="G180" s="1" t="n"/>
      <c r="H180" s="1" t="n"/>
      <c r="I180" s="1" t="n"/>
      <c r="J180" s="1" t="n"/>
      <c r="K180" s="1" t="n"/>
      <c r="L180" s="1" t="n"/>
      <c r="M180" s="1" t="n"/>
    </row>
    <row r="181" ht="15" customHeight="1">
      <c r="A181" s="1" t="n"/>
      <c r="B181" s="1" t="n"/>
      <c r="C181" s="1" t="n"/>
      <c r="D181" s="1" t="n"/>
      <c r="E181" s="1" t="n"/>
      <c r="F181" s="1" t="n"/>
      <c r="G181" s="1" t="n"/>
      <c r="H181" s="1" t="n"/>
      <c r="I181" s="1" t="n"/>
      <c r="J181" s="1" t="n"/>
      <c r="K181" s="1" t="n"/>
      <c r="L181" s="1" t="n"/>
      <c r="M181" s="1" t="n"/>
    </row>
    <row r="182" ht="15" customHeight="1">
      <c r="A182" s="1" t="n"/>
      <c r="B182" s="1" t="n"/>
      <c r="C182" s="1" t="n"/>
      <c r="D182" s="1" t="n"/>
      <c r="E182" s="1" t="n"/>
      <c r="F182" s="1" t="n"/>
      <c r="G182" s="1" t="n"/>
      <c r="H182" s="1" t="n"/>
      <c r="I182" s="1" t="n"/>
      <c r="J182" s="1" t="n"/>
      <c r="K182" s="1" t="n"/>
      <c r="L182" s="1" t="n"/>
      <c r="M182" s="1" t="n"/>
    </row>
    <row r="183" ht="15" customHeight="1">
      <c r="A183" s="1" t="n"/>
      <c r="B183" s="1" t="n"/>
      <c r="C183" s="1" t="n"/>
      <c r="D183" s="1" t="n"/>
      <c r="E183" s="1" t="n"/>
      <c r="F183" s="1" t="n"/>
      <c r="G183" s="1" t="n"/>
      <c r="H183" s="1" t="n"/>
      <c r="I183" s="1" t="n"/>
      <c r="J183" s="1" t="n"/>
      <c r="K183" s="1" t="n"/>
      <c r="L183" s="1" t="n"/>
      <c r="M183" s="1" t="n"/>
    </row>
    <row r="184" ht="15" customHeight="1">
      <c r="A184" s="1" t="n"/>
      <c r="B184" s="1" t="n"/>
      <c r="C184" s="1" t="n"/>
      <c r="D184" s="1" t="n"/>
      <c r="E184" s="1" t="n"/>
      <c r="F184" s="1" t="n"/>
      <c r="G184" s="1" t="n"/>
      <c r="H184" s="1" t="n"/>
      <c r="I184" s="1" t="n"/>
      <c r="J184" s="1" t="n"/>
      <c r="K184" s="1" t="n"/>
      <c r="L184" s="1" t="n"/>
      <c r="M184" s="1" t="n"/>
    </row>
    <row r="185" ht="15" customHeight="1">
      <c r="A185" s="1" t="n"/>
      <c r="B185" s="1" t="n"/>
      <c r="C185" s="1" t="n"/>
      <c r="D185" s="1" t="n"/>
      <c r="E185" s="1" t="n"/>
      <c r="F185" s="1" t="n"/>
      <c r="G185" s="1" t="n"/>
      <c r="H185" s="1" t="n"/>
      <c r="I185" s="1" t="n"/>
      <c r="J185" s="1" t="n"/>
      <c r="K185" s="1" t="n"/>
      <c r="L185" s="1" t="n"/>
      <c r="M185" s="1" t="n"/>
    </row>
    <row r="186" ht="15" customHeight="1">
      <c r="A186" s="1" t="n"/>
      <c r="B186" s="1" t="n"/>
      <c r="C186" s="1" t="n"/>
      <c r="D186" s="1" t="n"/>
      <c r="E186" s="1" t="n"/>
      <c r="F186" s="1" t="n"/>
      <c r="G186" s="1" t="n"/>
      <c r="H186" s="1" t="n"/>
      <c r="I186" s="1" t="n"/>
      <c r="J186" s="1" t="n"/>
      <c r="K186" s="1" t="n"/>
      <c r="L186" s="1" t="n"/>
      <c r="M186" s="1" t="n"/>
    </row>
    <row r="187" ht="15" customHeight="1">
      <c r="A187" s="1" t="n"/>
      <c r="B187" s="1" t="n"/>
      <c r="C187" s="1" t="n"/>
      <c r="D187" s="1" t="n"/>
      <c r="E187" s="1" t="n"/>
      <c r="F187" s="1" t="n"/>
      <c r="G187" s="1" t="n"/>
      <c r="H187" s="1" t="n"/>
      <c r="I187" s="1" t="n"/>
      <c r="J187" s="1" t="n"/>
      <c r="K187" s="1" t="n"/>
      <c r="L187" s="1" t="n"/>
      <c r="M187" s="1" t="n"/>
    </row>
    <row r="188" ht="15" customHeight="1">
      <c r="A188" s="1" t="n"/>
      <c r="B188" s="1" t="n"/>
      <c r="C188" s="1" t="n"/>
      <c r="D188" s="1" t="n"/>
      <c r="E188" s="1" t="n"/>
      <c r="F188" s="1" t="n"/>
      <c r="G188" s="1" t="n"/>
      <c r="H188" s="1" t="n"/>
      <c r="I188" s="1" t="n"/>
      <c r="J188" s="1" t="n"/>
      <c r="K188" s="1" t="n"/>
      <c r="L188" s="1" t="n"/>
      <c r="M188" s="1" t="n"/>
    </row>
    <row r="189" ht="15" customHeight="1">
      <c r="A189" s="1" t="n"/>
      <c r="B189" s="1" t="n"/>
      <c r="C189" s="1" t="n"/>
      <c r="D189" s="1" t="n"/>
      <c r="E189" s="1" t="n"/>
      <c r="F189" s="1" t="n"/>
      <c r="G189" s="1" t="n"/>
      <c r="H189" s="1" t="n"/>
      <c r="I189" s="1" t="n"/>
      <c r="J189" s="1" t="n"/>
      <c r="K189" s="1" t="n"/>
      <c r="L189" s="1" t="n"/>
      <c r="M189" s="1" t="n"/>
    </row>
    <row r="190" ht="15" customHeight="1">
      <c r="A190" s="1" t="n"/>
      <c r="B190" s="1" t="n"/>
      <c r="C190" s="1" t="n"/>
      <c r="D190" s="1" t="n"/>
      <c r="E190" s="1" t="n"/>
      <c r="F190" s="1" t="n"/>
      <c r="G190" s="1" t="n"/>
      <c r="H190" s="1" t="n"/>
      <c r="I190" s="1" t="n"/>
      <c r="J190" s="1" t="n"/>
      <c r="K190" s="1" t="n"/>
      <c r="L190" s="1" t="n"/>
      <c r="M190" s="1" t="n"/>
    </row>
    <row r="191" ht="15" customHeight="1">
      <c r="A191" s="1" t="n"/>
      <c r="B191" s="1" t="n"/>
      <c r="C191" s="1" t="n"/>
      <c r="D191" s="1" t="n"/>
      <c r="E191" s="1" t="n"/>
      <c r="F191" s="1" t="n"/>
      <c r="G191" s="1" t="n"/>
      <c r="H191" s="1" t="n"/>
      <c r="I191" s="1" t="n"/>
      <c r="J191" s="1" t="n"/>
      <c r="K191" s="1" t="n"/>
      <c r="L191" s="1" t="n"/>
      <c r="M191" s="1" t="n"/>
    </row>
    <row r="192" ht="15" customHeight="1">
      <c r="A192" s="1" t="n"/>
      <c r="B192" s="1" t="n"/>
      <c r="C192" s="1" t="n"/>
      <c r="D192" s="1" t="n"/>
      <c r="E192" s="1" t="n"/>
      <c r="F192" s="1" t="n"/>
      <c r="G192" s="1" t="n"/>
      <c r="H192" s="1" t="n"/>
      <c r="I192" s="1" t="n"/>
      <c r="J192" s="1" t="n"/>
      <c r="K192" s="1" t="n"/>
      <c r="L192" s="1" t="n"/>
      <c r="M192" s="1" t="n"/>
    </row>
    <row r="193" ht="15" customHeight="1">
      <c r="A193" s="1" t="n"/>
      <c r="B193" s="1" t="n"/>
      <c r="C193" s="1" t="n"/>
      <c r="D193" s="1" t="n"/>
      <c r="E193" s="1" t="n"/>
      <c r="F193" s="1" t="n"/>
      <c r="G193" s="1" t="n"/>
      <c r="H193" s="1" t="n"/>
      <c r="I193" s="1" t="n"/>
      <c r="J193" s="1" t="n"/>
      <c r="K193" s="1" t="n"/>
      <c r="L193" s="1" t="n"/>
      <c r="M193" s="1" t="n"/>
    </row>
    <row r="194" ht="15" customHeight="1">
      <c r="A194" s="1" t="n"/>
      <c r="B194" s="1" t="n"/>
      <c r="C194" s="1" t="n"/>
      <c r="D194" s="1" t="n"/>
      <c r="E194" s="1" t="n"/>
      <c r="F194" s="1" t="n"/>
      <c r="G194" s="1" t="n"/>
      <c r="H194" s="1" t="n"/>
      <c r="I194" s="1" t="n"/>
      <c r="J194" s="1" t="n"/>
      <c r="K194" s="1" t="n"/>
      <c r="L194" s="1" t="n"/>
      <c r="M194" s="1" t="n"/>
    </row>
    <row r="195" ht="15" customHeight="1">
      <c r="A195" s="1" t="n"/>
      <c r="B195" s="1" t="n"/>
      <c r="C195" s="1" t="n"/>
      <c r="D195" s="1" t="n"/>
      <c r="E195" s="1" t="n"/>
      <c r="F195" s="1" t="n"/>
      <c r="G195" s="1" t="n"/>
      <c r="H195" s="1" t="n"/>
      <c r="I195" s="1" t="n"/>
      <c r="J195" s="1" t="n"/>
      <c r="K195" s="1" t="n"/>
      <c r="L195" s="1" t="n"/>
      <c r="M195" s="1" t="n"/>
    </row>
    <row r="196" ht="15" customHeight="1">
      <c r="A196" s="1" t="n"/>
      <c r="B196" s="1" t="n"/>
      <c r="C196" s="1" t="n"/>
      <c r="D196" s="1" t="n"/>
      <c r="E196" s="1" t="n"/>
      <c r="F196" s="1" t="n"/>
      <c r="G196" s="1" t="n"/>
      <c r="H196" s="1" t="n"/>
      <c r="I196" s="1" t="n"/>
      <c r="J196" s="1" t="n"/>
      <c r="K196" s="1" t="n"/>
      <c r="L196" s="1" t="n"/>
      <c r="M196" s="1" t="n"/>
    </row>
    <row r="197" ht="15" customHeight="1">
      <c r="A197" s="1" t="n"/>
      <c r="B197" s="1" t="n"/>
      <c r="C197" s="1" t="n"/>
      <c r="D197" s="1" t="n"/>
      <c r="E197" s="1" t="n"/>
      <c r="F197" s="1" t="n"/>
      <c r="G197" s="1" t="n"/>
      <c r="H197" s="1" t="n"/>
      <c r="I197" s="1" t="n"/>
      <c r="J197" s="1" t="n"/>
      <c r="K197" s="1" t="n"/>
      <c r="L197" s="1" t="n"/>
      <c r="M197" s="1" t="n"/>
    </row>
    <row r="198" ht="15" customHeight="1">
      <c r="A198" s="1" t="n"/>
      <c r="B198" s="1" t="n"/>
      <c r="C198" s="1" t="n"/>
      <c r="D198" s="1" t="n"/>
      <c r="E198" s="1" t="n"/>
      <c r="F198" s="1" t="n"/>
      <c r="G198" s="1" t="n"/>
      <c r="H198" s="1" t="n"/>
      <c r="I198" s="1" t="n"/>
      <c r="J198" s="1" t="n"/>
      <c r="K198" s="1" t="n"/>
      <c r="L198" s="1" t="n"/>
      <c r="M198" s="1" t="n"/>
    </row>
    <row r="199" ht="15" customHeight="1">
      <c r="A199" s="1" t="n"/>
      <c r="B199" s="1" t="n"/>
      <c r="C199" s="1" t="n"/>
      <c r="D199" s="1" t="n"/>
      <c r="E199" s="1" t="n"/>
      <c r="F199" s="1" t="n"/>
      <c r="G199" s="1" t="n"/>
      <c r="H199" s="1" t="n"/>
      <c r="I199" s="1" t="n"/>
      <c r="J199" s="1" t="n"/>
      <c r="K199" s="1" t="n"/>
      <c r="L199" s="1" t="n"/>
      <c r="M199" s="1" t="n"/>
    </row>
    <row r="200" ht="15" customHeight="1">
      <c r="A200" s="1" t="n"/>
      <c r="B200" s="1" t="n"/>
      <c r="C200" s="1" t="n"/>
      <c r="D200" s="1" t="n"/>
      <c r="E200" s="1" t="n"/>
      <c r="F200" s="1" t="n"/>
      <c r="G200" s="1" t="n"/>
      <c r="H200" s="1" t="n"/>
      <c r="I200" s="1" t="n"/>
      <c r="J200" s="1" t="n"/>
      <c r="K200" s="1" t="n"/>
      <c r="L200" s="1" t="n"/>
      <c r="M200" s="1" t="n"/>
    </row>
  </sheetData>
  <mergeCells count="2">
    <mergeCell ref="A2:M2"/>
    <mergeCell ref="A1:M1"/>
  </mergeCells>
  <conditionalFormatting sqref="B5:B18">
    <cfRule type="expression" priority="1" dxfId="1">
      <formula>OR(B5="Yes",B5="Optional additive")</formula>
    </cfRule>
  </conditionalFormatting>
  <conditionalFormatting sqref="J5:J18">
    <cfRule type="expression" priority="2" dxfId="2">
      <formula>ISNUMBER(SEARCH("Proposed",J5))</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200"/>
  <sheetViews>
    <sheetView workbookViewId="0">
      <selection activeCell="A1" sqref="A1:L1"/>
    </sheetView>
  </sheetViews>
  <sheetFormatPr baseColWidth="10" defaultColWidth="8.83203125" defaultRowHeight="14"/>
  <cols>
    <col width="14" customWidth="1" min="1" max="1"/>
    <col width="34" customWidth="1" min="2" max="3"/>
    <col width="16" customWidth="1" min="4" max="4"/>
    <col width="20" customWidth="1" min="5" max="5"/>
    <col width="28" customWidth="1" min="6" max="6"/>
    <col width="18" customWidth="1" min="7" max="7"/>
    <col width="33" customWidth="1" min="8" max="8"/>
    <col width="20" customWidth="1" min="9" max="9"/>
    <col width="58" customWidth="1" min="10" max="10"/>
    <col width="20" customWidth="1" min="11" max="11"/>
    <col width="52" customWidth="1" min="12" max="12"/>
    <col width="26" customWidth="1" min="13" max="13"/>
    <col width="70" customWidth="1" min="14" max="14"/>
    <col width="60" customWidth="1" min="15" max="15"/>
    <col width="15" customWidth="1" min="16" max="16"/>
  </cols>
  <sheetData>
    <row r="1" ht="42.75" customHeight="1">
      <c r="A1" s="16" t="inlineStr">
        <is>
          <t>Benchmark Library and Default Strategy</t>
        </is>
      </c>
      <c r="M1" s="1" t="n"/>
    </row>
    <row r="2" ht="40" customHeight="1">
      <c r="A2" s="17" t="inlineStr">
        <is>
          <t>Only verified values are marked production-candidate. Provisional defaults are included to make the model testable but must be validated before launch.</t>
        </is>
      </c>
      <c r="M2" s="1" t="n"/>
    </row>
    <row r="3" ht="15" customHeight="1">
      <c r="A3" s="1" t="n"/>
      <c r="B3" s="1" t="n"/>
      <c r="C3" s="1" t="n"/>
      <c r="D3" s="1" t="n"/>
      <c r="E3" s="1" t="n"/>
      <c r="F3" s="1" t="n"/>
      <c r="G3" s="1" t="n"/>
      <c r="H3" s="1" t="n"/>
      <c r="I3" s="1" t="n"/>
      <c r="J3" s="1" t="n"/>
      <c r="K3" s="1" t="n"/>
      <c r="L3" s="1" t="n"/>
      <c r="M3" s="1" t="n"/>
    </row>
    <row r="4" ht="30" customHeight="1">
      <c r="A4" s="4" t="inlineStr">
        <is>
          <t>Benchmark ID</t>
        </is>
      </c>
      <c r="B4" s="4" t="inlineStr">
        <is>
          <t>Variable</t>
        </is>
      </c>
      <c r="C4" s="4" t="inlineStr">
        <is>
          <t>Segment</t>
        </is>
      </c>
      <c r="D4" s="4" t="inlineStr">
        <is>
          <t>Value</t>
        </is>
      </c>
      <c r="E4" s="4" t="inlineStr">
        <is>
          <t>Unit</t>
        </is>
      </c>
      <c r="F4" s="4" t="inlineStr">
        <is>
          <t>Reliability tier</t>
        </is>
      </c>
      <c r="G4" s="4" t="inlineStr">
        <is>
          <t>Use in V1</t>
        </is>
      </c>
      <c r="H4" s="4" t="inlineStr">
        <is>
          <t>Fallback Hierarchy</t>
        </is>
      </c>
      <c r="I4" s="4" t="inlineStr">
        <is>
          <t>Source Organization</t>
        </is>
      </c>
      <c r="J4" s="4" t="inlineStr">
        <is>
          <t>Source URL</t>
        </is>
      </c>
      <c r="K4" s="4" t="inlineStr">
        <is>
          <t>Source Date / Data Period</t>
        </is>
      </c>
      <c r="L4" s="4" t="inlineStr">
        <is>
          <t>Methodology Note</t>
        </is>
      </c>
      <c r="M4" s="4" t="inlineStr">
        <is>
          <t>Benchmark Type</t>
        </is>
      </c>
      <c r="N4" s="4" t="inlineStr">
        <is>
          <t>Why this benchmark? (esp. Jaspen additions)</t>
        </is>
      </c>
      <c r="O4" s="4" t="inlineStr">
        <is>
          <t>Limitation</t>
        </is>
      </c>
      <c r="P4" s="4" t="inlineStr">
        <is>
          <t>Status</t>
        </is>
      </c>
    </row>
    <row r="5">
      <c r="A5" s="3" t="inlineStr">
        <is>
          <t>B001</t>
        </is>
      </c>
      <c r="B5" s="3" t="inlineStr">
        <is>
          <t>Cost per hire</t>
        </is>
      </c>
      <c r="C5" s="3" t="inlineStr">
        <is>
          <t>Nonexecutive</t>
        </is>
      </c>
      <c r="D5" s="5" t="n">
        <v>5475</v>
      </c>
      <c r="E5" s="3" t="inlineStr">
        <is>
          <t>USD per hire</t>
        </is>
      </c>
      <c r="F5" s="3" t="inlineStr">
        <is>
          <t>Published Benchmark</t>
        </is>
      </c>
      <c r="G5" s="3" t="inlineStr">
        <is>
          <t>Yes</t>
        </is>
      </c>
      <c r="H5" s="3" t="inlineStr">
        <is>
          <t>Role level</t>
        </is>
      </c>
      <c r="I5" s="3" t="inlineStr">
        <is>
          <t>SHRM</t>
        </is>
      </c>
      <c r="J5" s="3" t="inlineStr">
        <is>
          <t>https://www.shrm.org/about/press-room/shrm-releases-2025-benchmarking-reports--how-does-your-organizat</t>
        </is>
      </c>
      <c r="K5" s="3" t="inlineStr">
        <is>
          <t>2025 survey</t>
        </is>
      </c>
      <c r="L5" s="3" t="inlineStr">
        <is>
          <t>Average; survey respondents across U.S. industries and sizes.</t>
        </is>
      </c>
      <c r="M5" s="3" t="inlineStr">
        <is>
          <t>Direct Benchmark</t>
        </is>
      </c>
      <c r="N5" s="3" t="inlineStr">
        <is>
          <t>Published measurement of average recruiting spend per hire.</t>
        </is>
      </c>
      <c r="O5" s="3" t="inlineStr">
        <is>
          <t>Survey average across industries and sizes; the exact cost components included vary by respondent.</t>
        </is>
      </c>
      <c r="P5" s="3" t="inlineStr">
        <is>
          <t>Adopted</t>
        </is>
      </c>
    </row>
    <row r="6">
      <c r="A6" s="3" t="inlineStr">
        <is>
          <t>B002</t>
        </is>
      </c>
      <c r="B6" s="3" t="inlineStr">
        <is>
          <t>Cost per hire</t>
        </is>
      </c>
      <c r="C6" s="3" t="inlineStr">
        <is>
          <t>Executive</t>
        </is>
      </c>
      <c r="D6" s="5" t="n">
        <v>35879</v>
      </c>
      <c r="E6" s="3" t="inlineStr">
        <is>
          <t>USD per hire</t>
        </is>
      </c>
      <c r="F6" s="3" t="inlineStr">
        <is>
          <t>Published Benchmark</t>
        </is>
      </c>
      <c r="G6" s="3" t="inlineStr">
        <is>
          <t>Yes</t>
        </is>
      </c>
      <c r="H6" s="3" t="inlineStr">
        <is>
          <t>Role level</t>
        </is>
      </c>
      <c r="I6" s="3" t="inlineStr">
        <is>
          <t>SHRM</t>
        </is>
      </c>
      <c r="J6" s="3" t="inlineStr">
        <is>
          <t>https://www.shrm.org/about/press-room/shrm-releases-2025-benchmarking-reports--how-does-your-organizat</t>
        </is>
      </c>
      <c r="K6" s="3" t="inlineStr">
        <is>
          <t>2025 survey</t>
        </is>
      </c>
      <c r="L6" s="3" t="inlineStr">
        <is>
          <t>Average executive cost per hire.</t>
        </is>
      </c>
      <c r="M6" s="3" t="inlineStr">
        <is>
          <t>Direct Benchmark</t>
        </is>
      </c>
      <c r="N6" s="3" t="inlineStr">
        <is>
          <t>Published measurement of average executive recruiting spend per hire.</t>
        </is>
      </c>
      <c r="O6" s="3" t="inlineStr">
        <is>
          <t>Executive average; smaller sample and wide variation by function.</t>
        </is>
      </c>
      <c r="P6" s="3" t="inlineStr">
        <is>
          <t>Adopted</t>
        </is>
      </c>
    </row>
    <row r="7">
      <c r="A7" s="3" t="inlineStr">
        <is>
          <t>B003</t>
        </is>
      </c>
      <c r="B7" s="3" t="inlineStr">
        <is>
          <t>Time to fill</t>
        </is>
      </c>
      <c r="C7" s="3" t="inlineStr">
        <is>
          <t>Nonexecutive</t>
        </is>
      </c>
      <c r="D7" s="5" t="n">
        <v>39</v>
      </c>
      <c r="E7" s="3" t="inlineStr">
        <is>
          <t>Calendar days</t>
        </is>
      </c>
      <c r="F7" s="3" t="inlineStr">
        <is>
          <t>Published Benchmark</t>
        </is>
      </c>
      <c r="G7" s="3" t="inlineStr">
        <is>
          <t>Yes</t>
        </is>
      </c>
      <c r="H7" s="3" t="inlineStr">
        <is>
          <t>Role level</t>
        </is>
      </c>
      <c r="I7" s="3" t="inlineStr">
        <is>
          <t>SHRM</t>
        </is>
      </c>
      <c r="J7" s="3" t="inlineStr">
        <is>
          <t>https://www.shrm.org/topics-tools/research/recruiting-benchmarking</t>
        </is>
      </c>
      <c r="K7" s="3" t="inlineStr">
        <is>
          <t>2026 report</t>
        </is>
      </c>
      <c r="L7" s="3" t="inlineStr">
        <is>
          <t>Median nonexecutive time to fill.</t>
        </is>
      </c>
      <c r="M7" s="3" t="inlineStr">
        <is>
          <t>Direct Benchmark</t>
        </is>
      </c>
      <c r="N7" s="3" t="inlineStr">
        <is>
          <t>Published median time to fill a non-executive role.</t>
        </is>
      </c>
      <c r="O7" s="3" t="inlineStr">
        <is>
          <t>Median; varies by role, seniority, and labor market.</t>
        </is>
      </c>
      <c r="P7" s="3" t="inlineStr">
        <is>
          <t>Adopted</t>
        </is>
      </c>
    </row>
    <row r="8">
      <c r="A8" s="3" t="inlineStr">
        <is>
          <t>B004</t>
        </is>
      </c>
      <c r="B8" s="3" t="inlineStr">
        <is>
          <t>Time to fill</t>
        </is>
      </c>
      <c r="C8" s="3" t="inlineStr">
        <is>
          <t>Executive</t>
        </is>
      </c>
      <c r="D8" s="5" t="n">
        <v>45</v>
      </c>
      <c r="E8" s="3" t="inlineStr">
        <is>
          <t>Calendar days</t>
        </is>
      </c>
      <c r="F8" s="3" t="inlineStr">
        <is>
          <t>Research-Based Estimate</t>
        </is>
      </c>
      <c r="G8" s="3" t="inlineStr">
        <is>
          <t>Yes with disclosure</t>
        </is>
      </c>
      <c r="H8" s="3" t="inlineStr">
        <is>
          <t>Role level</t>
        </is>
      </c>
      <c r="I8" s="3" t="inlineStr">
        <is>
          <t>SHRM</t>
        </is>
      </c>
      <c r="J8" s="3" t="inlineStr">
        <is>
          <t>https://www.shrm.org/executive-network/insights/people-strategy/state-of-recruiting-2025-insights-to-maximize-recruitment</t>
        </is>
      </c>
      <c r="K8" s="3" t="inlineStr">
        <is>
          <t>2025 report</t>
        </is>
      </c>
      <c r="L8" s="3" t="inlineStr">
        <is>
          <t>SHRM describes roughly a month and a half; replace with licensed exact 2026 value if available.</t>
        </is>
      </c>
      <c r="M8" s="3" t="inlineStr">
        <is>
          <t>Research-Based Proxy</t>
        </is>
      </c>
      <c r="N8" s="3" t="inlineStr">
        <is>
          <t>SHRM describes executive fill as roughly a month and a half; used as a research-based approximation until an exact licensed figure is obtained.</t>
        </is>
      </c>
      <c r="O8" s="3" t="inlineStr">
        <is>
          <t>Approximation ("about a month and a half"); replace with a licensed exact figure before public claims.</t>
        </is>
      </c>
      <c r="P8" s="3" t="inlineStr">
        <is>
          <t>Under Review</t>
        </is>
      </c>
    </row>
    <row r="9">
      <c r="A9" s="3" t="inlineStr">
        <is>
          <t>B005</t>
        </is>
      </c>
      <c r="B9" s="3" t="inlineStr">
        <is>
          <t>Wage share of total private-industry compensation</t>
        </is>
      </c>
      <c r="C9" s="3" t="inlineStr">
        <is>
          <t>National private industry</t>
        </is>
      </c>
      <c r="D9" s="5" t="n">
        <v>0.699</v>
      </c>
      <c r="E9" s="3" t="inlineStr">
        <is>
          <t>Percent</t>
        </is>
      </c>
      <c r="F9" s="3" t="inlineStr">
        <is>
          <t>Published Benchmark</t>
        </is>
      </c>
      <c r="G9" s="3" t="inlineStr">
        <is>
          <t>Yes</t>
        </is>
      </c>
      <c r="H9" s="3" t="inlineStr">
        <is>
          <t>National → industry/region refinement</t>
        </is>
      </c>
      <c r="I9" s="3" t="inlineStr">
        <is>
          <t>BLS ECEC</t>
        </is>
      </c>
      <c r="J9" s="3" t="inlineStr">
        <is>
          <t>https://www.bls.gov/news.release/pdf/ecec.pdf</t>
        </is>
      </c>
      <c r="K9" s="3" t="inlineStr">
        <is>
          <t>March 2026</t>
        </is>
      </c>
      <c r="L9" s="3" t="inlineStr">
        <is>
          <t>Wages/salaries were 69.9% of total employer compensation (BLS ECEC, March 2026 release). Confirmed current.</t>
        </is>
      </c>
      <c r="M9" s="3" t="inlineStr">
        <is>
          <t>Direct Benchmark</t>
        </is>
      </c>
      <c r="N9" s="3" t="inlineStr">
        <is>
          <t>Published measurement: wages/salaries are 69.9% of total employer compensation.</t>
        </is>
      </c>
      <c r="O9" s="3" t="inlineStr">
        <is>
          <t>National private-industry average; can be refined by industry and region.</t>
        </is>
      </c>
      <c r="P9" s="3" t="inlineStr">
        <is>
          <t>Adopted</t>
        </is>
      </c>
    </row>
    <row r="10">
      <c r="A10" s="3" t="inlineStr">
        <is>
          <t>B006</t>
        </is>
      </c>
      <c r="B10" s="3" t="inlineStr">
        <is>
          <t>Fully loaded compensation multiplier</t>
        </is>
      </c>
      <c r="C10" s="3" t="inlineStr">
        <is>
          <t>National private industry</t>
        </is>
      </c>
      <c r="D10" s="5" t="n">
        <v>1.430615</v>
      </c>
      <c r="E10" s="3" t="inlineStr">
        <is>
          <t>Salary multiplier</t>
        </is>
      </c>
      <c r="F10" s="3" t="inlineStr">
        <is>
          <t>Published Benchmark</t>
        </is>
      </c>
      <c r="G10" s="3" t="inlineStr">
        <is>
          <t>Yes</t>
        </is>
      </c>
      <c r="H10" s="3" t="inlineStr">
        <is>
          <t>1 / wage share</t>
        </is>
      </c>
      <c r="I10" s="3" t="inlineStr">
        <is>
          <t>BLS ECEC</t>
        </is>
      </c>
      <c r="J10" s="3" t="inlineStr">
        <is>
          <t>https://www.bls.gov/news.release/pdf/ecec.pdf</t>
        </is>
      </c>
      <c r="K10" s="3" t="inlineStr">
        <is>
          <t>March 2026</t>
        </is>
      </c>
      <c r="L10" s="3" t="inlineStr">
        <is>
          <t>Calculated as 1 ÷ 0.699; user may replace with company rate.</t>
        </is>
      </c>
      <c r="M10" s="3" t="inlineStr">
        <is>
          <t>Direct Benchmark</t>
        </is>
      </c>
      <c r="N10" s="3" t="inlineStr">
        <is>
          <t>Derived directly from the published ECEC wage share (1 / 0.699).</t>
        </is>
      </c>
      <c r="O10" s="3" t="inlineStr">
        <is>
          <t>Derived from the national average; a company-specific loaded rate may differ.</t>
        </is>
      </c>
      <c r="P10" s="3" t="inlineStr">
        <is>
          <t>Adopted</t>
        </is>
      </c>
    </row>
    <row r="11">
      <c r="A11" s="3" t="inlineStr">
        <is>
          <t>B007</t>
        </is>
      </c>
      <c r="B11" s="3" t="inlineStr">
        <is>
          <t>Annual quits rate</t>
        </is>
      </c>
      <c r="C11" s="3" t="inlineStr">
        <is>
          <t>Total private</t>
        </is>
      </c>
      <c r="D11" s="5" t="n">
        <v>0.022</v>
      </c>
      <c r="E11" s="3" t="inlineStr">
        <is>
          <t>Monthly average rate</t>
        </is>
      </c>
      <c r="F11" s="3" t="inlineStr">
        <is>
          <t>Published Benchmark</t>
        </is>
      </c>
      <c r="G11" s="3" t="inlineStr">
        <is>
          <t>Context/refinement</t>
        </is>
      </c>
      <c r="H11" s="3" t="inlineStr">
        <is>
          <t>Industry → total private</t>
        </is>
      </c>
      <c r="I11" s="3" t="inlineStr">
        <is>
          <t>BLS JOLTS</t>
        </is>
      </c>
      <c r="J11" s="3" t="inlineStr">
        <is>
          <t>https://www.bls.gov/news.release/jolts.t22.htm</t>
        </is>
      </c>
      <c r="K11" s="3" t="inlineStr">
        <is>
          <t>2025 annual average</t>
        </is>
      </c>
      <c r="L11" s="3" t="inlineStr">
        <is>
          <t>JOLTS annual average quits rate is based on monthly quits levels; not the same as annualized turnover percentage.</t>
        </is>
      </c>
      <c r="M11" s="3" t="inlineStr">
        <is>
          <t>Direct Benchmark</t>
        </is>
      </c>
      <c r="N11" s="3" t="inlineStr">
        <is>
          <t>Published national quits rate (context, not a direct turnover multiplier).</t>
        </is>
      </c>
      <c r="O11" s="3" t="inlineStr">
        <is>
          <t>Monthly quits rate; not identical to annualized turnover without conversion.</t>
        </is>
      </c>
      <c r="P11" s="3" t="inlineStr">
        <is>
          <t>Adopted</t>
        </is>
      </c>
    </row>
    <row r="12">
      <c r="A12" s="3" t="inlineStr">
        <is>
          <t>B008</t>
        </is>
      </c>
      <c r="B12" s="3" t="inlineStr">
        <is>
          <t>Annual quits rate</t>
        </is>
      </c>
      <c r="C12" s="3" t="inlineStr">
        <is>
          <t>Manufacturing</t>
        </is>
      </c>
      <c r="D12" s="5" t="n">
        <v>0.014</v>
      </c>
      <c r="E12" s="3" t="inlineStr">
        <is>
          <t>Monthly average rate</t>
        </is>
      </c>
      <c r="F12" s="3" t="inlineStr">
        <is>
          <t>Published Benchmark</t>
        </is>
      </c>
      <c r="G12" s="3" t="inlineStr">
        <is>
          <t>Optional industry refinement</t>
        </is>
      </c>
      <c r="H12" s="3" t="inlineStr">
        <is>
          <t>Industry</t>
        </is>
      </c>
      <c r="I12" s="3" t="inlineStr">
        <is>
          <t>BLS JOLTS</t>
        </is>
      </c>
      <c r="J12" s="3" t="inlineStr">
        <is>
          <t>https://www.bls.gov/news.release/jolts.t22.htm</t>
        </is>
      </c>
      <c r="K12" s="3" t="inlineStr">
        <is>
          <t>2025 annual average</t>
        </is>
      </c>
      <c r="L12" s="3" t="inlineStr">
        <is>
          <t>Use carefully and explain definition.</t>
        </is>
      </c>
      <c r="M12" s="3" t="inlineStr">
        <is>
          <t>Direct Benchmark</t>
        </is>
      </c>
      <c r="N12" s="3" t="inlineStr">
        <is>
          <t>Published industry quits rate.</t>
        </is>
      </c>
      <c r="O12" s="3" t="inlineStr">
        <is>
          <t>Industry monthly quits rate; definition differs from annual turnover.</t>
        </is>
      </c>
      <c r="P12" s="3" t="inlineStr">
        <is>
          <t>Adopted</t>
        </is>
      </c>
    </row>
    <row r="13">
      <c r="A13" s="3" t="inlineStr">
        <is>
          <t>B009</t>
        </is>
      </c>
      <c r="B13" s="3" t="inlineStr">
        <is>
          <t>Annual quits rate</t>
        </is>
      </c>
      <c r="C13" s="3" t="inlineStr">
        <is>
          <t>Retail trade</t>
        </is>
      </c>
      <c r="D13" s="5" t="n">
        <v>0.026</v>
      </c>
      <c r="E13" s="3" t="inlineStr">
        <is>
          <t>Monthly average rate</t>
        </is>
      </c>
      <c r="F13" s="3" t="inlineStr">
        <is>
          <t>Published Benchmark</t>
        </is>
      </c>
      <c r="G13" s="3" t="inlineStr">
        <is>
          <t>Optional industry refinement</t>
        </is>
      </c>
      <c r="H13" s="3" t="inlineStr">
        <is>
          <t>Industry</t>
        </is>
      </c>
      <c r="I13" s="3" t="inlineStr">
        <is>
          <t>BLS JOLTS</t>
        </is>
      </c>
      <c r="J13" s="3" t="inlineStr">
        <is>
          <t>https://www.bls.gov/news.release/jolts.t22.htm</t>
        </is>
      </c>
      <c r="K13" s="3" t="inlineStr">
        <is>
          <t>2025 annual average</t>
        </is>
      </c>
      <c r="L13" s="3" t="inlineStr">
        <is>
          <t>Use carefully and explain definition.</t>
        </is>
      </c>
      <c r="M13" s="3" t="inlineStr">
        <is>
          <t>Direct Benchmark</t>
        </is>
      </c>
      <c r="N13" s="3" t="inlineStr">
        <is>
          <t>Published industry quits rate.</t>
        </is>
      </c>
      <c r="O13" s="3" t="inlineStr">
        <is>
          <t>Industry monthly quits rate; definition differs from annual turnover.</t>
        </is>
      </c>
      <c r="P13" s="3" t="inlineStr">
        <is>
          <t>Adopted</t>
        </is>
      </c>
    </row>
    <row r="14">
      <c r="A14" s="3" t="inlineStr">
        <is>
          <t>B010</t>
        </is>
      </c>
      <c r="B14" s="3" t="inlineStr">
        <is>
          <t>Annual quits rate</t>
        </is>
      </c>
      <c r="C14" s="3" t="inlineStr">
        <is>
          <t>Finance and insurance</t>
        </is>
      </c>
      <c r="D14" s="5" t="n">
        <v>0.013</v>
      </c>
      <c r="E14" s="3" t="inlineStr">
        <is>
          <t>Monthly average rate</t>
        </is>
      </c>
      <c r="F14" s="3" t="inlineStr">
        <is>
          <t>Published Benchmark</t>
        </is>
      </c>
      <c r="G14" s="3" t="inlineStr">
        <is>
          <t>Optional industry refinement</t>
        </is>
      </c>
      <c r="H14" s="3" t="inlineStr">
        <is>
          <t>Industry</t>
        </is>
      </c>
      <c r="I14" s="3" t="inlineStr">
        <is>
          <t>BLS JOLTS</t>
        </is>
      </c>
      <c r="J14" s="3" t="inlineStr">
        <is>
          <t>https://www.bls.gov/news.release/jolts.t22.htm</t>
        </is>
      </c>
      <c r="K14" s="3" t="inlineStr">
        <is>
          <t>2025 annual average</t>
        </is>
      </c>
      <c r="L14" s="3" t="inlineStr">
        <is>
          <t>Use carefully and explain definition.</t>
        </is>
      </c>
      <c r="M14" s="3" t="inlineStr">
        <is>
          <t>Direct Benchmark</t>
        </is>
      </c>
      <c r="N14" s="3" t="inlineStr">
        <is>
          <t>Published industry quits rate.</t>
        </is>
      </c>
      <c r="O14" s="3" t="inlineStr">
        <is>
          <t>Industry monthly quits rate; definition differs from annual turnover.</t>
        </is>
      </c>
      <c r="P14" s="3" t="inlineStr">
        <is>
          <t>Adopted</t>
        </is>
      </c>
    </row>
    <row r="15">
      <c r="A15" s="3" t="inlineStr">
        <is>
          <t>B011</t>
        </is>
      </c>
      <c r="B15" s="3" t="inlineStr">
        <is>
          <t>Annual quits rate</t>
        </is>
      </c>
      <c r="C15" s="3" t="inlineStr">
        <is>
          <t>Professional and business services</t>
        </is>
      </c>
      <c r="D15" s="5" t="n">
        <v>0.023</v>
      </c>
      <c r="E15" s="3" t="inlineStr">
        <is>
          <t>Monthly average rate</t>
        </is>
      </c>
      <c r="F15" s="3" t="inlineStr">
        <is>
          <t>Published Benchmark</t>
        </is>
      </c>
      <c r="G15" s="3" t="inlineStr">
        <is>
          <t>Optional industry refinement</t>
        </is>
      </c>
      <c r="H15" s="3" t="inlineStr">
        <is>
          <t>Industry</t>
        </is>
      </c>
      <c r="I15" s="3" t="inlineStr">
        <is>
          <t>BLS JOLTS</t>
        </is>
      </c>
      <c r="J15" s="3" t="inlineStr">
        <is>
          <t>https://www.bls.gov/news.release/jolts.t22.htm</t>
        </is>
      </c>
      <c r="K15" s="3" t="inlineStr">
        <is>
          <t>2025 annual average</t>
        </is>
      </c>
      <c r="L15" s="3" t="inlineStr">
        <is>
          <t>Use carefully and explain definition.</t>
        </is>
      </c>
      <c r="M15" s="3" t="inlineStr">
        <is>
          <t>Direct Benchmark</t>
        </is>
      </c>
      <c r="N15" s="3" t="inlineStr">
        <is>
          <t>Published industry quits rate.</t>
        </is>
      </c>
      <c r="O15" s="3" t="inlineStr">
        <is>
          <t>Industry monthly quits rate; definition differs from annual turnover.</t>
        </is>
      </c>
      <c r="P15" s="3" t="inlineStr">
        <is>
          <t>Adopted</t>
        </is>
      </c>
    </row>
    <row r="16">
      <c r="A16" s="3" t="inlineStr">
        <is>
          <t>B012</t>
        </is>
      </c>
      <c r="B16" s="3" t="inlineStr">
        <is>
          <t>Annual quits rate</t>
        </is>
      </c>
      <c r="C16" s="3" t="inlineStr">
        <is>
          <t>Health care and social assistance</t>
        </is>
      </c>
      <c r="D16" s="5" t="n">
        <v>0.02</v>
      </c>
      <c r="E16" s="3" t="inlineStr">
        <is>
          <t>Monthly average rate</t>
        </is>
      </c>
      <c r="F16" s="3" t="inlineStr">
        <is>
          <t>Published Benchmark</t>
        </is>
      </c>
      <c r="G16" s="3" t="inlineStr">
        <is>
          <t>Optional industry refinement</t>
        </is>
      </c>
      <c r="H16" s="3" t="inlineStr">
        <is>
          <t>Industry</t>
        </is>
      </c>
      <c r="I16" s="3" t="inlineStr">
        <is>
          <t>BLS JOLTS</t>
        </is>
      </c>
      <c r="J16" s="3" t="inlineStr">
        <is>
          <t>https://www.bls.gov/news.release/jolts.t22.htm</t>
        </is>
      </c>
      <c r="K16" s="3" t="inlineStr">
        <is>
          <t>2025 annual average</t>
        </is>
      </c>
      <c r="L16" s="3" t="inlineStr">
        <is>
          <t>Use carefully and explain definition.</t>
        </is>
      </c>
      <c r="M16" s="3" t="inlineStr">
        <is>
          <t>Direct Benchmark</t>
        </is>
      </c>
      <c r="N16" s="3" t="inlineStr">
        <is>
          <t>Published industry quits rate.</t>
        </is>
      </c>
      <c r="O16" s="3" t="inlineStr">
        <is>
          <t>Industry monthly quits rate; definition differs from annual turnover.</t>
        </is>
      </c>
      <c r="P16" s="3" t="inlineStr">
        <is>
          <t>Adopted</t>
        </is>
      </c>
    </row>
    <row r="17">
      <c r="A17" s="3" t="inlineStr">
        <is>
          <t>B013</t>
        </is>
      </c>
      <c r="B17" s="3" t="inlineStr">
        <is>
          <t>Annual quits rate</t>
        </is>
      </c>
      <c r="C17" s="3" t="inlineStr">
        <is>
          <t>Accommodation and food services</t>
        </is>
      </c>
      <c r="D17" s="5" t="n">
        <v>0.042</v>
      </c>
      <c r="E17" s="3" t="inlineStr">
        <is>
          <t>Monthly average rate</t>
        </is>
      </c>
      <c r="F17" s="3" t="inlineStr">
        <is>
          <t>Published Benchmark</t>
        </is>
      </c>
      <c r="G17" s="3" t="inlineStr">
        <is>
          <t>Optional industry refinement</t>
        </is>
      </c>
      <c r="H17" s="3" t="inlineStr">
        <is>
          <t>Industry</t>
        </is>
      </c>
      <c r="I17" s="3" t="inlineStr">
        <is>
          <t>BLS JOLTS</t>
        </is>
      </c>
      <c r="J17" s="3" t="inlineStr">
        <is>
          <t>https://www.bls.gov/news.release/jolts.t22.htm</t>
        </is>
      </c>
      <c r="K17" s="3" t="inlineStr">
        <is>
          <t>2025 annual average</t>
        </is>
      </c>
      <c r="L17" s="3" t="inlineStr">
        <is>
          <t>Use carefully and explain definition.</t>
        </is>
      </c>
      <c r="M17" s="3" t="inlineStr">
        <is>
          <t>Direct Benchmark</t>
        </is>
      </c>
      <c r="N17" s="3" t="inlineStr">
        <is>
          <t>Published industry quits rate.</t>
        </is>
      </c>
      <c r="O17" s="3" t="inlineStr">
        <is>
          <t>Industry monthly quits rate; definition differs from annual turnover.</t>
        </is>
      </c>
      <c r="P17" s="3" t="inlineStr">
        <is>
          <t>Adopted</t>
        </is>
      </c>
    </row>
    <row r="18">
      <c r="A18" s="3" t="inlineStr">
        <is>
          <t>B014</t>
        </is>
      </c>
      <c r="B18" s="3" t="inlineStr">
        <is>
          <t>Annual salary</t>
        </is>
      </c>
      <c r="C18" s="3" t="inlineStr">
        <is>
          <t>Selected occupation/role</t>
        </is>
      </c>
      <c r="D18" s="5" t="n"/>
      <c r="E18" s="3" t="inlineStr">
        <is>
          <t>USD</t>
        </is>
      </c>
      <c r="F18" s="3" t="inlineStr">
        <is>
          <t>Published Benchmark</t>
        </is>
      </c>
      <c r="G18" s="3" t="inlineStr">
        <is>
          <t>Yes</t>
        </is>
      </c>
      <c r="H18" s="3" t="inlineStr">
        <is>
          <t>User input → BLS occupation/area → national occupation</t>
        </is>
      </c>
      <c r="I18" s="3" t="inlineStr">
        <is>
          <t>BLS OEWS</t>
        </is>
      </c>
      <c r="J18" s="3" t="inlineStr">
        <is>
          <t>https://www.bls.gov/oes/tables.htm</t>
        </is>
      </c>
      <c r="K18" s="3" t="inlineStr">
        <is>
          <t>May 2025</t>
        </is>
      </c>
      <c r="L18" s="3" t="inlineStr">
        <is>
          <t>Production app should map role category/level or searchable occupation to OEWS wage data.</t>
        </is>
      </c>
      <c r="M18" s="3" t="inlineStr">
        <is>
          <t>Direct Benchmark</t>
        </is>
      </c>
      <c r="N18" s="3" t="inlineStr">
        <is>
          <t>Published occupation wage data (dynamic lookup).</t>
        </is>
      </c>
      <c r="O18" s="3" t="inlineStr">
        <is>
          <t>Requires occupation/area mapping; update on the OEWS release cycle.</t>
        </is>
      </c>
      <c r="P18" s="3" t="inlineStr">
        <is>
          <t>Adopted</t>
        </is>
      </c>
    </row>
    <row r="19">
      <c r="A19" s="3" t="inlineStr">
        <is>
          <t>B015</t>
        </is>
      </c>
      <c r="B19" s="3" t="inlineStr">
        <is>
          <t>Uncovered work during vacancy</t>
        </is>
      </c>
      <c r="C19" s="3" t="inlineStr">
        <is>
          <t>All roles</t>
        </is>
      </c>
      <c r="D19" s="5" t="n">
        <v>0.5</v>
      </c>
      <c r="E19" s="3" t="inlineStr">
        <is>
          <t>Percent</t>
        </is>
      </c>
      <c r="F19" s="3" t="inlineStr">
        <is>
          <t>Emerging Evidence (Verify Before Public Claims)</t>
        </is>
      </c>
      <c r="G19" s="3" t="inlineStr">
        <is>
          <t>Test only</t>
        </is>
      </c>
      <c r="H19" s="3" t="inlineStr">
        <is>
          <t>User input → calibrated default</t>
        </is>
      </c>
      <c r="I19" s="3" t="inlineStr">
        <is>
          <t>Model assumption</t>
        </is>
      </c>
      <c r="J19" s="3" t="n"/>
      <c r="K19" s="3" t="inlineStr">
        <is>
          <t>n/a (structural assumption)</t>
        </is>
      </c>
      <c r="L19" s="3" t="inlineStr">
        <is>
          <t>Structural assumption. Not a published benchmark; must be user-set or validated.</t>
        </is>
      </c>
      <c r="M19" s="3" t="inlineStr">
        <is>
          <t>Research-Based Proxy</t>
        </is>
      </c>
      <c r="N19" s="3" t="inlineStr">
        <is>
          <t>No published benchmark exists for how much vacant work goes uncovered. This is a structural model assumption, not a measurement. It is exposed so users set it for their own situation. As with every default in this utility, users are encouraged to review and adjust it to reflect their organization.</t>
        </is>
      </c>
      <c r="O19" s="3" t="inlineStr">
        <is>
          <t>No published basis - a structural model assumption. Must be user-set or validated; not for public claims.</t>
        </is>
      </c>
      <c r="P19" s="3" t="inlineStr">
        <is>
          <t>Under Review</t>
        </is>
      </c>
    </row>
    <row r="20">
      <c r="A20" s="3" t="inlineStr">
        <is>
          <t>B016</t>
        </is>
      </c>
      <c r="B20" s="3" t="inlineStr">
        <is>
          <t>Average productivity during ramp</t>
        </is>
      </c>
      <c r="C20" s="3" t="inlineStr">
        <is>
          <t>All roles</t>
        </is>
      </c>
      <c r="D20" s="5" t="n">
        <v>0.6</v>
      </c>
      <c r="E20" s="3" t="inlineStr">
        <is>
          <t>Percent</t>
        </is>
      </c>
      <c r="F20" s="3" t="inlineStr">
        <is>
          <t>Research-Based Estimate</t>
        </is>
      </c>
      <c r="G20" s="3" t="inlineStr">
        <is>
          <t>Test only</t>
        </is>
      </c>
      <c r="H20" s="3" t="inlineStr">
        <is>
          <t>User input → role benchmark</t>
        </is>
      </c>
      <c r="I20" s="3" t="inlineStr">
        <is>
          <t>Ramp/onboarding research</t>
        </is>
      </c>
      <c r="J20" s="3" t="inlineStr">
        <is>
          <t>https://www.gallup.com/workplace/246242/essential-ingredients-effective-onboarding-program.aspx</t>
        </is>
      </c>
      <c r="K20" s="3" t="inlineStr">
        <is>
          <t>2024</t>
        </is>
      </c>
      <c r="L20" s="3" t="inlineStr">
        <is>
          <t>Research-based estimate of average productivity during ramp; calibrate by role.</t>
        </is>
      </c>
      <c r="M20" s="3" t="inlineStr">
        <is>
          <t>Research-Based Proxy</t>
        </is>
      </c>
      <c r="N20" s="3" t="inlineStr">
        <is>
          <t>No direct benchmark exists for ramp-up productivity level. Derived from onboarding/ramp research showing new hires operate well below full output during the ramp window. As with every default in this utility, users are encouraged to review and adjust it to reflect their organization.</t>
        </is>
      </c>
      <c r="O20" s="3" t="inlineStr">
        <is>
          <t>Averaged from ramp/onboarding research; varies materially by role complexity. Represents the average of a gradual ramp curve; the model applies the productivity gap, so the full period is not treated as lost.</t>
        </is>
      </c>
      <c r="P20" s="3" t="inlineStr">
        <is>
          <t>Under Review</t>
        </is>
      </c>
    </row>
    <row r="21">
      <c r="A21" s="3" t="inlineStr">
        <is>
          <t>B017</t>
        </is>
      </c>
      <c r="B21" s="3" t="inlineStr">
        <is>
          <t>Ramp-up duration</t>
        </is>
      </c>
      <c r="C21" s="3" t="inlineStr">
        <is>
          <t>Manager / corporate knowledge role</t>
        </is>
      </c>
      <c r="D21" s="5" t="n">
        <v>8</v>
      </c>
      <c r="E21" s="3" t="inlineStr">
        <is>
          <t>Months</t>
        </is>
      </c>
      <c r="F21" s="3" t="inlineStr">
        <is>
          <t>Research-Based Estimate</t>
        </is>
      </c>
      <c r="G21" s="3" t="inlineStr">
        <is>
          <t>Test only</t>
        </is>
      </c>
      <c r="H21" s="3" t="inlineStr">
        <is>
          <t>User input → role benchmark</t>
        </is>
      </c>
      <c r="I21" s="3" t="inlineStr">
        <is>
          <t>Gallup</t>
        </is>
      </c>
      <c r="J21" s="3" t="inlineStr">
        <is>
          <t>https://www.gallup.com/workplace/246242/essential-ingredients-effective-onboarding-program.aspx</t>
        </is>
      </c>
      <c r="K21" s="3" t="inlineStr">
        <is>
          <t>2024</t>
        </is>
      </c>
      <c r="L21" s="3" t="inlineStr">
        <is>
          <t>Anchored to Gallup 2024 median time to full productivity (8.2 months, mid-level), rounded to 8. Previous placeholder was 4 months (untested).</t>
        </is>
      </c>
      <c r="M21" s="3" t="inlineStr">
        <is>
          <t>Research-Based Proxy</t>
        </is>
      </c>
      <c r="N21" s="3" t="inlineStr">
        <is>
          <t>No single benchmark sets ramp length, but Gallup finds ~8.2 months median time to full productivity for mid-level professionals (12+ for many roles). Default set to 8 months for a corporate/knowledge manager. As with every default in this utility, users are encouraged to review and adjust it to reflect their organization.</t>
        </is>
      </c>
      <c r="O21" s="3" t="inlineStr">
        <is>
          <t>Gallup median is for mid-level professionals; full range across roles is ~5-12 months. Duration is combined with the productivity gap (not full cost) - 8 months x ~40% gap = ~3.2 month-equivalents lost.</t>
        </is>
      </c>
      <c r="P21" s="3" t="inlineStr">
        <is>
          <t>Adopted</t>
        </is>
      </c>
    </row>
    <row r="22">
      <c r="A22" s="3" t="inlineStr">
        <is>
          <t>B018</t>
        </is>
      </c>
      <c r="B22" s="3" t="inlineStr">
        <is>
          <t>Direct onboarding/training cost</t>
        </is>
      </c>
      <c r="C22" s="3" t="inlineStr">
        <is>
          <t>Nonexecutive</t>
        </is>
      </c>
      <c r="D22" s="5" t="n">
        <v>2500</v>
      </c>
      <c r="E22" s="3" t="inlineStr">
        <is>
          <t>USD per hire</t>
        </is>
      </c>
      <c r="F22" s="3" t="inlineStr">
        <is>
          <t>Research-Based Estimate</t>
        </is>
      </c>
      <c r="G22" s="3" t="inlineStr">
        <is>
          <t>Test only</t>
        </is>
      </c>
      <c r="H22" s="3" t="inlineStr">
        <is>
          <t>User input → validated benchmark</t>
        </is>
      </c>
      <c r="I22" s="3" t="inlineStr">
        <is>
          <t>Model assumption</t>
        </is>
      </c>
      <c r="J22" s="3" t="n"/>
      <c r="K22" s="3" t="inlineStr">
        <is>
          <t>TBD</t>
        </is>
      </c>
      <c r="L22" s="3" t="inlineStr">
        <is>
          <t>Weak default; replace with organization value or a validated training-cost benchmark.</t>
        </is>
      </c>
      <c r="M22" s="3" t="inlineStr">
        <is>
          <t>Research-Based Proxy</t>
        </is>
      </c>
      <c r="N22" s="3" t="inlineStr">
        <is>
          <t>No robust public benchmark for direct onboarding/training cash cost per hire. Placeholder pending an organization value or a licensed benchmark. As with every default in this utility, users are encouraged to review and adjust it to reflect their organization.</t>
        </is>
      </c>
      <c r="O22" s="3" t="inlineStr">
        <is>
          <t>No robust public benchmark; placeholder pending an organization value or licensed data.</t>
        </is>
      </c>
      <c r="P22" s="3" t="inlineStr">
        <is>
          <t>Future Research</t>
        </is>
      </c>
    </row>
    <row r="23">
      <c r="A23" s="3" t="inlineStr">
        <is>
          <t>B019</t>
        </is>
      </c>
      <c r="B23" s="3" t="inlineStr">
        <is>
          <t>Knowledge transfer time</t>
        </is>
      </c>
      <c r="C23" s="3" t="inlineStr">
        <is>
          <t>Manager / knowledge role</t>
        </is>
      </c>
      <c r="D23" s="5" t="n">
        <v>40</v>
      </c>
      <c r="E23" s="3" t="inlineStr">
        <is>
          <t>Total employee hours</t>
        </is>
      </c>
      <c r="F23" s="3" t="inlineStr">
        <is>
          <t>Research-Based Estimate</t>
        </is>
      </c>
      <c r="G23" s="3" t="inlineStr">
        <is>
          <t>Test only</t>
        </is>
      </c>
      <c r="H23" s="3" t="inlineStr">
        <is>
          <t>User input → complexity benchmark</t>
        </is>
      </c>
      <c r="I23" s="3" t="inlineStr">
        <is>
          <t>HR handover practice</t>
        </is>
      </c>
      <c r="J23" s="3" t="inlineStr">
        <is>
          <t>https://enboarder.com/blog/checklist-knowledge-transfer/</t>
        </is>
      </c>
      <c r="K23" s="3" t="inlineStr">
        <is>
          <t>2018-2025</t>
        </is>
      </c>
      <c r="L23" s="3" t="inlineStr">
        <is>
          <t>Includes source and recipient time; only available for planned departures. Practitioner-consensus, not a controlled study.</t>
        </is>
      </c>
      <c r="M23" s="3" t="inlineStr">
        <is>
          <t>Research-Based Proxy</t>
        </is>
      </c>
      <c r="N23" s="3" t="inlineStr">
        <is>
          <t>No direct benchmark for post-departure knowledge-transfer hours. Anchored to typical planned handover practice (2-4 weeks for ICs; 30-90 days senior) and only applies when a departure is planned. As with every default in this utility, users are encouraged to review and adjust it to reflect their organization.</t>
        </is>
      </c>
      <c r="O23" s="3" t="inlineStr">
        <is>
          <t>Practitioner consensus, not a controlled study; applies only when a departure is planned.</t>
        </is>
      </c>
      <c r="P23" s="3" t="inlineStr">
        <is>
          <t>Adopted</t>
        </is>
      </c>
    </row>
    <row r="24">
      <c r="A24" s="3" t="inlineStr">
        <is>
          <t>B020</t>
        </is>
      </c>
      <c r="B24" s="3" t="inlineStr">
        <is>
          <t>Context rediscovery time</t>
        </is>
      </c>
      <c r="C24" s="3" t="inlineStr">
        <is>
          <t>Manager / knowledge role</t>
        </is>
      </c>
      <c r="D24" s="5" t="n">
        <v>130</v>
      </c>
      <c r="E24" s="3" t="inlineStr">
        <is>
          <t>Working hours</t>
        </is>
      </c>
      <c r="F24" s="3" t="inlineStr">
        <is>
          <t>Research-Based Estimate</t>
        </is>
      </c>
      <c r="G24" s="3" t="inlineStr">
        <is>
          <t>Test only</t>
        </is>
      </c>
      <c r="H24" s="3" t="inlineStr">
        <is>
          <t>User input → calibrated benchmark</t>
        </is>
      </c>
      <c r="I24" s="3" t="inlineStr">
        <is>
          <t>APQC / McKinsey</t>
        </is>
      </c>
      <c r="J24" s="3" t="inlineStr">
        <is>
          <t>https://www.apqc.org/blog/km-makes-knowledge-workers-more-productive-and-less-stressed-out</t>
        </is>
      </c>
      <c r="K24" s="3" t="inlineStr">
        <is>
          <t>2021 / MGI</t>
        </is>
      </c>
      <c r="L24" s="3" t="inlineStr">
        <is>
          <t>Ongoing per-worker averages used as a floor for a replacement rebuilding lost context; strip overlap with ramp-up.</t>
        </is>
      </c>
      <c r="M24" s="3" t="inlineStr">
        <is>
          <t>Research-Based Proxy</t>
        </is>
      </c>
      <c r="N24" s="3" t="inlineStr">
        <is>
          <t>No direct benchmark for post-departure context-rediscovery hours. Derived from the strongest published research on time knowledge workers spend searching for and recreating information (APQC 8.2 hrs/wk, n=982; McKinsey 9.3 hrs/wk), applied over the ramp window and counted only where incremental to normal ramp. As with every default in this utility, users are encouraged to review and adjust it to reflect their organization.</t>
        </is>
      </c>
      <c r="O24" s="3" t="inlineStr">
        <is>
          <t>Ongoing per-worker averages used as a proxy; must strip overlap with the ramp-up productivity gap.</t>
        </is>
      </c>
      <c r="P24" s="3" t="inlineStr">
        <is>
          <t>Adopted</t>
        </is>
      </c>
    </row>
    <row r="25">
      <c r="A25" s="3" t="inlineStr">
        <is>
          <t>B021</t>
        </is>
      </c>
      <c r="B25" s="3" t="inlineStr">
        <is>
          <t>Institutional-memory reconstruction</t>
        </is>
      </c>
      <c r="C25" s="3" t="inlineStr">
        <is>
          <t>Manager / knowledge role</t>
        </is>
      </c>
      <c r="D25" s="5" t="n">
        <v>60</v>
      </c>
      <c r="E25" s="3" t="inlineStr">
        <is>
          <t>Coworker/leader hours</t>
        </is>
      </c>
      <c r="F25" s="3" t="inlineStr">
        <is>
          <t>Research-Based Estimate</t>
        </is>
      </c>
      <c r="G25" s="3" t="inlineStr">
        <is>
          <t>Test only</t>
        </is>
      </c>
      <c r="H25" s="3" t="inlineStr">
        <is>
          <t>User input → calibrated benchmark</t>
        </is>
      </c>
      <c r="I25" s="3" t="inlineStr">
        <is>
          <t>Panopto</t>
        </is>
      </c>
      <c r="J25" s="3" t="inlineStr">
        <is>
          <t>https://www.panopto.com/company/news/inefficient-knowledge-sharing-costs-large-businesses-47-million-per-year/</t>
        </is>
      </c>
      <c r="K25" s="3" t="inlineStr">
        <is>
          <t>2018</t>
        </is>
      </c>
      <c r="L25" s="3" t="inlineStr">
        <is>
          <t>Panopto per-worker rate used to derive coworker/leader reconstruction time.</t>
        </is>
      </c>
      <c r="M25" s="3" t="inlineStr">
        <is>
          <t>Research-Based Proxy</t>
        </is>
      </c>
      <c r="N25" s="3" t="inlineStr">
        <is>
          <t>No direct benchmark for coworker reconstruction hours. Anchored to Panopto (2018, n=1,001): knowledge workers lose 5.3 hrs/wk waiting for or recreating colleagues' knowledge. Applied as affected coworkers x weeks x a share of that rate. As with every default in this utility, users are encouraged to review and adjust it to reflect their organization.</t>
        </is>
      </c>
      <c r="O25" s="3" t="inlineStr">
        <is>
          <t>Derived from a per-worker rate; number of helpers and hours varies by role.</t>
        </is>
      </c>
      <c r="P25" s="3" t="inlineStr">
        <is>
          <t>Adopted</t>
        </is>
      </c>
    </row>
    <row r="26">
      <c r="A26" s="3" t="inlineStr">
        <is>
          <t>B022</t>
        </is>
      </c>
      <c r="B26" s="3" t="inlineStr">
        <is>
          <t>Project disruption hours</t>
        </is>
      </c>
      <c r="C26" s="3" t="inlineStr">
        <is>
          <t>Per affected project</t>
        </is>
      </c>
      <c r="D26" s="5" t="n">
        <v>24</v>
      </c>
      <c r="E26" s="3" t="inlineStr">
        <is>
          <t>Team hours</t>
        </is>
      </c>
      <c r="F26" s="3" t="inlineStr">
        <is>
          <t>Research-Based Estimate</t>
        </is>
      </c>
      <c r="G26" s="3" t="inlineStr">
        <is>
          <t>Optional test</t>
        </is>
      </c>
      <c r="H26" s="3" t="inlineStr">
        <is>
          <t>User input → calibrated benchmark</t>
        </is>
      </c>
      <c r="I26" s="3" t="inlineStr">
        <is>
          <t>Cost-of-vacancy / PMI</t>
        </is>
      </c>
      <c r="J26" s="3" t="inlineStr">
        <is>
          <t>https://builtin.com/recruiting/cost-of-vacancy</t>
        </is>
      </c>
      <c r="K26" s="3" t="inlineStr">
        <is>
          <t>2012-2024</t>
        </is>
      </c>
      <c r="L26" s="3" t="inlineStr">
        <is>
          <t>Labor-only impact; do not add speculative lost project value.</t>
        </is>
      </c>
      <c r="M26" s="3" t="inlineStr">
        <is>
          <t>Research-Based Proxy</t>
        </is>
      </c>
      <c r="N26" s="3" t="inlineStr">
        <is>
          <t>No direct benchmark for added project hours from a departure. Labor-only proxy; sanity-checked against cost-of-vacancy analyses (~$500-1,154/day) and PMI (24% of orgs delayed an initiative due to talent constraints). Excludes speculative project-value loss. As with every default in this utility, users are encouraged to review and adjust it to reflect their organization.</t>
        </is>
      </c>
      <c r="O26" s="3" t="inlineStr">
        <is>
          <t>Labor-only proxy; excludes speculative lost project value.</t>
        </is>
      </c>
      <c r="P26" s="3" t="inlineStr">
        <is>
          <t>Under Review</t>
        </is>
      </c>
    </row>
    <row r="27" ht="15" customHeight="1">
      <c r="A27" s="3" t="inlineStr">
        <is>
          <t>B023</t>
        </is>
      </c>
      <c r="B27" s="3" t="inlineStr">
        <is>
          <t>Share of role knowledge unique to individual</t>
        </is>
      </c>
      <c r="C27" s="3" t="inlineStr">
        <is>
          <t>All knowledge roles</t>
        </is>
      </c>
      <c r="D27" s="11" t="n">
        <v>0.42</v>
      </c>
      <c r="E27" s="3" t="inlineStr">
        <is>
          <t>Percent</t>
        </is>
      </c>
      <c r="F27" s="3" t="inlineStr">
        <is>
          <t>Published Benchmark</t>
        </is>
      </c>
      <c r="G27" s="3" t="inlineStr">
        <is>
          <t>Yes</t>
        </is>
      </c>
      <c r="H27" s="3" t="inlineStr">
        <is>
          <t>Role level</t>
        </is>
      </c>
      <c r="I27" s="3" t="inlineStr">
        <is>
          <t>Panopto</t>
        </is>
      </c>
      <c r="J27" s="3" t="inlineStr">
        <is>
          <t>https://www.panopto.com/company/news/inefficient-knowledge-sharing-costs-large-businesses-47-million-per-year/</t>
        </is>
      </c>
      <c r="K27" s="3" t="inlineStr">
        <is>
          <t>2018, n=1,001</t>
        </is>
      </c>
      <c r="L27" s="3" t="inlineStr">
        <is>
          <t>Published survey measure of institutional knowledge not shared by any coworker.</t>
        </is>
      </c>
      <c r="M27" s="3" t="inlineStr">
        <is>
          <t>Direct Benchmark</t>
        </is>
      </c>
      <c r="N27" s="3" t="inlineStr">
        <is>
          <t>Strong published stat: ~42% of a role's institutional knowledge is unique to the person who holds it - the core "why Jaspen" figure. Use for messaging and optional at-risk weighting.</t>
        </is>
      </c>
      <c r="O27" s="3" t="inlineStr">
        <is>
          <t>Self-reported survey; single study (n=1,001).</t>
        </is>
      </c>
      <c r="P27" s="3" t="inlineStr">
        <is>
          <t>Adopted</t>
        </is>
      </c>
    </row>
    <row r="28" ht="15" customHeight="1">
      <c r="A28" s="3" t="inlineStr">
        <is>
          <t>B024</t>
        </is>
      </c>
      <c r="B28" s="3" t="inlineStr">
        <is>
          <t>Documentation coverage (explicit share of knowledge)</t>
        </is>
      </c>
      <c r="C28" s="3" t="inlineStr">
        <is>
          <t>All organizations</t>
        </is>
      </c>
      <c r="D28" s="11" t="n">
        <v>0.25</v>
      </c>
      <c r="E28" s="3" t="inlineStr">
        <is>
          <t>Percent</t>
        </is>
      </c>
      <c r="F28" s="3" t="inlineStr">
        <is>
          <t>Research-Based Estimate</t>
        </is>
      </c>
      <c r="G28" s="3" t="inlineStr">
        <is>
          <t>Context</t>
        </is>
      </c>
      <c r="H28" s="3" t="inlineStr">
        <is>
          <t>National</t>
        </is>
      </c>
      <c r="I28" s="3" t="inlineStr">
        <is>
          <t>Gartner</t>
        </is>
      </c>
      <c r="J28" s="3" t="inlineStr">
        <is>
          <t>https://www.gartner.com/en/information-technology/glossary/km-knowledge-management</t>
        </is>
      </c>
      <c r="K28" s="3" t="inlineStr">
        <is>
          <t>2024</t>
        </is>
      </c>
      <c r="L28" s="3" t="inlineStr">
        <is>
          <t>Gartner: 70-80% of enterprise knowledge is tacit (undocumented); implies ~20-30% explicit.</t>
        </is>
      </c>
      <c r="M28" s="3" t="inlineStr">
        <is>
          <t>Research-Based Proxy</t>
        </is>
      </c>
      <c r="N28" s="3" t="inlineStr">
        <is>
          <t>No exact measure per organization. Gartner's tacit-knowledge estimate frames how much is undocumented and therefore at risk. Messaging/context, not a per-departure default.</t>
        </is>
      </c>
      <c r="O28" s="3" t="inlineStr">
        <is>
          <t>Estimate range (70-80% tacit); reached via secondary citation - verify primary before public claims.</t>
        </is>
      </c>
      <c r="P28" s="3" t="inlineStr">
        <is>
          <t>Under Review</t>
        </is>
      </c>
    </row>
    <row r="29" ht="15" customHeight="1">
      <c r="A29" s="1" t="n"/>
      <c r="B29" s="1" t="n"/>
      <c r="C29" s="1" t="n"/>
      <c r="D29" s="1" t="n"/>
      <c r="E29" s="1" t="n"/>
      <c r="F29" s="1" t="n"/>
      <c r="G29" s="1" t="n"/>
      <c r="H29" s="1" t="n"/>
      <c r="I29" s="1" t="n"/>
      <c r="J29" s="1" t="n"/>
      <c r="K29" s="1" t="n"/>
      <c r="L29" s="1" t="n"/>
      <c r="M29" s="1" t="n"/>
    </row>
    <row r="30" ht="15" customHeight="1">
      <c r="A30" s="1" t="n"/>
      <c r="B30" s="1" t="n"/>
      <c r="C30" s="1" t="n"/>
      <c r="D30" s="1" t="n"/>
      <c r="E30" s="1" t="n"/>
      <c r="F30" s="1" t="n"/>
      <c r="G30" s="1" t="n"/>
      <c r="H30" s="1" t="n"/>
      <c r="I30" s="1" t="n"/>
      <c r="J30" s="1" t="n"/>
      <c r="K30" s="1" t="n"/>
      <c r="L30" s="1" t="n"/>
      <c r="M30" s="1" t="n"/>
    </row>
    <row r="31" ht="15" customHeight="1">
      <c r="A31" s="1" t="n"/>
      <c r="B31" s="1" t="n"/>
      <c r="C31" s="1" t="n"/>
      <c r="D31" s="1" t="n"/>
      <c r="E31" s="1" t="n"/>
      <c r="F31" s="1" t="n"/>
      <c r="G31" s="1" t="n"/>
      <c r="H31" s="1" t="n"/>
      <c r="I31" s="1" t="n"/>
      <c r="J31" s="1" t="n"/>
      <c r="K31" s="1" t="n"/>
      <c r="L31" s="1" t="n"/>
      <c r="M31" s="1" t="n"/>
    </row>
    <row r="32" ht="15" customHeight="1">
      <c r="A32" s="1" t="n"/>
      <c r="B32" s="1" t="n"/>
      <c r="C32" s="1" t="n"/>
      <c r="D32" s="1" t="n"/>
      <c r="E32" s="1" t="n"/>
      <c r="F32" s="1" t="n"/>
      <c r="G32" s="1" t="n"/>
      <c r="H32" s="1" t="n"/>
      <c r="I32" s="1" t="n"/>
      <c r="J32" s="1" t="n"/>
      <c r="K32" s="1" t="n"/>
      <c r="L32" s="1" t="n"/>
      <c r="M32" s="1" t="n"/>
    </row>
    <row r="33" ht="15" customHeight="1">
      <c r="A33" s="1" t="n"/>
      <c r="B33" s="1" t="n"/>
      <c r="C33" s="1" t="n"/>
      <c r="D33" s="1" t="n"/>
      <c r="E33" s="1" t="n"/>
      <c r="F33" s="1" t="n"/>
      <c r="G33" s="1" t="n"/>
      <c r="H33" s="1" t="n"/>
      <c r="I33" s="1" t="n"/>
      <c r="J33" s="1" t="n"/>
      <c r="K33" s="1" t="n"/>
      <c r="L33" s="1" t="n"/>
      <c r="M33" s="1" t="n"/>
    </row>
    <row r="34" ht="15" customHeight="1">
      <c r="A34" s="1" t="n"/>
      <c r="B34" s="1" t="n"/>
      <c r="C34" s="1" t="n"/>
      <c r="D34" s="1" t="n"/>
      <c r="E34" s="1" t="n"/>
      <c r="F34" s="1" t="n"/>
      <c r="G34" s="1" t="n"/>
      <c r="H34" s="1" t="n"/>
      <c r="I34" s="1" t="n"/>
      <c r="J34" s="1" t="n"/>
      <c r="K34" s="1" t="n"/>
      <c r="L34" s="1" t="n"/>
      <c r="M34" s="1" t="n"/>
    </row>
    <row r="35" ht="15" customHeight="1">
      <c r="A35" s="1" t="n"/>
      <c r="B35" s="1" t="n"/>
      <c r="C35" s="1" t="n"/>
      <c r="D35" s="1" t="n"/>
      <c r="E35" s="1" t="n"/>
      <c r="F35" s="1" t="n"/>
      <c r="G35" s="1" t="n"/>
      <c r="H35" s="1" t="n"/>
      <c r="I35" s="1" t="n"/>
      <c r="J35" s="1" t="n"/>
      <c r="K35" s="1" t="n"/>
      <c r="L35" s="1" t="n"/>
      <c r="M35" s="1" t="n"/>
    </row>
    <row r="36" ht="15" customHeight="1">
      <c r="A36" s="1" t="n"/>
      <c r="B36" s="1" t="n"/>
      <c r="C36" s="1" t="n"/>
      <c r="D36" s="1" t="n"/>
      <c r="E36" s="1" t="n"/>
      <c r="F36" s="1" t="n"/>
      <c r="G36" s="1" t="n"/>
      <c r="H36" s="1" t="n"/>
      <c r="I36" s="1" t="n"/>
      <c r="J36" s="1" t="n"/>
      <c r="K36" s="1" t="n"/>
      <c r="L36" s="1" t="n"/>
      <c r="M36" s="1" t="n"/>
    </row>
    <row r="37" ht="15" customHeight="1">
      <c r="A37" s="1" t="n"/>
      <c r="B37" s="1" t="n"/>
      <c r="C37" s="1" t="n"/>
      <c r="D37" s="1" t="n"/>
      <c r="E37" s="1" t="n"/>
      <c r="F37" s="1" t="n"/>
      <c r="G37" s="1" t="n"/>
      <c r="H37" s="1" t="n"/>
      <c r="I37" s="1" t="n"/>
      <c r="J37" s="1" t="n"/>
      <c r="K37" s="1" t="n"/>
      <c r="L37" s="1" t="n"/>
      <c r="M37" s="1" t="n"/>
    </row>
    <row r="38" ht="15" customHeight="1">
      <c r="A38" s="1" t="n"/>
      <c r="B38" s="1" t="n"/>
      <c r="C38" s="1" t="n"/>
      <c r="D38" s="1" t="n"/>
      <c r="E38" s="1" t="n"/>
      <c r="F38" s="1" t="n"/>
      <c r="G38" s="1" t="n"/>
      <c r="H38" s="1" t="n"/>
      <c r="I38" s="1" t="n"/>
      <c r="J38" s="1" t="n"/>
      <c r="K38" s="1" t="n"/>
      <c r="L38" s="1" t="n"/>
      <c r="M38" s="1" t="n"/>
    </row>
    <row r="39" ht="15" customHeight="1">
      <c r="A39" s="1" t="n"/>
      <c r="B39" s="1" t="n"/>
      <c r="C39" s="1" t="n"/>
      <c r="D39" s="1" t="n"/>
      <c r="E39" s="1" t="n"/>
      <c r="F39" s="1" t="n"/>
      <c r="G39" s="1" t="n"/>
      <c r="H39" s="1" t="n"/>
      <c r="I39" s="1" t="n"/>
      <c r="J39" s="1" t="n"/>
      <c r="K39" s="1" t="n"/>
      <c r="L39" s="1" t="n"/>
      <c r="M39" s="1" t="n"/>
    </row>
    <row r="40" ht="15" customHeight="1">
      <c r="A40" s="1" t="n"/>
      <c r="B40" s="1" t="n"/>
      <c r="C40" s="1" t="n"/>
      <c r="D40" s="1" t="n"/>
      <c r="E40" s="1" t="n"/>
      <c r="F40" s="1" t="n"/>
      <c r="G40" s="1" t="n"/>
      <c r="H40" s="1" t="n"/>
      <c r="I40" s="1" t="n"/>
      <c r="J40" s="1" t="n"/>
      <c r="K40" s="1" t="n"/>
      <c r="L40" s="1" t="n"/>
      <c r="M40" s="1" t="n"/>
    </row>
    <row r="41" ht="15" customHeight="1">
      <c r="A41" s="1" t="n"/>
      <c r="B41" s="1" t="n"/>
      <c r="C41" s="1" t="n"/>
      <c r="D41" s="1" t="n"/>
      <c r="E41" s="1" t="n"/>
      <c r="F41" s="1" t="n"/>
      <c r="G41" s="1" t="n"/>
      <c r="H41" s="1" t="n"/>
      <c r="I41" s="1" t="n"/>
      <c r="J41" s="1" t="n"/>
      <c r="K41" s="1" t="n"/>
      <c r="L41" s="1" t="n"/>
      <c r="M41" s="1" t="n"/>
    </row>
    <row r="42" ht="15" customHeight="1">
      <c r="A42" s="1" t="n"/>
      <c r="B42" s="1" t="n"/>
      <c r="C42" s="1" t="n"/>
      <c r="D42" s="1" t="n"/>
      <c r="E42" s="1" t="n"/>
      <c r="F42" s="1" t="n"/>
      <c r="G42" s="1" t="n"/>
      <c r="H42" s="1" t="n"/>
      <c r="I42" s="1" t="n"/>
      <c r="J42" s="1" t="n"/>
      <c r="K42" s="1" t="n"/>
      <c r="L42" s="1" t="n"/>
      <c r="M42" s="1" t="n"/>
    </row>
    <row r="43" ht="15" customHeight="1">
      <c r="A43" s="1" t="n"/>
      <c r="B43" s="1" t="n"/>
      <c r="C43" s="1" t="n"/>
      <c r="D43" s="1" t="n"/>
      <c r="E43" s="1" t="n"/>
      <c r="F43" s="1" t="n"/>
      <c r="G43" s="1" t="n"/>
      <c r="H43" s="1" t="n"/>
      <c r="I43" s="1" t="n"/>
      <c r="J43" s="1" t="n"/>
      <c r="K43" s="1" t="n"/>
      <c r="L43" s="1" t="n"/>
      <c r="M43" s="1" t="n"/>
    </row>
    <row r="44" ht="15" customHeight="1">
      <c r="A44" s="1" t="n"/>
      <c r="B44" s="1" t="n"/>
      <c r="C44" s="1" t="n"/>
      <c r="D44" s="1" t="n"/>
      <c r="E44" s="1" t="n"/>
      <c r="F44" s="1" t="n"/>
      <c r="G44" s="1" t="n"/>
      <c r="H44" s="1" t="n"/>
      <c r="I44" s="1" t="n"/>
      <c r="J44" s="1" t="n"/>
      <c r="K44" s="1" t="n"/>
      <c r="L44" s="1" t="n"/>
      <c r="M44" s="1" t="n"/>
    </row>
    <row r="45" ht="15" customHeight="1">
      <c r="A45" s="1" t="n"/>
      <c r="B45" s="1" t="n"/>
      <c r="C45" s="1" t="n"/>
      <c r="D45" s="1" t="n"/>
      <c r="E45" s="1" t="n"/>
      <c r="F45" s="1" t="n"/>
      <c r="G45" s="1" t="n"/>
      <c r="H45" s="1" t="n"/>
      <c r="I45" s="1" t="n"/>
      <c r="J45" s="1" t="n"/>
      <c r="K45" s="1" t="n"/>
      <c r="L45" s="1" t="n"/>
      <c r="M45" s="1" t="n"/>
    </row>
    <row r="46" ht="15" customHeight="1">
      <c r="A46" s="1" t="n"/>
      <c r="B46" s="1" t="n"/>
      <c r="C46" s="1" t="n"/>
      <c r="D46" s="1" t="n"/>
      <c r="E46" s="1" t="n"/>
      <c r="F46" s="1" t="n"/>
      <c r="G46" s="1" t="n"/>
      <c r="H46" s="1" t="n"/>
      <c r="I46" s="1" t="n"/>
      <c r="J46" s="1" t="n"/>
      <c r="K46" s="1" t="n"/>
      <c r="L46" s="1" t="n"/>
      <c r="M46" s="1" t="n"/>
    </row>
    <row r="47" ht="15" customHeight="1">
      <c r="A47" s="1" t="n"/>
      <c r="B47" s="1" t="n"/>
      <c r="C47" s="1" t="n"/>
      <c r="D47" s="1" t="n"/>
      <c r="E47" s="1" t="n"/>
      <c r="F47" s="1" t="n"/>
      <c r="G47" s="1" t="n"/>
      <c r="H47" s="1" t="n"/>
      <c r="I47" s="1" t="n"/>
      <c r="J47" s="1" t="n"/>
      <c r="K47" s="1" t="n"/>
      <c r="L47" s="1" t="n"/>
      <c r="M47" s="1" t="n"/>
    </row>
    <row r="48" ht="15" customHeight="1">
      <c r="A48" s="1" t="n"/>
      <c r="B48" s="1" t="n"/>
      <c r="C48" s="1" t="n"/>
      <c r="D48" s="1" t="n"/>
      <c r="E48" s="1" t="n"/>
      <c r="F48" s="1" t="n"/>
      <c r="G48" s="1" t="n"/>
      <c r="H48" s="1" t="n"/>
      <c r="I48" s="1" t="n"/>
      <c r="J48" s="1" t="n"/>
      <c r="K48" s="1" t="n"/>
      <c r="L48" s="1" t="n"/>
      <c r="M48" s="1" t="n"/>
    </row>
    <row r="49" ht="15" customHeight="1">
      <c r="A49" s="1" t="n"/>
      <c r="B49" s="1" t="n"/>
      <c r="C49" s="1" t="n"/>
      <c r="D49" s="1" t="n"/>
      <c r="E49" s="1" t="n"/>
      <c r="F49" s="1" t="n"/>
      <c r="G49" s="1" t="n"/>
      <c r="H49" s="1" t="n"/>
      <c r="I49" s="1" t="n"/>
      <c r="J49" s="1" t="n"/>
      <c r="K49" s="1" t="n"/>
      <c r="L49" s="1" t="n"/>
      <c r="M49" s="1" t="n"/>
    </row>
    <row r="50" ht="15" customHeight="1">
      <c r="A50" s="1" t="n"/>
      <c r="B50" s="1" t="n"/>
      <c r="C50" s="1" t="n"/>
      <c r="D50" s="1" t="n"/>
      <c r="E50" s="1" t="n"/>
      <c r="F50" s="1" t="n"/>
      <c r="G50" s="1" t="n"/>
      <c r="H50" s="1" t="n"/>
      <c r="I50" s="1" t="n"/>
      <c r="J50" s="1" t="n"/>
      <c r="K50" s="1" t="n"/>
      <c r="L50" s="1" t="n"/>
      <c r="M50" s="1" t="n"/>
    </row>
    <row r="51" ht="15" customHeight="1">
      <c r="A51" s="1" t="n"/>
      <c r="B51" s="1" t="n"/>
      <c r="C51" s="1" t="n"/>
      <c r="D51" s="1" t="n"/>
      <c r="E51" s="1" t="n"/>
      <c r="F51" s="1" t="n"/>
      <c r="G51" s="1" t="n"/>
      <c r="H51" s="1" t="n"/>
      <c r="I51" s="1" t="n"/>
      <c r="J51" s="1" t="n"/>
      <c r="K51" s="1" t="n"/>
      <c r="L51" s="1" t="n"/>
      <c r="M51" s="1" t="n"/>
    </row>
    <row r="52" ht="15" customHeight="1">
      <c r="A52" s="1" t="n"/>
      <c r="B52" s="1" t="n"/>
      <c r="C52" s="1" t="n"/>
      <c r="D52" s="1" t="n"/>
      <c r="E52" s="1" t="n"/>
      <c r="F52" s="1" t="n"/>
      <c r="G52" s="1" t="n"/>
      <c r="H52" s="1" t="n"/>
      <c r="I52" s="1" t="n"/>
      <c r="J52" s="1" t="n"/>
      <c r="K52" s="1" t="n"/>
      <c r="L52" s="1" t="n"/>
      <c r="M52" s="1" t="n"/>
    </row>
    <row r="53" ht="15" customHeight="1">
      <c r="A53" s="1" t="n"/>
      <c r="B53" s="1" t="n"/>
      <c r="C53" s="1" t="n"/>
      <c r="D53" s="1" t="n"/>
      <c r="E53" s="1" t="n"/>
      <c r="F53" s="1" t="n"/>
      <c r="G53" s="1" t="n"/>
      <c r="H53" s="1" t="n"/>
      <c r="I53" s="1" t="n"/>
      <c r="J53" s="1" t="n"/>
      <c r="K53" s="1" t="n"/>
      <c r="L53" s="1" t="n"/>
      <c r="M53" s="1" t="n"/>
    </row>
    <row r="54" ht="15" customHeight="1">
      <c r="A54" s="1" t="n"/>
      <c r="B54" s="1" t="n"/>
      <c r="C54" s="1" t="n"/>
      <c r="D54" s="1" t="n"/>
      <c r="E54" s="1" t="n"/>
      <c r="F54" s="1" t="n"/>
      <c r="G54" s="1" t="n"/>
      <c r="H54" s="1" t="n"/>
      <c r="I54" s="1" t="n"/>
      <c r="J54" s="1" t="n"/>
      <c r="K54" s="1" t="n"/>
      <c r="L54" s="1" t="n"/>
      <c r="M54" s="1" t="n"/>
    </row>
    <row r="55" ht="15" customHeight="1">
      <c r="A55" s="1" t="n"/>
      <c r="B55" s="1" t="n"/>
      <c r="C55" s="1" t="n"/>
      <c r="D55" s="1" t="n"/>
      <c r="E55" s="1" t="n"/>
      <c r="F55" s="1" t="n"/>
      <c r="G55" s="1" t="n"/>
      <c r="H55" s="1" t="n"/>
      <c r="I55" s="1" t="n"/>
      <c r="J55" s="1" t="n"/>
      <c r="K55" s="1" t="n"/>
      <c r="L55" s="1" t="n"/>
      <c r="M55" s="1" t="n"/>
    </row>
    <row r="56" ht="15" customHeight="1">
      <c r="A56" s="1" t="n"/>
      <c r="B56" s="1" t="n"/>
      <c r="C56" s="1" t="n"/>
      <c r="D56" s="1" t="n"/>
      <c r="E56" s="1" t="n"/>
      <c r="F56" s="1" t="n"/>
      <c r="G56" s="1" t="n"/>
      <c r="H56" s="1" t="n"/>
      <c r="I56" s="1" t="n"/>
      <c r="J56" s="1" t="n"/>
      <c r="K56" s="1" t="n"/>
      <c r="L56" s="1" t="n"/>
      <c r="M56" s="1" t="n"/>
    </row>
    <row r="57" ht="15" customHeight="1">
      <c r="A57" s="1" t="n"/>
      <c r="B57" s="1" t="n"/>
      <c r="C57" s="1" t="n"/>
      <c r="D57" s="1" t="n"/>
      <c r="E57" s="1" t="n"/>
      <c r="F57" s="1" t="n"/>
      <c r="G57" s="1" t="n"/>
      <c r="H57" s="1" t="n"/>
      <c r="I57" s="1" t="n"/>
      <c r="J57" s="1" t="n"/>
      <c r="K57" s="1" t="n"/>
      <c r="L57" s="1" t="n"/>
      <c r="M57" s="1" t="n"/>
    </row>
    <row r="58" ht="15" customHeight="1">
      <c r="A58" s="1" t="n"/>
      <c r="B58" s="1" t="n"/>
      <c r="C58" s="1" t="n"/>
      <c r="D58" s="1" t="n"/>
      <c r="E58" s="1" t="n"/>
      <c r="F58" s="1" t="n"/>
      <c r="G58" s="1" t="n"/>
      <c r="H58" s="1" t="n"/>
      <c r="I58" s="1" t="n"/>
      <c r="J58" s="1" t="n"/>
      <c r="K58" s="1" t="n"/>
      <c r="L58" s="1" t="n"/>
      <c r="M58" s="1" t="n"/>
    </row>
    <row r="59" ht="15" customHeight="1">
      <c r="A59" s="1" t="n"/>
      <c r="B59" s="1" t="n"/>
      <c r="C59" s="1" t="n"/>
      <c r="D59" s="1" t="n"/>
      <c r="E59" s="1" t="n"/>
      <c r="F59" s="1" t="n"/>
      <c r="G59" s="1" t="n"/>
      <c r="H59" s="1" t="n"/>
      <c r="I59" s="1" t="n"/>
      <c r="J59" s="1" t="n"/>
      <c r="K59" s="1" t="n"/>
      <c r="L59" s="1" t="n"/>
      <c r="M59" s="1" t="n"/>
    </row>
    <row r="60" ht="15" customHeight="1">
      <c r="A60" s="1" t="n"/>
      <c r="B60" s="1" t="n"/>
      <c r="C60" s="1" t="n"/>
      <c r="D60" s="1" t="n"/>
      <c r="E60" s="1" t="n"/>
      <c r="F60" s="1" t="n"/>
      <c r="G60" s="1" t="n"/>
      <c r="H60" s="1" t="n"/>
      <c r="I60" s="1" t="n"/>
      <c r="J60" s="1" t="n"/>
      <c r="K60" s="1" t="n"/>
      <c r="L60" s="1" t="n"/>
      <c r="M60" s="1" t="n"/>
    </row>
    <row r="61" ht="15" customHeight="1">
      <c r="A61" s="1" t="n"/>
      <c r="B61" s="1" t="n"/>
      <c r="C61" s="1" t="n"/>
      <c r="D61" s="1" t="n"/>
      <c r="E61" s="1" t="n"/>
      <c r="F61" s="1" t="n"/>
      <c r="G61" s="1" t="n"/>
      <c r="H61" s="1" t="n"/>
      <c r="I61" s="1" t="n"/>
      <c r="J61" s="1" t="n"/>
      <c r="K61" s="1" t="n"/>
      <c r="L61" s="1" t="n"/>
      <c r="M61" s="1" t="n"/>
    </row>
    <row r="62" ht="15" customHeight="1">
      <c r="A62" s="1" t="n"/>
      <c r="B62" s="1" t="n"/>
      <c r="C62" s="1" t="n"/>
      <c r="D62" s="1" t="n"/>
      <c r="E62" s="1" t="n"/>
      <c r="F62" s="1" t="n"/>
      <c r="G62" s="1" t="n"/>
      <c r="H62" s="1" t="n"/>
      <c r="I62" s="1" t="n"/>
      <c r="J62" s="1" t="n"/>
      <c r="K62" s="1" t="n"/>
      <c r="L62" s="1" t="n"/>
      <c r="M62" s="1" t="n"/>
    </row>
    <row r="63" ht="15" customHeight="1">
      <c r="A63" s="1" t="n"/>
      <c r="B63" s="1" t="n"/>
      <c r="C63" s="1" t="n"/>
      <c r="D63" s="1" t="n"/>
      <c r="E63" s="1" t="n"/>
      <c r="F63" s="1" t="n"/>
      <c r="G63" s="1" t="n"/>
      <c r="H63" s="1" t="n"/>
      <c r="I63" s="1" t="n"/>
      <c r="J63" s="1" t="n"/>
      <c r="K63" s="1" t="n"/>
      <c r="L63" s="1" t="n"/>
      <c r="M63" s="1" t="n"/>
    </row>
    <row r="64" ht="15" customHeight="1">
      <c r="A64" s="1" t="n"/>
      <c r="B64" s="1" t="n"/>
      <c r="C64" s="1" t="n"/>
      <c r="D64" s="1" t="n"/>
      <c r="E64" s="1" t="n"/>
      <c r="F64" s="1" t="n"/>
      <c r="G64" s="1" t="n"/>
      <c r="H64" s="1" t="n"/>
      <c r="I64" s="1" t="n"/>
      <c r="J64" s="1" t="n"/>
      <c r="K64" s="1" t="n"/>
      <c r="L64" s="1" t="n"/>
      <c r="M64" s="1" t="n"/>
    </row>
    <row r="65" ht="15" customHeight="1">
      <c r="A65" s="1" t="n"/>
      <c r="B65" s="1" t="n"/>
      <c r="C65" s="1" t="n"/>
      <c r="D65" s="1" t="n"/>
      <c r="E65" s="1" t="n"/>
      <c r="F65" s="1" t="n"/>
      <c r="G65" s="1" t="n"/>
      <c r="H65" s="1" t="n"/>
      <c r="I65" s="1" t="n"/>
      <c r="J65" s="1" t="n"/>
      <c r="K65" s="1" t="n"/>
      <c r="L65" s="1" t="n"/>
      <c r="M65" s="1" t="n"/>
    </row>
    <row r="66" ht="15" customHeight="1">
      <c r="A66" s="1" t="n"/>
      <c r="B66" s="1" t="n"/>
      <c r="C66" s="1" t="n"/>
      <c r="D66" s="1" t="n"/>
      <c r="E66" s="1" t="n"/>
      <c r="F66" s="1" t="n"/>
      <c r="G66" s="1" t="n"/>
      <c r="H66" s="1" t="n"/>
      <c r="I66" s="1" t="n"/>
      <c r="J66" s="1" t="n"/>
      <c r="K66" s="1" t="n"/>
      <c r="L66" s="1" t="n"/>
      <c r="M66" s="1" t="n"/>
    </row>
    <row r="67" ht="15" customHeight="1">
      <c r="A67" s="1" t="n"/>
      <c r="B67" s="1" t="n"/>
      <c r="C67" s="1" t="n"/>
      <c r="D67" s="1" t="n"/>
      <c r="E67" s="1" t="n"/>
      <c r="F67" s="1" t="n"/>
      <c r="G67" s="1" t="n"/>
      <c r="H67" s="1" t="n"/>
      <c r="I67" s="1" t="n"/>
      <c r="J67" s="1" t="n"/>
      <c r="K67" s="1" t="n"/>
      <c r="L67" s="1" t="n"/>
      <c r="M67" s="1" t="n"/>
    </row>
    <row r="68" ht="15" customHeight="1">
      <c r="A68" s="1" t="n"/>
      <c r="B68" s="1" t="n"/>
      <c r="C68" s="1" t="n"/>
      <c r="D68" s="1" t="n"/>
      <c r="E68" s="1" t="n"/>
      <c r="F68" s="1" t="n"/>
      <c r="G68" s="1" t="n"/>
      <c r="H68" s="1" t="n"/>
      <c r="I68" s="1" t="n"/>
      <c r="J68" s="1" t="n"/>
      <c r="K68" s="1" t="n"/>
      <c r="L68" s="1" t="n"/>
      <c r="M68" s="1" t="n"/>
    </row>
    <row r="69" ht="15" customHeight="1">
      <c r="A69" s="1" t="n"/>
      <c r="B69" s="1" t="n"/>
      <c r="C69" s="1" t="n"/>
      <c r="D69" s="1" t="n"/>
      <c r="E69" s="1" t="n"/>
      <c r="F69" s="1" t="n"/>
      <c r="G69" s="1" t="n"/>
      <c r="H69" s="1" t="n"/>
      <c r="I69" s="1" t="n"/>
      <c r="J69" s="1" t="n"/>
      <c r="K69" s="1" t="n"/>
      <c r="L69" s="1" t="n"/>
      <c r="M69" s="1" t="n"/>
    </row>
    <row r="70" ht="15" customHeight="1">
      <c r="A70" s="1" t="n"/>
      <c r="B70" s="1" t="n"/>
      <c r="C70" s="1" t="n"/>
      <c r="D70" s="1" t="n"/>
      <c r="E70" s="1" t="n"/>
      <c r="F70" s="1" t="n"/>
      <c r="G70" s="1" t="n"/>
      <c r="H70" s="1" t="n"/>
      <c r="I70" s="1" t="n"/>
      <c r="J70" s="1" t="n"/>
      <c r="K70" s="1" t="n"/>
      <c r="L70" s="1" t="n"/>
      <c r="M70" s="1" t="n"/>
    </row>
    <row r="71" ht="15" customHeight="1">
      <c r="A71" s="1" t="n"/>
      <c r="B71" s="1" t="n"/>
      <c r="C71" s="1" t="n"/>
      <c r="D71" s="1" t="n"/>
      <c r="E71" s="1" t="n"/>
      <c r="F71" s="1" t="n"/>
      <c r="G71" s="1" t="n"/>
      <c r="H71" s="1" t="n"/>
      <c r="I71" s="1" t="n"/>
      <c r="J71" s="1" t="n"/>
      <c r="K71" s="1" t="n"/>
      <c r="L71" s="1" t="n"/>
      <c r="M71" s="1" t="n"/>
    </row>
    <row r="72" ht="15" customHeight="1">
      <c r="A72" s="1" t="n"/>
      <c r="B72" s="1" t="n"/>
      <c r="C72" s="1" t="n"/>
      <c r="D72" s="1" t="n"/>
      <c r="E72" s="1" t="n"/>
      <c r="F72" s="1" t="n"/>
      <c r="G72" s="1" t="n"/>
      <c r="H72" s="1" t="n"/>
      <c r="I72" s="1" t="n"/>
      <c r="J72" s="1" t="n"/>
      <c r="K72" s="1" t="n"/>
      <c r="L72" s="1" t="n"/>
      <c r="M72" s="1" t="n"/>
    </row>
    <row r="73" ht="15" customHeight="1">
      <c r="A73" s="1" t="n"/>
      <c r="B73" s="1" t="n"/>
      <c r="C73" s="1" t="n"/>
      <c r="D73" s="1" t="n"/>
      <c r="E73" s="1" t="n"/>
      <c r="F73" s="1" t="n"/>
      <c r="G73" s="1" t="n"/>
      <c r="H73" s="1" t="n"/>
      <c r="I73" s="1" t="n"/>
      <c r="J73" s="1" t="n"/>
      <c r="K73" s="1" t="n"/>
      <c r="L73" s="1" t="n"/>
      <c r="M73" s="1" t="n"/>
    </row>
    <row r="74" ht="15" customHeight="1">
      <c r="A74" s="1" t="n"/>
      <c r="B74" s="1" t="n"/>
      <c r="C74" s="1" t="n"/>
      <c r="D74" s="1" t="n"/>
      <c r="E74" s="1" t="n"/>
      <c r="F74" s="1" t="n"/>
      <c r="G74" s="1" t="n"/>
      <c r="H74" s="1" t="n"/>
      <c r="I74" s="1" t="n"/>
      <c r="J74" s="1" t="n"/>
      <c r="K74" s="1" t="n"/>
      <c r="L74" s="1" t="n"/>
      <c r="M74" s="1" t="n"/>
    </row>
    <row r="75" ht="15" customHeight="1">
      <c r="A75" s="1" t="n"/>
      <c r="B75" s="1" t="n"/>
      <c r="C75" s="1" t="n"/>
      <c r="D75" s="1" t="n"/>
      <c r="E75" s="1" t="n"/>
      <c r="F75" s="1" t="n"/>
      <c r="G75" s="1" t="n"/>
      <c r="H75" s="1" t="n"/>
      <c r="I75" s="1" t="n"/>
      <c r="J75" s="1" t="n"/>
      <c r="K75" s="1" t="n"/>
      <c r="L75" s="1" t="n"/>
      <c r="M75" s="1" t="n"/>
    </row>
    <row r="76" ht="15" customHeight="1">
      <c r="A76" s="1" t="n"/>
      <c r="B76" s="1" t="n"/>
      <c r="C76" s="1" t="n"/>
      <c r="D76" s="1" t="n"/>
      <c r="E76" s="1" t="n"/>
      <c r="F76" s="1" t="n"/>
      <c r="G76" s="1" t="n"/>
      <c r="H76" s="1" t="n"/>
      <c r="I76" s="1" t="n"/>
      <c r="J76" s="1" t="n"/>
      <c r="K76" s="1" t="n"/>
      <c r="L76" s="1" t="n"/>
      <c r="M76" s="1" t="n"/>
    </row>
    <row r="77" ht="15" customHeight="1">
      <c r="A77" s="1" t="n"/>
      <c r="B77" s="1" t="n"/>
      <c r="C77" s="1" t="n"/>
      <c r="D77" s="1" t="n"/>
      <c r="E77" s="1" t="n"/>
      <c r="F77" s="1" t="n"/>
      <c r="G77" s="1" t="n"/>
      <c r="H77" s="1" t="n"/>
      <c r="I77" s="1" t="n"/>
      <c r="J77" s="1" t="n"/>
      <c r="K77" s="1" t="n"/>
      <c r="L77" s="1" t="n"/>
      <c r="M77" s="1" t="n"/>
    </row>
    <row r="78" ht="15" customHeight="1">
      <c r="A78" s="1" t="n"/>
      <c r="B78" s="1" t="n"/>
      <c r="C78" s="1" t="n"/>
      <c r="D78" s="1" t="n"/>
      <c r="E78" s="1" t="n"/>
      <c r="F78" s="1" t="n"/>
      <c r="G78" s="1" t="n"/>
      <c r="H78" s="1" t="n"/>
      <c r="I78" s="1" t="n"/>
      <c r="J78" s="1" t="n"/>
      <c r="K78" s="1" t="n"/>
      <c r="L78" s="1" t="n"/>
      <c r="M78" s="1" t="n"/>
    </row>
    <row r="79" ht="15" customHeight="1">
      <c r="A79" s="1" t="n"/>
      <c r="B79" s="1" t="n"/>
      <c r="C79" s="1" t="n"/>
      <c r="D79" s="1" t="n"/>
      <c r="E79" s="1" t="n"/>
      <c r="F79" s="1" t="n"/>
      <c r="G79" s="1" t="n"/>
      <c r="H79" s="1" t="n"/>
      <c r="I79" s="1" t="n"/>
      <c r="J79" s="1" t="n"/>
      <c r="K79" s="1" t="n"/>
      <c r="L79" s="1" t="n"/>
      <c r="M79" s="1" t="n"/>
    </row>
    <row r="80" ht="15" customHeight="1">
      <c r="A80" s="1" t="n"/>
      <c r="B80" s="1" t="n"/>
      <c r="C80" s="1" t="n"/>
      <c r="D80" s="1" t="n"/>
      <c r="E80" s="1" t="n"/>
      <c r="F80" s="1" t="n"/>
      <c r="G80" s="1" t="n"/>
      <c r="H80" s="1" t="n"/>
      <c r="I80" s="1" t="n"/>
      <c r="J80" s="1" t="n"/>
      <c r="K80" s="1" t="n"/>
      <c r="L80" s="1" t="n"/>
      <c r="M80" s="1" t="n"/>
    </row>
    <row r="81" ht="15" customHeight="1">
      <c r="A81" s="1" t="n"/>
      <c r="B81" s="1" t="n"/>
      <c r="C81" s="1" t="n"/>
      <c r="D81" s="1" t="n"/>
      <c r="E81" s="1" t="n"/>
      <c r="F81" s="1" t="n"/>
      <c r="G81" s="1" t="n"/>
      <c r="H81" s="1" t="n"/>
      <c r="I81" s="1" t="n"/>
      <c r="J81" s="1" t="n"/>
      <c r="K81" s="1" t="n"/>
      <c r="L81" s="1" t="n"/>
      <c r="M81" s="1" t="n"/>
    </row>
    <row r="82" ht="15" customHeight="1">
      <c r="A82" s="1" t="n"/>
      <c r="B82" s="1" t="n"/>
      <c r="C82" s="1" t="n"/>
      <c r="D82" s="1" t="n"/>
      <c r="E82" s="1" t="n"/>
      <c r="F82" s="1" t="n"/>
      <c r="G82" s="1" t="n"/>
      <c r="H82" s="1" t="n"/>
      <c r="I82" s="1" t="n"/>
      <c r="J82" s="1" t="n"/>
      <c r="K82" s="1" t="n"/>
      <c r="L82" s="1" t="n"/>
      <c r="M82" s="1" t="n"/>
    </row>
    <row r="83" ht="15" customHeight="1">
      <c r="A83" s="1" t="n"/>
      <c r="B83" s="1" t="n"/>
      <c r="C83" s="1" t="n"/>
      <c r="D83" s="1" t="n"/>
      <c r="E83" s="1" t="n"/>
      <c r="F83" s="1" t="n"/>
      <c r="G83" s="1" t="n"/>
      <c r="H83" s="1" t="n"/>
      <c r="I83" s="1" t="n"/>
      <c r="J83" s="1" t="n"/>
      <c r="K83" s="1" t="n"/>
      <c r="L83" s="1" t="n"/>
      <c r="M83" s="1" t="n"/>
    </row>
    <row r="84" ht="15" customHeight="1">
      <c r="A84" s="1" t="n"/>
      <c r="B84" s="1" t="n"/>
      <c r="C84" s="1" t="n"/>
      <c r="D84" s="1" t="n"/>
      <c r="E84" s="1" t="n"/>
      <c r="F84" s="1" t="n"/>
      <c r="G84" s="1" t="n"/>
      <c r="H84" s="1" t="n"/>
      <c r="I84" s="1" t="n"/>
      <c r="J84" s="1" t="n"/>
      <c r="K84" s="1" t="n"/>
      <c r="L84" s="1" t="n"/>
      <c r="M84" s="1" t="n"/>
    </row>
    <row r="85" ht="15" customHeight="1">
      <c r="A85" s="1" t="n"/>
      <c r="B85" s="1" t="n"/>
      <c r="C85" s="1" t="n"/>
      <c r="D85" s="1" t="n"/>
      <c r="E85" s="1" t="n"/>
      <c r="F85" s="1" t="n"/>
      <c r="G85" s="1" t="n"/>
      <c r="H85" s="1" t="n"/>
      <c r="I85" s="1" t="n"/>
      <c r="J85" s="1" t="n"/>
      <c r="K85" s="1" t="n"/>
      <c r="L85" s="1" t="n"/>
      <c r="M85" s="1" t="n"/>
    </row>
    <row r="86" ht="15" customHeight="1">
      <c r="A86" s="1" t="n"/>
      <c r="B86" s="1" t="n"/>
      <c r="C86" s="1" t="n"/>
      <c r="D86" s="1" t="n"/>
      <c r="E86" s="1" t="n"/>
      <c r="F86" s="1" t="n"/>
      <c r="G86" s="1" t="n"/>
      <c r="H86" s="1" t="n"/>
      <c r="I86" s="1" t="n"/>
      <c r="J86" s="1" t="n"/>
      <c r="K86" s="1" t="n"/>
      <c r="L86" s="1" t="n"/>
      <c r="M86" s="1" t="n"/>
    </row>
    <row r="87" ht="15" customHeight="1">
      <c r="A87" s="1" t="n"/>
      <c r="B87" s="1" t="n"/>
      <c r="C87" s="1" t="n"/>
      <c r="D87" s="1" t="n"/>
      <c r="E87" s="1" t="n"/>
      <c r="F87" s="1" t="n"/>
      <c r="G87" s="1" t="n"/>
      <c r="H87" s="1" t="n"/>
      <c r="I87" s="1" t="n"/>
      <c r="J87" s="1" t="n"/>
      <c r="K87" s="1" t="n"/>
      <c r="L87" s="1" t="n"/>
      <c r="M87" s="1" t="n"/>
    </row>
    <row r="88" ht="15" customHeight="1">
      <c r="A88" s="1" t="n"/>
      <c r="B88" s="1" t="n"/>
      <c r="C88" s="1" t="n"/>
      <c r="D88" s="1" t="n"/>
      <c r="E88" s="1" t="n"/>
      <c r="F88" s="1" t="n"/>
      <c r="G88" s="1" t="n"/>
      <c r="H88" s="1" t="n"/>
      <c r="I88" s="1" t="n"/>
      <c r="J88" s="1" t="n"/>
      <c r="K88" s="1" t="n"/>
      <c r="L88" s="1" t="n"/>
      <c r="M88" s="1" t="n"/>
    </row>
    <row r="89" ht="15" customHeight="1">
      <c r="A89" s="1" t="n"/>
      <c r="B89" s="1" t="n"/>
      <c r="C89" s="1" t="n"/>
      <c r="D89" s="1" t="n"/>
      <c r="E89" s="1" t="n"/>
      <c r="F89" s="1" t="n"/>
      <c r="G89" s="1" t="n"/>
      <c r="H89" s="1" t="n"/>
      <c r="I89" s="1" t="n"/>
      <c r="J89" s="1" t="n"/>
      <c r="K89" s="1" t="n"/>
      <c r="L89" s="1" t="n"/>
      <c r="M89" s="1" t="n"/>
    </row>
    <row r="90" ht="15" customHeight="1">
      <c r="A90" s="1" t="n"/>
      <c r="B90" s="1" t="n"/>
      <c r="C90" s="1" t="n"/>
      <c r="D90" s="1" t="n"/>
      <c r="E90" s="1" t="n"/>
      <c r="F90" s="1" t="n"/>
      <c r="G90" s="1" t="n"/>
      <c r="H90" s="1" t="n"/>
      <c r="I90" s="1" t="n"/>
      <c r="J90" s="1" t="n"/>
      <c r="K90" s="1" t="n"/>
      <c r="L90" s="1" t="n"/>
      <c r="M90" s="1" t="n"/>
    </row>
    <row r="91" ht="15" customHeight="1">
      <c r="A91" s="1" t="n"/>
      <c r="B91" s="1" t="n"/>
      <c r="C91" s="1" t="n"/>
      <c r="D91" s="1" t="n"/>
      <c r="E91" s="1" t="n"/>
      <c r="F91" s="1" t="n"/>
      <c r="G91" s="1" t="n"/>
      <c r="H91" s="1" t="n"/>
      <c r="I91" s="1" t="n"/>
      <c r="J91" s="1" t="n"/>
      <c r="K91" s="1" t="n"/>
      <c r="L91" s="1" t="n"/>
      <c r="M91" s="1" t="n"/>
    </row>
    <row r="92" ht="15" customHeight="1">
      <c r="A92" s="1" t="n"/>
      <c r="B92" s="1" t="n"/>
      <c r="C92" s="1" t="n"/>
      <c r="D92" s="1" t="n"/>
      <c r="E92" s="1" t="n"/>
      <c r="F92" s="1" t="n"/>
      <c r="G92" s="1" t="n"/>
      <c r="H92" s="1" t="n"/>
      <c r="I92" s="1" t="n"/>
      <c r="J92" s="1" t="n"/>
      <c r="K92" s="1" t="n"/>
      <c r="L92" s="1" t="n"/>
      <c r="M92" s="1" t="n"/>
    </row>
    <row r="93" ht="15" customHeight="1">
      <c r="A93" s="1" t="n"/>
      <c r="B93" s="1" t="n"/>
      <c r="C93" s="1" t="n"/>
      <c r="D93" s="1" t="n"/>
      <c r="E93" s="1" t="n"/>
      <c r="F93" s="1" t="n"/>
      <c r="G93" s="1" t="n"/>
      <c r="H93" s="1" t="n"/>
      <c r="I93" s="1" t="n"/>
      <c r="J93" s="1" t="n"/>
      <c r="K93" s="1" t="n"/>
      <c r="L93" s="1" t="n"/>
      <c r="M93" s="1" t="n"/>
    </row>
    <row r="94" ht="15" customHeight="1">
      <c r="A94" s="1" t="n"/>
      <c r="B94" s="1" t="n"/>
      <c r="C94" s="1" t="n"/>
      <c r="D94" s="1" t="n"/>
      <c r="E94" s="1" t="n"/>
      <c r="F94" s="1" t="n"/>
      <c r="G94" s="1" t="n"/>
      <c r="H94" s="1" t="n"/>
      <c r="I94" s="1" t="n"/>
      <c r="J94" s="1" t="n"/>
      <c r="K94" s="1" t="n"/>
      <c r="L94" s="1" t="n"/>
      <c r="M94" s="1" t="n"/>
    </row>
    <row r="95" ht="15" customHeight="1">
      <c r="A95" s="1" t="n"/>
      <c r="B95" s="1" t="n"/>
      <c r="C95" s="1" t="n"/>
      <c r="D95" s="1" t="n"/>
      <c r="E95" s="1" t="n"/>
      <c r="F95" s="1" t="n"/>
      <c r="G95" s="1" t="n"/>
      <c r="H95" s="1" t="n"/>
      <c r="I95" s="1" t="n"/>
      <c r="J95" s="1" t="n"/>
      <c r="K95" s="1" t="n"/>
      <c r="L95" s="1" t="n"/>
      <c r="M95" s="1" t="n"/>
    </row>
    <row r="96" ht="15" customHeight="1">
      <c r="A96" s="1" t="n"/>
      <c r="B96" s="1" t="n"/>
      <c r="C96" s="1" t="n"/>
      <c r="D96" s="1" t="n"/>
      <c r="E96" s="1" t="n"/>
      <c r="F96" s="1" t="n"/>
      <c r="G96" s="1" t="n"/>
      <c r="H96" s="1" t="n"/>
      <c r="I96" s="1" t="n"/>
      <c r="J96" s="1" t="n"/>
      <c r="K96" s="1" t="n"/>
      <c r="L96" s="1" t="n"/>
      <c r="M96" s="1" t="n"/>
    </row>
    <row r="97" ht="15" customHeight="1">
      <c r="A97" s="1" t="n"/>
      <c r="B97" s="1" t="n"/>
      <c r="C97" s="1" t="n"/>
      <c r="D97" s="1" t="n"/>
      <c r="E97" s="1" t="n"/>
      <c r="F97" s="1" t="n"/>
      <c r="G97" s="1" t="n"/>
      <c r="H97" s="1" t="n"/>
      <c r="I97" s="1" t="n"/>
      <c r="J97" s="1" t="n"/>
      <c r="K97" s="1" t="n"/>
      <c r="L97" s="1" t="n"/>
      <c r="M97" s="1" t="n"/>
    </row>
    <row r="98" ht="15" customHeight="1">
      <c r="A98" s="1" t="n"/>
      <c r="B98" s="1" t="n"/>
      <c r="C98" s="1" t="n"/>
      <c r="D98" s="1" t="n"/>
      <c r="E98" s="1" t="n"/>
      <c r="F98" s="1" t="n"/>
      <c r="G98" s="1" t="n"/>
      <c r="H98" s="1" t="n"/>
      <c r="I98" s="1" t="n"/>
      <c r="J98" s="1" t="n"/>
      <c r="K98" s="1" t="n"/>
      <c r="L98" s="1" t="n"/>
      <c r="M98" s="1" t="n"/>
    </row>
    <row r="99" ht="15" customHeight="1">
      <c r="A99" s="1" t="n"/>
      <c r="B99" s="1" t="n"/>
      <c r="C99" s="1" t="n"/>
      <c r="D99" s="1" t="n"/>
      <c r="E99" s="1" t="n"/>
      <c r="F99" s="1" t="n"/>
      <c r="G99" s="1" t="n"/>
      <c r="H99" s="1" t="n"/>
      <c r="I99" s="1" t="n"/>
      <c r="J99" s="1" t="n"/>
      <c r="K99" s="1" t="n"/>
      <c r="L99" s="1" t="n"/>
      <c r="M99" s="1" t="n"/>
    </row>
    <row r="100" ht="15" customHeight="1">
      <c r="A100" s="1" t="n"/>
      <c r="B100" s="1" t="n"/>
      <c r="C100" s="1" t="n"/>
      <c r="D100" s="1" t="n"/>
      <c r="E100" s="1" t="n"/>
      <c r="F100" s="1" t="n"/>
      <c r="G100" s="1" t="n"/>
      <c r="H100" s="1" t="n"/>
      <c r="I100" s="1" t="n"/>
      <c r="J100" s="1" t="n"/>
      <c r="K100" s="1" t="n"/>
      <c r="L100" s="1" t="n"/>
      <c r="M100" s="1" t="n"/>
    </row>
    <row r="101" ht="15" customHeight="1">
      <c r="A101" s="1" t="n"/>
      <c r="B101" s="1" t="n"/>
      <c r="C101" s="1" t="n"/>
      <c r="D101" s="1" t="n"/>
      <c r="E101" s="1" t="n"/>
      <c r="F101" s="1" t="n"/>
      <c r="G101" s="1" t="n"/>
      <c r="H101" s="1" t="n"/>
      <c r="I101" s="1" t="n"/>
      <c r="J101" s="1" t="n"/>
      <c r="K101" s="1" t="n"/>
      <c r="L101" s="1" t="n"/>
      <c r="M101" s="1" t="n"/>
    </row>
    <row r="102" ht="15" customHeight="1">
      <c r="A102" s="1" t="n"/>
      <c r="B102" s="1" t="n"/>
      <c r="C102" s="1" t="n"/>
      <c r="D102" s="1" t="n"/>
      <c r="E102" s="1" t="n"/>
      <c r="F102" s="1" t="n"/>
      <c r="G102" s="1" t="n"/>
      <c r="H102" s="1" t="n"/>
      <c r="I102" s="1" t="n"/>
      <c r="J102" s="1" t="n"/>
      <c r="K102" s="1" t="n"/>
      <c r="L102" s="1" t="n"/>
      <c r="M102" s="1" t="n"/>
    </row>
    <row r="103" ht="15" customHeight="1">
      <c r="A103" s="1" t="n"/>
      <c r="B103" s="1" t="n"/>
      <c r="C103" s="1" t="n"/>
      <c r="D103" s="1" t="n"/>
      <c r="E103" s="1" t="n"/>
      <c r="F103" s="1" t="n"/>
      <c r="G103" s="1" t="n"/>
      <c r="H103" s="1" t="n"/>
      <c r="I103" s="1" t="n"/>
      <c r="J103" s="1" t="n"/>
      <c r="K103" s="1" t="n"/>
      <c r="L103" s="1" t="n"/>
      <c r="M103" s="1" t="n"/>
    </row>
    <row r="104" ht="15" customHeight="1">
      <c r="A104" s="1" t="n"/>
      <c r="B104" s="1" t="n"/>
      <c r="C104" s="1" t="n"/>
      <c r="D104" s="1" t="n"/>
      <c r="E104" s="1" t="n"/>
      <c r="F104" s="1" t="n"/>
      <c r="G104" s="1" t="n"/>
      <c r="H104" s="1" t="n"/>
      <c r="I104" s="1" t="n"/>
      <c r="J104" s="1" t="n"/>
      <c r="K104" s="1" t="n"/>
      <c r="L104" s="1" t="n"/>
      <c r="M104" s="1" t="n"/>
    </row>
    <row r="105" ht="15" customHeight="1">
      <c r="A105" s="1" t="n"/>
      <c r="B105" s="1" t="n"/>
      <c r="C105" s="1" t="n"/>
      <c r="D105" s="1" t="n"/>
      <c r="E105" s="1" t="n"/>
      <c r="F105" s="1" t="n"/>
      <c r="G105" s="1" t="n"/>
      <c r="H105" s="1" t="n"/>
      <c r="I105" s="1" t="n"/>
      <c r="J105" s="1" t="n"/>
      <c r="K105" s="1" t="n"/>
      <c r="L105" s="1" t="n"/>
      <c r="M105" s="1" t="n"/>
    </row>
    <row r="106" ht="15" customHeight="1">
      <c r="A106" s="1" t="n"/>
      <c r="B106" s="1" t="n"/>
      <c r="C106" s="1" t="n"/>
      <c r="D106" s="1" t="n"/>
      <c r="E106" s="1" t="n"/>
      <c r="F106" s="1" t="n"/>
      <c r="G106" s="1" t="n"/>
      <c r="H106" s="1" t="n"/>
      <c r="I106" s="1" t="n"/>
      <c r="J106" s="1" t="n"/>
      <c r="K106" s="1" t="n"/>
      <c r="L106" s="1" t="n"/>
      <c r="M106" s="1" t="n"/>
    </row>
    <row r="107" ht="15" customHeight="1">
      <c r="A107" s="1" t="n"/>
      <c r="B107" s="1" t="n"/>
      <c r="C107" s="1" t="n"/>
      <c r="D107" s="1" t="n"/>
      <c r="E107" s="1" t="n"/>
      <c r="F107" s="1" t="n"/>
      <c r="G107" s="1" t="n"/>
      <c r="H107" s="1" t="n"/>
      <c r="I107" s="1" t="n"/>
      <c r="J107" s="1" t="n"/>
      <c r="K107" s="1" t="n"/>
      <c r="L107" s="1" t="n"/>
      <c r="M107" s="1" t="n"/>
    </row>
    <row r="108" ht="15" customHeight="1">
      <c r="A108" s="1" t="n"/>
      <c r="B108" s="1" t="n"/>
      <c r="C108" s="1" t="n"/>
      <c r="D108" s="1" t="n"/>
      <c r="E108" s="1" t="n"/>
      <c r="F108" s="1" t="n"/>
      <c r="G108" s="1" t="n"/>
      <c r="H108" s="1" t="n"/>
      <c r="I108" s="1" t="n"/>
      <c r="J108" s="1" t="n"/>
      <c r="K108" s="1" t="n"/>
      <c r="L108" s="1" t="n"/>
      <c r="M108" s="1" t="n"/>
    </row>
    <row r="109" ht="15" customHeight="1">
      <c r="A109" s="1" t="n"/>
      <c r="B109" s="1" t="n"/>
      <c r="C109" s="1" t="n"/>
      <c r="D109" s="1" t="n"/>
      <c r="E109" s="1" t="n"/>
      <c r="F109" s="1" t="n"/>
      <c r="G109" s="1" t="n"/>
      <c r="H109" s="1" t="n"/>
      <c r="I109" s="1" t="n"/>
      <c r="J109" s="1" t="n"/>
      <c r="K109" s="1" t="n"/>
      <c r="L109" s="1" t="n"/>
      <c r="M109" s="1" t="n"/>
    </row>
    <row r="110" ht="15" customHeight="1">
      <c r="A110" s="1" t="n"/>
      <c r="B110" s="1" t="n"/>
      <c r="C110" s="1" t="n"/>
      <c r="D110" s="1" t="n"/>
      <c r="E110" s="1" t="n"/>
      <c r="F110" s="1" t="n"/>
      <c r="G110" s="1" t="n"/>
      <c r="H110" s="1" t="n"/>
      <c r="I110" s="1" t="n"/>
      <c r="J110" s="1" t="n"/>
      <c r="K110" s="1" t="n"/>
      <c r="L110" s="1" t="n"/>
      <c r="M110" s="1" t="n"/>
    </row>
    <row r="111" ht="15" customHeight="1">
      <c r="A111" s="1" t="n"/>
      <c r="B111" s="1" t="n"/>
      <c r="C111" s="1" t="n"/>
      <c r="D111" s="1" t="n"/>
      <c r="E111" s="1" t="n"/>
      <c r="F111" s="1" t="n"/>
      <c r="G111" s="1" t="n"/>
      <c r="H111" s="1" t="n"/>
      <c r="I111" s="1" t="n"/>
      <c r="J111" s="1" t="n"/>
      <c r="K111" s="1" t="n"/>
      <c r="L111" s="1" t="n"/>
      <c r="M111" s="1" t="n"/>
    </row>
    <row r="112" ht="15" customHeight="1">
      <c r="A112" s="1" t="n"/>
      <c r="B112" s="1" t="n"/>
      <c r="C112" s="1" t="n"/>
      <c r="D112" s="1" t="n"/>
      <c r="E112" s="1" t="n"/>
      <c r="F112" s="1" t="n"/>
      <c r="G112" s="1" t="n"/>
      <c r="H112" s="1" t="n"/>
      <c r="I112" s="1" t="n"/>
      <c r="J112" s="1" t="n"/>
      <c r="K112" s="1" t="n"/>
      <c r="L112" s="1" t="n"/>
      <c r="M112" s="1" t="n"/>
    </row>
    <row r="113" ht="15" customHeight="1">
      <c r="A113" s="1" t="n"/>
      <c r="B113" s="1" t="n"/>
      <c r="C113" s="1" t="n"/>
      <c r="D113" s="1" t="n"/>
      <c r="E113" s="1" t="n"/>
      <c r="F113" s="1" t="n"/>
      <c r="G113" s="1" t="n"/>
      <c r="H113" s="1" t="n"/>
      <c r="I113" s="1" t="n"/>
      <c r="J113" s="1" t="n"/>
      <c r="K113" s="1" t="n"/>
      <c r="L113" s="1" t="n"/>
      <c r="M113" s="1" t="n"/>
    </row>
    <row r="114" ht="15" customHeight="1">
      <c r="A114" s="1" t="n"/>
      <c r="B114" s="1" t="n"/>
      <c r="C114" s="1" t="n"/>
      <c r="D114" s="1" t="n"/>
      <c r="E114" s="1" t="n"/>
      <c r="F114" s="1" t="n"/>
      <c r="G114" s="1" t="n"/>
      <c r="H114" s="1" t="n"/>
      <c r="I114" s="1" t="n"/>
      <c r="J114" s="1" t="n"/>
      <c r="K114" s="1" t="n"/>
      <c r="L114" s="1" t="n"/>
      <c r="M114" s="1" t="n"/>
    </row>
    <row r="115" ht="15" customHeight="1">
      <c r="A115" s="1" t="n"/>
      <c r="B115" s="1" t="n"/>
      <c r="C115" s="1" t="n"/>
      <c r="D115" s="1" t="n"/>
      <c r="E115" s="1" t="n"/>
      <c r="F115" s="1" t="n"/>
      <c r="G115" s="1" t="n"/>
      <c r="H115" s="1" t="n"/>
      <c r="I115" s="1" t="n"/>
      <c r="J115" s="1" t="n"/>
      <c r="K115" s="1" t="n"/>
      <c r="L115" s="1" t="n"/>
      <c r="M115" s="1" t="n"/>
    </row>
    <row r="116" ht="15" customHeight="1">
      <c r="A116" s="1" t="n"/>
      <c r="B116" s="1" t="n"/>
      <c r="C116" s="1" t="n"/>
      <c r="D116" s="1" t="n"/>
      <c r="E116" s="1" t="n"/>
      <c r="F116" s="1" t="n"/>
      <c r="G116" s="1" t="n"/>
      <c r="H116" s="1" t="n"/>
      <c r="I116" s="1" t="n"/>
      <c r="J116" s="1" t="n"/>
      <c r="K116" s="1" t="n"/>
      <c r="L116" s="1" t="n"/>
      <c r="M116" s="1" t="n"/>
    </row>
    <row r="117" ht="15" customHeight="1">
      <c r="A117" s="1" t="n"/>
      <c r="B117" s="1" t="n"/>
      <c r="C117" s="1" t="n"/>
      <c r="D117" s="1" t="n"/>
      <c r="E117" s="1" t="n"/>
      <c r="F117" s="1" t="n"/>
      <c r="G117" s="1" t="n"/>
      <c r="H117" s="1" t="n"/>
      <c r="I117" s="1" t="n"/>
      <c r="J117" s="1" t="n"/>
      <c r="K117" s="1" t="n"/>
      <c r="L117" s="1" t="n"/>
      <c r="M117" s="1" t="n"/>
    </row>
    <row r="118" ht="15" customHeight="1">
      <c r="A118" s="1" t="n"/>
      <c r="B118" s="1" t="n"/>
      <c r="C118" s="1" t="n"/>
      <c r="D118" s="1" t="n"/>
      <c r="E118" s="1" t="n"/>
      <c r="F118" s="1" t="n"/>
      <c r="G118" s="1" t="n"/>
      <c r="H118" s="1" t="n"/>
      <c r="I118" s="1" t="n"/>
      <c r="J118" s="1" t="n"/>
      <c r="K118" s="1" t="n"/>
      <c r="L118" s="1" t="n"/>
      <c r="M118" s="1" t="n"/>
    </row>
    <row r="119" ht="15" customHeight="1">
      <c r="A119" s="1" t="n"/>
      <c r="B119" s="1" t="n"/>
      <c r="C119" s="1" t="n"/>
      <c r="D119" s="1" t="n"/>
      <c r="E119" s="1" t="n"/>
      <c r="F119" s="1" t="n"/>
      <c r="G119" s="1" t="n"/>
      <c r="H119" s="1" t="n"/>
      <c r="I119" s="1" t="n"/>
      <c r="J119" s="1" t="n"/>
      <c r="K119" s="1" t="n"/>
      <c r="L119" s="1" t="n"/>
      <c r="M119" s="1" t="n"/>
    </row>
    <row r="120" ht="15" customHeight="1">
      <c r="A120" s="1" t="n"/>
      <c r="B120" s="1" t="n"/>
      <c r="C120" s="1" t="n"/>
      <c r="D120" s="1" t="n"/>
      <c r="E120" s="1" t="n"/>
      <c r="F120" s="1" t="n"/>
      <c r="G120" s="1" t="n"/>
      <c r="H120" s="1" t="n"/>
      <c r="I120" s="1" t="n"/>
      <c r="J120" s="1" t="n"/>
      <c r="K120" s="1" t="n"/>
      <c r="L120" s="1" t="n"/>
      <c r="M120" s="1" t="n"/>
    </row>
    <row r="121" ht="15" customHeight="1">
      <c r="A121" s="1" t="n"/>
      <c r="B121" s="1" t="n"/>
      <c r="C121" s="1" t="n"/>
      <c r="D121" s="1" t="n"/>
      <c r="E121" s="1" t="n"/>
      <c r="F121" s="1" t="n"/>
      <c r="G121" s="1" t="n"/>
      <c r="H121" s="1" t="n"/>
      <c r="I121" s="1" t="n"/>
      <c r="J121" s="1" t="n"/>
      <c r="K121" s="1" t="n"/>
      <c r="L121" s="1" t="n"/>
      <c r="M121" s="1" t="n"/>
    </row>
    <row r="122" ht="15" customHeight="1">
      <c r="A122" s="1" t="n"/>
      <c r="B122" s="1" t="n"/>
      <c r="C122" s="1" t="n"/>
      <c r="D122" s="1" t="n"/>
      <c r="E122" s="1" t="n"/>
      <c r="F122" s="1" t="n"/>
      <c r="G122" s="1" t="n"/>
      <c r="H122" s="1" t="n"/>
      <c r="I122" s="1" t="n"/>
      <c r="J122" s="1" t="n"/>
      <c r="K122" s="1" t="n"/>
      <c r="L122" s="1" t="n"/>
      <c r="M122" s="1" t="n"/>
    </row>
    <row r="123" ht="15" customHeight="1">
      <c r="A123" s="1" t="n"/>
      <c r="B123" s="1" t="n"/>
      <c r="C123" s="1" t="n"/>
      <c r="D123" s="1" t="n"/>
      <c r="E123" s="1" t="n"/>
      <c r="F123" s="1" t="n"/>
      <c r="G123" s="1" t="n"/>
      <c r="H123" s="1" t="n"/>
      <c r="I123" s="1" t="n"/>
      <c r="J123" s="1" t="n"/>
      <c r="K123" s="1" t="n"/>
      <c r="L123" s="1" t="n"/>
      <c r="M123" s="1" t="n"/>
    </row>
    <row r="124" ht="15" customHeight="1">
      <c r="A124" s="1" t="n"/>
      <c r="B124" s="1" t="n"/>
      <c r="C124" s="1" t="n"/>
      <c r="D124" s="1" t="n"/>
      <c r="E124" s="1" t="n"/>
      <c r="F124" s="1" t="n"/>
      <c r="G124" s="1" t="n"/>
      <c r="H124" s="1" t="n"/>
      <c r="I124" s="1" t="n"/>
      <c r="J124" s="1" t="n"/>
      <c r="K124" s="1" t="n"/>
      <c r="L124" s="1" t="n"/>
      <c r="M124" s="1" t="n"/>
    </row>
    <row r="125" ht="15" customHeight="1">
      <c r="A125" s="1" t="n"/>
      <c r="B125" s="1" t="n"/>
      <c r="C125" s="1" t="n"/>
      <c r="D125" s="1" t="n"/>
      <c r="E125" s="1" t="n"/>
      <c r="F125" s="1" t="n"/>
      <c r="G125" s="1" t="n"/>
      <c r="H125" s="1" t="n"/>
      <c r="I125" s="1" t="n"/>
      <c r="J125" s="1" t="n"/>
      <c r="K125" s="1" t="n"/>
      <c r="L125" s="1" t="n"/>
      <c r="M125" s="1" t="n"/>
    </row>
    <row r="126" ht="15" customHeight="1">
      <c r="A126" s="1" t="n"/>
      <c r="B126" s="1" t="n"/>
      <c r="C126" s="1" t="n"/>
      <c r="D126" s="1" t="n"/>
      <c r="E126" s="1" t="n"/>
      <c r="F126" s="1" t="n"/>
      <c r="G126" s="1" t="n"/>
      <c r="H126" s="1" t="n"/>
      <c r="I126" s="1" t="n"/>
      <c r="J126" s="1" t="n"/>
      <c r="K126" s="1" t="n"/>
      <c r="L126" s="1" t="n"/>
      <c r="M126" s="1" t="n"/>
    </row>
    <row r="127" ht="15" customHeight="1">
      <c r="A127" s="1" t="n"/>
      <c r="B127" s="1" t="n"/>
      <c r="C127" s="1" t="n"/>
      <c r="D127" s="1" t="n"/>
      <c r="E127" s="1" t="n"/>
      <c r="F127" s="1" t="n"/>
      <c r="G127" s="1" t="n"/>
      <c r="H127" s="1" t="n"/>
      <c r="I127" s="1" t="n"/>
      <c r="J127" s="1" t="n"/>
      <c r="K127" s="1" t="n"/>
      <c r="L127" s="1" t="n"/>
      <c r="M127" s="1" t="n"/>
    </row>
    <row r="128" ht="15" customHeight="1">
      <c r="A128" s="1" t="n"/>
      <c r="B128" s="1" t="n"/>
      <c r="C128" s="1" t="n"/>
      <c r="D128" s="1" t="n"/>
      <c r="E128" s="1" t="n"/>
      <c r="F128" s="1" t="n"/>
      <c r="G128" s="1" t="n"/>
      <c r="H128" s="1" t="n"/>
      <c r="I128" s="1" t="n"/>
      <c r="J128" s="1" t="n"/>
      <c r="K128" s="1" t="n"/>
      <c r="L128" s="1" t="n"/>
      <c r="M128" s="1" t="n"/>
    </row>
    <row r="129" ht="15" customHeight="1">
      <c r="A129" s="1" t="n"/>
      <c r="B129" s="1" t="n"/>
      <c r="C129" s="1" t="n"/>
      <c r="D129" s="1" t="n"/>
      <c r="E129" s="1" t="n"/>
      <c r="F129" s="1" t="n"/>
      <c r="G129" s="1" t="n"/>
      <c r="H129" s="1" t="n"/>
      <c r="I129" s="1" t="n"/>
      <c r="J129" s="1" t="n"/>
      <c r="K129" s="1" t="n"/>
      <c r="L129" s="1" t="n"/>
      <c r="M129" s="1" t="n"/>
    </row>
    <row r="130" ht="15" customHeight="1">
      <c r="A130" s="1" t="n"/>
      <c r="B130" s="1" t="n"/>
      <c r="C130" s="1" t="n"/>
      <c r="D130" s="1" t="n"/>
      <c r="E130" s="1" t="n"/>
      <c r="F130" s="1" t="n"/>
      <c r="G130" s="1" t="n"/>
      <c r="H130" s="1" t="n"/>
      <c r="I130" s="1" t="n"/>
      <c r="J130" s="1" t="n"/>
      <c r="K130" s="1" t="n"/>
      <c r="L130" s="1" t="n"/>
      <c r="M130" s="1" t="n"/>
    </row>
    <row r="131" ht="15" customHeight="1">
      <c r="A131" s="1" t="n"/>
      <c r="B131" s="1" t="n"/>
      <c r="C131" s="1" t="n"/>
      <c r="D131" s="1" t="n"/>
      <c r="E131" s="1" t="n"/>
      <c r="F131" s="1" t="n"/>
      <c r="G131" s="1" t="n"/>
      <c r="H131" s="1" t="n"/>
      <c r="I131" s="1" t="n"/>
      <c r="J131" s="1" t="n"/>
      <c r="K131" s="1" t="n"/>
      <c r="L131" s="1" t="n"/>
      <c r="M131" s="1" t="n"/>
    </row>
    <row r="132" ht="15" customHeight="1">
      <c r="A132" s="1" t="n"/>
      <c r="B132" s="1" t="n"/>
      <c r="C132" s="1" t="n"/>
      <c r="D132" s="1" t="n"/>
      <c r="E132" s="1" t="n"/>
      <c r="F132" s="1" t="n"/>
      <c r="G132" s="1" t="n"/>
      <c r="H132" s="1" t="n"/>
      <c r="I132" s="1" t="n"/>
      <c r="J132" s="1" t="n"/>
      <c r="K132" s="1" t="n"/>
      <c r="L132" s="1" t="n"/>
      <c r="M132" s="1" t="n"/>
    </row>
    <row r="133" ht="15" customHeight="1">
      <c r="A133" s="1" t="n"/>
      <c r="B133" s="1" t="n"/>
      <c r="C133" s="1" t="n"/>
      <c r="D133" s="1" t="n"/>
      <c r="E133" s="1" t="n"/>
      <c r="F133" s="1" t="n"/>
      <c r="G133" s="1" t="n"/>
      <c r="H133" s="1" t="n"/>
      <c r="I133" s="1" t="n"/>
      <c r="J133" s="1" t="n"/>
      <c r="K133" s="1" t="n"/>
      <c r="L133" s="1" t="n"/>
      <c r="M133" s="1" t="n"/>
    </row>
    <row r="134" ht="15" customHeight="1">
      <c r="A134" s="1" t="n"/>
      <c r="B134" s="1" t="n"/>
      <c r="C134" s="1" t="n"/>
      <c r="D134" s="1" t="n"/>
      <c r="E134" s="1" t="n"/>
      <c r="F134" s="1" t="n"/>
      <c r="G134" s="1" t="n"/>
      <c r="H134" s="1" t="n"/>
      <c r="I134" s="1" t="n"/>
      <c r="J134" s="1" t="n"/>
      <c r="K134" s="1" t="n"/>
      <c r="L134" s="1" t="n"/>
      <c r="M134" s="1" t="n"/>
    </row>
    <row r="135" ht="15" customHeight="1">
      <c r="A135" s="1" t="n"/>
      <c r="B135" s="1" t="n"/>
      <c r="C135" s="1" t="n"/>
      <c r="D135" s="1" t="n"/>
      <c r="E135" s="1" t="n"/>
      <c r="F135" s="1" t="n"/>
      <c r="G135" s="1" t="n"/>
      <c r="H135" s="1" t="n"/>
      <c r="I135" s="1" t="n"/>
      <c r="J135" s="1" t="n"/>
      <c r="K135" s="1" t="n"/>
      <c r="L135" s="1" t="n"/>
      <c r="M135" s="1" t="n"/>
    </row>
    <row r="136" ht="15" customHeight="1">
      <c r="A136" s="1" t="n"/>
      <c r="B136" s="1" t="n"/>
      <c r="C136" s="1" t="n"/>
      <c r="D136" s="1" t="n"/>
      <c r="E136" s="1" t="n"/>
      <c r="F136" s="1" t="n"/>
      <c r="G136" s="1" t="n"/>
      <c r="H136" s="1" t="n"/>
      <c r="I136" s="1" t="n"/>
      <c r="J136" s="1" t="n"/>
      <c r="K136" s="1" t="n"/>
      <c r="L136" s="1" t="n"/>
      <c r="M136" s="1" t="n"/>
    </row>
    <row r="137" ht="15" customHeight="1">
      <c r="A137" s="1" t="n"/>
      <c r="B137" s="1" t="n"/>
      <c r="C137" s="1" t="n"/>
      <c r="D137" s="1" t="n"/>
      <c r="E137" s="1" t="n"/>
      <c r="F137" s="1" t="n"/>
      <c r="G137" s="1" t="n"/>
      <c r="H137" s="1" t="n"/>
      <c r="I137" s="1" t="n"/>
      <c r="J137" s="1" t="n"/>
      <c r="K137" s="1" t="n"/>
      <c r="L137" s="1" t="n"/>
      <c r="M137" s="1" t="n"/>
    </row>
    <row r="138" ht="15" customHeight="1">
      <c r="A138" s="1" t="n"/>
      <c r="B138" s="1" t="n"/>
      <c r="C138" s="1" t="n"/>
      <c r="D138" s="1" t="n"/>
      <c r="E138" s="1" t="n"/>
      <c r="F138" s="1" t="n"/>
      <c r="G138" s="1" t="n"/>
      <c r="H138" s="1" t="n"/>
      <c r="I138" s="1" t="n"/>
      <c r="J138" s="1" t="n"/>
      <c r="K138" s="1" t="n"/>
      <c r="L138" s="1" t="n"/>
      <c r="M138" s="1" t="n"/>
    </row>
    <row r="139" ht="15" customHeight="1">
      <c r="A139" s="1" t="n"/>
      <c r="B139" s="1" t="n"/>
      <c r="C139" s="1" t="n"/>
      <c r="D139" s="1" t="n"/>
      <c r="E139" s="1" t="n"/>
      <c r="F139" s="1" t="n"/>
      <c r="G139" s="1" t="n"/>
      <c r="H139" s="1" t="n"/>
      <c r="I139" s="1" t="n"/>
      <c r="J139" s="1" t="n"/>
      <c r="K139" s="1" t="n"/>
      <c r="L139" s="1" t="n"/>
      <c r="M139" s="1" t="n"/>
    </row>
    <row r="140" ht="15" customHeight="1">
      <c r="A140" s="1" t="n"/>
      <c r="B140" s="1" t="n"/>
      <c r="C140" s="1" t="n"/>
      <c r="D140" s="1" t="n"/>
      <c r="E140" s="1" t="n"/>
      <c r="F140" s="1" t="n"/>
      <c r="G140" s="1" t="n"/>
      <c r="H140" s="1" t="n"/>
      <c r="I140" s="1" t="n"/>
      <c r="J140" s="1" t="n"/>
      <c r="K140" s="1" t="n"/>
      <c r="L140" s="1" t="n"/>
      <c r="M140" s="1" t="n"/>
    </row>
    <row r="141" ht="15" customHeight="1">
      <c r="A141" s="1" t="n"/>
      <c r="B141" s="1" t="n"/>
      <c r="C141" s="1" t="n"/>
      <c r="D141" s="1" t="n"/>
      <c r="E141" s="1" t="n"/>
      <c r="F141" s="1" t="n"/>
      <c r="G141" s="1" t="n"/>
      <c r="H141" s="1" t="n"/>
      <c r="I141" s="1" t="n"/>
      <c r="J141" s="1" t="n"/>
      <c r="K141" s="1" t="n"/>
      <c r="L141" s="1" t="n"/>
      <c r="M141" s="1" t="n"/>
    </row>
    <row r="142" ht="15" customHeight="1">
      <c r="A142" s="1" t="n"/>
      <c r="B142" s="1" t="n"/>
      <c r="C142" s="1" t="n"/>
      <c r="D142" s="1" t="n"/>
      <c r="E142" s="1" t="n"/>
      <c r="F142" s="1" t="n"/>
      <c r="G142" s="1" t="n"/>
      <c r="H142" s="1" t="n"/>
      <c r="I142" s="1" t="n"/>
      <c r="J142" s="1" t="n"/>
      <c r="K142" s="1" t="n"/>
      <c r="L142" s="1" t="n"/>
      <c r="M142" s="1" t="n"/>
    </row>
    <row r="143" ht="15" customHeight="1">
      <c r="A143" s="1" t="n"/>
      <c r="B143" s="1" t="n"/>
      <c r="C143" s="1" t="n"/>
      <c r="D143" s="1" t="n"/>
      <c r="E143" s="1" t="n"/>
      <c r="F143" s="1" t="n"/>
      <c r="G143" s="1" t="n"/>
      <c r="H143" s="1" t="n"/>
      <c r="I143" s="1" t="n"/>
      <c r="J143" s="1" t="n"/>
      <c r="K143" s="1" t="n"/>
      <c r="L143" s="1" t="n"/>
      <c r="M143" s="1" t="n"/>
    </row>
    <row r="144" ht="15" customHeight="1">
      <c r="A144" s="1" t="n"/>
      <c r="B144" s="1" t="n"/>
      <c r="C144" s="1" t="n"/>
      <c r="D144" s="1" t="n"/>
      <c r="E144" s="1" t="n"/>
      <c r="F144" s="1" t="n"/>
      <c r="G144" s="1" t="n"/>
      <c r="H144" s="1" t="n"/>
      <c r="I144" s="1" t="n"/>
      <c r="J144" s="1" t="n"/>
      <c r="K144" s="1" t="n"/>
      <c r="L144" s="1" t="n"/>
      <c r="M144" s="1" t="n"/>
    </row>
    <row r="145" ht="15" customHeight="1">
      <c r="A145" s="1" t="n"/>
      <c r="B145" s="1" t="n"/>
      <c r="C145" s="1" t="n"/>
      <c r="D145" s="1" t="n"/>
      <c r="E145" s="1" t="n"/>
      <c r="F145" s="1" t="n"/>
      <c r="G145" s="1" t="n"/>
      <c r="H145" s="1" t="n"/>
      <c r="I145" s="1" t="n"/>
      <c r="J145" s="1" t="n"/>
      <c r="K145" s="1" t="n"/>
      <c r="L145" s="1" t="n"/>
      <c r="M145" s="1" t="n"/>
    </row>
    <row r="146" ht="15" customHeight="1">
      <c r="A146" s="1" t="n"/>
      <c r="B146" s="1" t="n"/>
      <c r="C146" s="1" t="n"/>
      <c r="D146" s="1" t="n"/>
      <c r="E146" s="1" t="n"/>
      <c r="F146" s="1" t="n"/>
      <c r="G146" s="1" t="n"/>
      <c r="H146" s="1" t="n"/>
      <c r="I146" s="1" t="n"/>
      <c r="J146" s="1" t="n"/>
      <c r="K146" s="1" t="n"/>
      <c r="L146" s="1" t="n"/>
      <c r="M146" s="1" t="n"/>
    </row>
    <row r="147" ht="15" customHeight="1">
      <c r="A147" s="1" t="n"/>
      <c r="B147" s="1" t="n"/>
      <c r="C147" s="1" t="n"/>
      <c r="D147" s="1" t="n"/>
      <c r="E147" s="1" t="n"/>
      <c r="F147" s="1" t="n"/>
      <c r="G147" s="1" t="n"/>
      <c r="H147" s="1" t="n"/>
      <c r="I147" s="1" t="n"/>
      <c r="J147" s="1" t="n"/>
      <c r="K147" s="1" t="n"/>
      <c r="L147" s="1" t="n"/>
      <c r="M147" s="1" t="n"/>
    </row>
    <row r="148" ht="15" customHeight="1">
      <c r="A148" s="1" t="n"/>
      <c r="B148" s="1" t="n"/>
      <c r="C148" s="1" t="n"/>
      <c r="D148" s="1" t="n"/>
      <c r="E148" s="1" t="n"/>
      <c r="F148" s="1" t="n"/>
      <c r="G148" s="1" t="n"/>
      <c r="H148" s="1" t="n"/>
      <c r="I148" s="1" t="n"/>
      <c r="J148" s="1" t="n"/>
      <c r="K148" s="1" t="n"/>
      <c r="L148" s="1" t="n"/>
      <c r="M148" s="1" t="n"/>
    </row>
    <row r="149" ht="15" customHeight="1">
      <c r="A149" s="1" t="n"/>
      <c r="B149" s="1" t="n"/>
      <c r="C149" s="1" t="n"/>
      <c r="D149" s="1" t="n"/>
      <c r="E149" s="1" t="n"/>
      <c r="F149" s="1" t="n"/>
      <c r="G149" s="1" t="n"/>
      <c r="H149" s="1" t="n"/>
      <c r="I149" s="1" t="n"/>
      <c r="J149" s="1" t="n"/>
      <c r="K149" s="1" t="n"/>
      <c r="L149" s="1" t="n"/>
      <c r="M149" s="1" t="n"/>
    </row>
    <row r="150" ht="15" customHeight="1">
      <c r="A150" s="1" t="n"/>
      <c r="B150" s="1" t="n"/>
      <c r="C150" s="1" t="n"/>
      <c r="D150" s="1" t="n"/>
      <c r="E150" s="1" t="n"/>
      <c r="F150" s="1" t="n"/>
      <c r="G150" s="1" t="n"/>
      <c r="H150" s="1" t="n"/>
      <c r="I150" s="1" t="n"/>
      <c r="J150" s="1" t="n"/>
      <c r="K150" s="1" t="n"/>
      <c r="L150" s="1" t="n"/>
      <c r="M150" s="1" t="n"/>
    </row>
    <row r="151" ht="15" customHeight="1">
      <c r="A151" s="1" t="n"/>
      <c r="B151" s="1" t="n"/>
      <c r="C151" s="1" t="n"/>
      <c r="D151" s="1" t="n"/>
      <c r="E151" s="1" t="n"/>
      <c r="F151" s="1" t="n"/>
      <c r="G151" s="1" t="n"/>
      <c r="H151" s="1" t="n"/>
      <c r="I151" s="1" t="n"/>
      <c r="J151" s="1" t="n"/>
      <c r="K151" s="1" t="n"/>
      <c r="L151" s="1" t="n"/>
      <c r="M151" s="1" t="n"/>
    </row>
    <row r="152" ht="15" customHeight="1">
      <c r="A152" s="1" t="n"/>
      <c r="B152" s="1" t="n"/>
      <c r="C152" s="1" t="n"/>
      <c r="D152" s="1" t="n"/>
      <c r="E152" s="1" t="n"/>
      <c r="F152" s="1" t="n"/>
      <c r="G152" s="1" t="n"/>
      <c r="H152" s="1" t="n"/>
      <c r="I152" s="1" t="n"/>
      <c r="J152" s="1" t="n"/>
      <c r="K152" s="1" t="n"/>
      <c r="L152" s="1" t="n"/>
      <c r="M152" s="1" t="n"/>
    </row>
    <row r="153" ht="15" customHeight="1">
      <c r="A153" s="1" t="n"/>
      <c r="B153" s="1" t="n"/>
      <c r="C153" s="1" t="n"/>
      <c r="D153" s="1" t="n"/>
      <c r="E153" s="1" t="n"/>
      <c r="F153" s="1" t="n"/>
      <c r="G153" s="1" t="n"/>
      <c r="H153" s="1" t="n"/>
      <c r="I153" s="1" t="n"/>
      <c r="J153" s="1" t="n"/>
      <c r="K153" s="1" t="n"/>
      <c r="L153" s="1" t="n"/>
      <c r="M153" s="1" t="n"/>
    </row>
    <row r="154" ht="15" customHeight="1">
      <c r="A154" s="1" t="n"/>
      <c r="B154" s="1" t="n"/>
      <c r="C154" s="1" t="n"/>
      <c r="D154" s="1" t="n"/>
      <c r="E154" s="1" t="n"/>
      <c r="F154" s="1" t="n"/>
      <c r="G154" s="1" t="n"/>
      <c r="H154" s="1" t="n"/>
      <c r="I154" s="1" t="n"/>
      <c r="J154" s="1" t="n"/>
      <c r="K154" s="1" t="n"/>
      <c r="L154" s="1" t="n"/>
      <c r="M154" s="1" t="n"/>
    </row>
    <row r="155" ht="15" customHeight="1">
      <c r="A155" s="1" t="n"/>
      <c r="B155" s="1" t="n"/>
      <c r="C155" s="1" t="n"/>
      <c r="D155" s="1" t="n"/>
      <c r="E155" s="1" t="n"/>
      <c r="F155" s="1" t="n"/>
      <c r="G155" s="1" t="n"/>
      <c r="H155" s="1" t="n"/>
      <c r="I155" s="1" t="n"/>
      <c r="J155" s="1" t="n"/>
      <c r="K155" s="1" t="n"/>
      <c r="L155" s="1" t="n"/>
      <c r="M155" s="1" t="n"/>
    </row>
    <row r="156" ht="15" customHeight="1">
      <c r="A156" s="1" t="n"/>
      <c r="B156" s="1" t="n"/>
      <c r="C156" s="1" t="n"/>
      <c r="D156" s="1" t="n"/>
      <c r="E156" s="1" t="n"/>
      <c r="F156" s="1" t="n"/>
      <c r="G156" s="1" t="n"/>
      <c r="H156" s="1" t="n"/>
      <c r="I156" s="1" t="n"/>
      <c r="J156" s="1" t="n"/>
      <c r="K156" s="1" t="n"/>
      <c r="L156" s="1" t="n"/>
      <c r="M156" s="1" t="n"/>
    </row>
    <row r="157" ht="15" customHeight="1">
      <c r="A157" s="1" t="n"/>
      <c r="B157" s="1" t="n"/>
      <c r="C157" s="1" t="n"/>
      <c r="D157" s="1" t="n"/>
      <c r="E157" s="1" t="n"/>
      <c r="F157" s="1" t="n"/>
      <c r="G157" s="1" t="n"/>
      <c r="H157" s="1" t="n"/>
      <c r="I157" s="1" t="n"/>
      <c r="J157" s="1" t="n"/>
      <c r="K157" s="1" t="n"/>
      <c r="L157" s="1" t="n"/>
      <c r="M157" s="1" t="n"/>
    </row>
    <row r="158" ht="15" customHeight="1">
      <c r="A158" s="1" t="n"/>
      <c r="B158" s="1" t="n"/>
      <c r="C158" s="1" t="n"/>
      <c r="D158" s="1" t="n"/>
      <c r="E158" s="1" t="n"/>
      <c r="F158" s="1" t="n"/>
      <c r="G158" s="1" t="n"/>
      <c r="H158" s="1" t="n"/>
      <c r="I158" s="1" t="n"/>
      <c r="J158" s="1" t="n"/>
      <c r="K158" s="1" t="n"/>
      <c r="L158" s="1" t="n"/>
      <c r="M158" s="1" t="n"/>
    </row>
    <row r="159" ht="15" customHeight="1">
      <c r="A159" s="1" t="n"/>
      <c r="B159" s="1" t="n"/>
      <c r="C159" s="1" t="n"/>
      <c r="D159" s="1" t="n"/>
      <c r="E159" s="1" t="n"/>
      <c r="F159" s="1" t="n"/>
      <c r="G159" s="1" t="n"/>
      <c r="H159" s="1" t="n"/>
      <c r="I159" s="1" t="n"/>
      <c r="J159" s="1" t="n"/>
      <c r="K159" s="1" t="n"/>
      <c r="L159" s="1" t="n"/>
      <c r="M159" s="1" t="n"/>
    </row>
    <row r="160" ht="15" customHeight="1">
      <c r="A160" s="1" t="n"/>
      <c r="B160" s="1" t="n"/>
      <c r="C160" s="1" t="n"/>
      <c r="D160" s="1" t="n"/>
      <c r="E160" s="1" t="n"/>
      <c r="F160" s="1" t="n"/>
      <c r="G160" s="1" t="n"/>
      <c r="H160" s="1" t="n"/>
      <c r="I160" s="1" t="n"/>
      <c r="J160" s="1" t="n"/>
      <c r="K160" s="1" t="n"/>
      <c r="L160" s="1" t="n"/>
      <c r="M160" s="1" t="n"/>
    </row>
    <row r="161" ht="15" customHeight="1">
      <c r="A161" s="1" t="n"/>
      <c r="B161" s="1" t="n"/>
      <c r="C161" s="1" t="n"/>
      <c r="D161" s="1" t="n"/>
      <c r="E161" s="1" t="n"/>
      <c r="F161" s="1" t="n"/>
      <c r="G161" s="1" t="n"/>
      <c r="H161" s="1" t="n"/>
      <c r="I161" s="1" t="n"/>
      <c r="J161" s="1" t="n"/>
      <c r="K161" s="1" t="n"/>
      <c r="L161" s="1" t="n"/>
      <c r="M161" s="1" t="n"/>
    </row>
    <row r="162" ht="15" customHeight="1">
      <c r="A162" s="1" t="n"/>
      <c r="B162" s="1" t="n"/>
      <c r="C162" s="1" t="n"/>
      <c r="D162" s="1" t="n"/>
      <c r="E162" s="1" t="n"/>
      <c r="F162" s="1" t="n"/>
      <c r="G162" s="1" t="n"/>
      <c r="H162" s="1" t="n"/>
      <c r="I162" s="1" t="n"/>
      <c r="J162" s="1" t="n"/>
      <c r="K162" s="1" t="n"/>
      <c r="L162" s="1" t="n"/>
      <c r="M162" s="1" t="n"/>
    </row>
    <row r="163" ht="15" customHeight="1">
      <c r="A163" s="1" t="n"/>
      <c r="B163" s="1" t="n"/>
      <c r="C163" s="1" t="n"/>
      <c r="D163" s="1" t="n"/>
      <c r="E163" s="1" t="n"/>
      <c r="F163" s="1" t="n"/>
      <c r="G163" s="1" t="n"/>
      <c r="H163" s="1" t="n"/>
      <c r="I163" s="1" t="n"/>
      <c r="J163" s="1" t="n"/>
      <c r="K163" s="1" t="n"/>
      <c r="L163" s="1" t="n"/>
      <c r="M163" s="1" t="n"/>
    </row>
    <row r="164" ht="15" customHeight="1">
      <c r="A164" s="1" t="n"/>
      <c r="B164" s="1" t="n"/>
      <c r="C164" s="1" t="n"/>
      <c r="D164" s="1" t="n"/>
      <c r="E164" s="1" t="n"/>
      <c r="F164" s="1" t="n"/>
      <c r="G164" s="1" t="n"/>
      <c r="H164" s="1" t="n"/>
      <c r="I164" s="1" t="n"/>
      <c r="J164" s="1" t="n"/>
      <c r="K164" s="1" t="n"/>
      <c r="L164" s="1" t="n"/>
      <c r="M164" s="1" t="n"/>
    </row>
    <row r="165" ht="15" customHeight="1">
      <c r="A165" s="1" t="n"/>
      <c r="B165" s="1" t="n"/>
      <c r="C165" s="1" t="n"/>
      <c r="D165" s="1" t="n"/>
      <c r="E165" s="1" t="n"/>
      <c r="F165" s="1" t="n"/>
      <c r="G165" s="1" t="n"/>
      <c r="H165" s="1" t="n"/>
      <c r="I165" s="1" t="n"/>
      <c r="J165" s="1" t="n"/>
      <c r="K165" s="1" t="n"/>
      <c r="L165" s="1" t="n"/>
      <c r="M165" s="1" t="n"/>
    </row>
    <row r="166" ht="15" customHeight="1">
      <c r="A166" s="1" t="n"/>
      <c r="B166" s="1" t="n"/>
      <c r="C166" s="1" t="n"/>
      <c r="D166" s="1" t="n"/>
      <c r="E166" s="1" t="n"/>
      <c r="F166" s="1" t="n"/>
      <c r="G166" s="1" t="n"/>
      <c r="H166" s="1" t="n"/>
      <c r="I166" s="1" t="n"/>
      <c r="J166" s="1" t="n"/>
      <c r="K166" s="1" t="n"/>
      <c r="L166" s="1" t="n"/>
      <c r="M166" s="1" t="n"/>
    </row>
    <row r="167" ht="15" customHeight="1">
      <c r="A167" s="1" t="n"/>
      <c r="B167" s="1" t="n"/>
      <c r="C167" s="1" t="n"/>
      <c r="D167" s="1" t="n"/>
      <c r="E167" s="1" t="n"/>
      <c r="F167" s="1" t="n"/>
      <c r="G167" s="1" t="n"/>
      <c r="H167" s="1" t="n"/>
      <c r="I167" s="1" t="n"/>
      <c r="J167" s="1" t="n"/>
      <c r="K167" s="1" t="n"/>
      <c r="L167" s="1" t="n"/>
      <c r="M167" s="1" t="n"/>
    </row>
    <row r="168" ht="15" customHeight="1">
      <c r="A168" s="1" t="n"/>
      <c r="B168" s="1" t="n"/>
      <c r="C168" s="1" t="n"/>
      <c r="D168" s="1" t="n"/>
      <c r="E168" s="1" t="n"/>
      <c r="F168" s="1" t="n"/>
      <c r="G168" s="1" t="n"/>
      <c r="H168" s="1" t="n"/>
      <c r="I168" s="1" t="n"/>
      <c r="J168" s="1" t="n"/>
      <c r="K168" s="1" t="n"/>
      <c r="L168" s="1" t="n"/>
      <c r="M168" s="1" t="n"/>
    </row>
    <row r="169" ht="15" customHeight="1">
      <c r="A169" s="1" t="n"/>
      <c r="B169" s="1" t="n"/>
      <c r="C169" s="1" t="n"/>
      <c r="D169" s="1" t="n"/>
      <c r="E169" s="1" t="n"/>
      <c r="F169" s="1" t="n"/>
      <c r="G169" s="1" t="n"/>
      <c r="H169" s="1" t="n"/>
      <c r="I169" s="1" t="n"/>
      <c r="J169" s="1" t="n"/>
      <c r="K169" s="1" t="n"/>
      <c r="L169" s="1" t="n"/>
      <c r="M169" s="1" t="n"/>
    </row>
    <row r="170" ht="15" customHeight="1">
      <c r="A170" s="1" t="n"/>
      <c r="B170" s="1" t="n"/>
      <c r="C170" s="1" t="n"/>
      <c r="D170" s="1" t="n"/>
      <c r="E170" s="1" t="n"/>
      <c r="F170" s="1" t="n"/>
      <c r="G170" s="1" t="n"/>
      <c r="H170" s="1" t="n"/>
      <c r="I170" s="1" t="n"/>
      <c r="J170" s="1" t="n"/>
      <c r="K170" s="1" t="n"/>
      <c r="L170" s="1" t="n"/>
      <c r="M170" s="1" t="n"/>
    </row>
    <row r="171" ht="15" customHeight="1">
      <c r="A171" s="1" t="n"/>
      <c r="B171" s="1" t="n"/>
      <c r="C171" s="1" t="n"/>
      <c r="D171" s="1" t="n"/>
      <c r="E171" s="1" t="n"/>
      <c r="F171" s="1" t="n"/>
      <c r="G171" s="1" t="n"/>
      <c r="H171" s="1" t="n"/>
      <c r="I171" s="1" t="n"/>
      <c r="J171" s="1" t="n"/>
      <c r="K171" s="1" t="n"/>
      <c r="L171" s="1" t="n"/>
      <c r="M171" s="1" t="n"/>
    </row>
    <row r="172" ht="15" customHeight="1">
      <c r="A172" s="1" t="n"/>
      <c r="B172" s="1" t="n"/>
      <c r="C172" s="1" t="n"/>
      <c r="D172" s="1" t="n"/>
      <c r="E172" s="1" t="n"/>
      <c r="F172" s="1" t="n"/>
      <c r="G172" s="1" t="n"/>
      <c r="H172" s="1" t="n"/>
      <c r="I172" s="1" t="n"/>
      <c r="J172" s="1" t="n"/>
      <c r="K172" s="1" t="n"/>
      <c r="L172" s="1" t="n"/>
      <c r="M172" s="1" t="n"/>
    </row>
    <row r="173" ht="15" customHeight="1">
      <c r="A173" s="1" t="n"/>
      <c r="B173" s="1" t="n"/>
      <c r="C173" s="1" t="n"/>
      <c r="D173" s="1" t="n"/>
      <c r="E173" s="1" t="n"/>
      <c r="F173" s="1" t="n"/>
      <c r="G173" s="1" t="n"/>
      <c r="H173" s="1" t="n"/>
      <c r="I173" s="1" t="n"/>
      <c r="J173" s="1" t="n"/>
      <c r="K173" s="1" t="n"/>
      <c r="L173" s="1" t="n"/>
      <c r="M173" s="1" t="n"/>
    </row>
    <row r="174" ht="15" customHeight="1">
      <c r="A174" s="1" t="n"/>
      <c r="B174" s="1" t="n"/>
      <c r="C174" s="1" t="n"/>
      <c r="D174" s="1" t="n"/>
      <c r="E174" s="1" t="n"/>
      <c r="F174" s="1" t="n"/>
      <c r="G174" s="1" t="n"/>
      <c r="H174" s="1" t="n"/>
      <c r="I174" s="1" t="n"/>
      <c r="J174" s="1" t="n"/>
      <c r="K174" s="1" t="n"/>
      <c r="L174" s="1" t="n"/>
      <c r="M174" s="1" t="n"/>
    </row>
    <row r="175" ht="15" customHeight="1">
      <c r="A175" s="1" t="n"/>
      <c r="B175" s="1" t="n"/>
      <c r="C175" s="1" t="n"/>
      <c r="D175" s="1" t="n"/>
      <c r="E175" s="1" t="n"/>
      <c r="F175" s="1" t="n"/>
      <c r="G175" s="1" t="n"/>
      <c r="H175" s="1" t="n"/>
      <c r="I175" s="1" t="n"/>
      <c r="J175" s="1" t="n"/>
      <c r="K175" s="1" t="n"/>
      <c r="L175" s="1" t="n"/>
      <c r="M175" s="1" t="n"/>
    </row>
    <row r="176" ht="15" customHeight="1">
      <c r="A176" s="1" t="n"/>
      <c r="B176" s="1" t="n"/>
      <c r="C176" s="1" t="n"/>
      <c r="D176" s="1" t="n"/>
      <c r="E176" s="1" t="n"/>
      <c r="F176" s="1" t="n"/>
      <c r="G176" s="1" t="n"/>
      <c r="H176" s="1" t="n"/>
      <c r="I176" s="1" t="n"/>
      <c r="J176" s="1" t="n"/>
      <c r="K176" s="1" t="n"/>
      <c r="L176" s="1" t="n"/>
      <c r="M176" s="1" t="n"/>
    </row>
    <row r="177" ht="15" customHeight="1">
      <c r="A177" s="1" t="n"/>
      <c r="B177" s="1" t="n"/>
      <c r="C177" s="1" t="n"/>
      <c r="D177" s="1" t="n"/>
      <c r="E177" s="1" t="n"/>
      <c r="F177" s="1" t="n"/>
      <c r="G177" s="1" t="n"/>
      <c r="H177" s="1" t="n"/>
      <c r="I177" s="1" t="n"/>
      <c r="J177" s="1" t="n"/>
      <c r="K177" s="1" t="n"/>
      <c r="L177" s="1" t="n"/>
      <c r="M177" s="1" t="n"/>
    </row>
    <row r="178" ht="15" customHeight="1">
      <c r="A178" s="1" t="n"/>
      <c r="B178" s="1" t="n"/>
      <c r="C178" s="1" t="n"/>
      <c r="D178" s="1" t="n"/>
      <c r="E178" s="1" t="n"/>
      <c r="F178" s="1" t="n"/>
      <c r="G178" s="1" t="n"/>
      <c r="H178" s="1" t="n"/>
      <c r="I178" s="1" t="n"/>
      <c r="J178" s="1" t="n"/>
      <c r="K178" s="1" t="n"/>
      <c r="L178" s="1" t="n"/>
      <c r="M178" s="1" t="n"/>
    </row>
    <row r="179" ht="15" customHeight="1">
      <c r="A179" s="1" t="n"/>
      <c r="B179" s="1" t="n"/>
      <c r="C179" s="1" t="n"/>
      <c r="D179" s="1" t="n"/>
      <c r="E179" s="1" t="n"/>
      <c r="F179" s="1" t="n"/>
      <c r="G179" s="1" t="n"/>
      <c r="H179" s="1" t="n"/>
      <c r="I179" s="1" t="n"/>
      <c r="J179" s="1" t="n"/>
      <c r="K179" s="1" t="n"/>
      <c r="L179" s="1" t="n"/>
      <c r="M179" s="1" t="n"/>
    </row>
    <row r="180" ht="15" customHeight="1">
      <c r="A180" s="1" t="n"/>
      <c r="B180" s="1" t="n"/>
      <c r="C180" s="1" t="n"/>
      <c r="D180" s="1" t="n"/>
      <c r="E180" s="1" t="n"/>
      <c r="F180" s="1" t="n"/>
      <c r="G180" s="1" t="n"/>
      <c r="H180" s="1" t="n"/>
      <c r="I180" s="1" t="n"/>
      <c r="J180" s="1" t="n"/>
      <c r="K180" s="1" t="n"/>
      <c r="L180" s="1" t="n"/>
      <c r="M180" s="1" t="n"/>
    </row>
    <row r="181" ht="15" customHeight="1">
      <c r="A181" s="1" t="n"/>
      <c r="B181" s="1" t="n"/>
      <c r="C181" s="1" t="n"/>
      <c r="D181" s="1" t="n"/>
      <c r="E181" s="1" t="n"/>
      <c r="F181" s="1" t="n"/>
      <c r="G181" s="1" t="n"/>
      <c r="H181" s="1" t="n"/>
      <c r="I181" s="1" t="n"/>
      <c r="J181" s="1" t="n"/>
      <c r="K181" s="1" t="n"/>
      <c r="L181" s="1" t="n"/>
      <c r="M181" s="1" t="n"/>
    </row>
    <row r="182" ht="15" customHeight="1">
      <c r="A182" s="1" t="n"/>
      <c r="B182" s="1" t="n"/>
      <c r="C182" s="1" t="n"/>
      <c r="D182" s="1" t="n"/>
      <c r="E182" s="1" t="n"/>
      <c r="F182" s="1" t="n"/>
      <c r="G182" s="1" t="n"/>
      <c r="H182" s="1" t="n"/>
      <c r="I182" s="1" t="n"/>
      <c r="J182" s="1" t="n"/>
      <c r="K182" s="1" t="n"/>
      <c r="L182" s="1" t="n"/>
      <c r="M182" s="1" t="n"/>
    </row>
    <row r="183" ht="15" customHeight="1">
      <c r="A183" s="1" t="n"/>
      <c r="B183" s="1" t="n"/>
      <c r="C183" s="1" t="n"/>
      <c r="D183" s="1" t="n"/>
      <c r="E183" s="1" t="n"/>
      <c r="F183" s="1" t="n"/>
      <c r="G183" s="1" t="n"/>
      <c r="H183" s="1" t="n"/>
      <c r="I183" s="1" t="n"/>
      <c r="J183" s="1" t="n"/>
      <c r="K183" s="1" t="n"/>
      <c r="L183" s="1" t="n"/>
      <c r="M183" s="1" t="n"/>
    </row>
    <row r="184" ht="15" customHeight="1">
      <c r="A184" s="1" t="n"/>
      <c r="B184" s="1" t="n"/>
      <c r="C184" s="1" t="n"/>
      <c r="D184" s="1" t="n"/>
      <c r="E184" s="1" t="n"/>
      <c r="F184" s="1" t="n"/>
      <c r="G184" s="1" t="n"/>
      <c r="H184" s="1" t="n"/>
      <c r="I184" s="1" t="n"/>
      <c r="J184" s="1" t="n"/>
      <c r="K184" s="1" t="n"/>
      <c r="L184" s="1" t="n"/>
      <c r="M184" s="1" t="n"/>
    </row>
    <row r="185" ht="15" customHeight="1">
      <c r="A185" s="1" t="n"/>
      <c r="B185" s="1" t="n"/>
      <c r="C185" s="1" t="n"/>
      <c r="D185" s="1" t="n"/>
      <c r="E185" s="1" t="n"/>
      <c r="F185" s="1" t="n"/>
      <c r="G185" s="1" t="n"/>
      <c r="H185" s="1" t="n"/>
      <c r="I185" s="1" t="n"/>
      <c r="J185" s="1" t="n"/>
      <c r="K185" s="1" t="n"/>
      <c r="L185" s="1" t="n"/>
      <c r="M185" s="1" t="n"/>
    </row>
    <row r="186" ht="15" customHeight="1">
      <c r="A186" s="1" t="n"/>
      <c r="B186" s="1" t="n"/>
      <c r="C186" s="1" t="n"/>
      <c r="D186" s="1" t="n"/>
      <c r="E186" s="1" t="n"/>
      <c r="F186" s="1" t="n"/>
      <c r="G186" s="1" t="n"/>
      <c r="H186" s="1" t="n"/>
      <c r="I186" s="1" t="n"/>
      <c r="J186" s="1" t="n"/>
      <c r="K186" s="1" t="n"/>
      <c r="L186" s="1" t="n"/>
      <c r="M186" s="1" t="n"/>
    </row>
    <row r="187" ht="15" customHeight="1">
      <c r="A187" s="1" t="n"/>
      <c r="B187" s="1" t="n"/>
      <c r="C187" s="1" t="n"/>
      <c r="D187" s="1" t="n"/>
      <c r="E187" s="1" t="n"/>
      <c r="F187" s="1" t="n"/>
      <c r="G187" s="1" t="n"/>
      <c r="H187" s="1" t="n"/>
      <c r="I187" s="1" t="n"/>
      <c r="J187" s="1" t="n"/>
      <c r="K187" s="1" t="n"/>
      <c r="L187" s="1" t="n"/>
      <c r="M187" s="1" t="n"/>
    </row>
    <row r="188" ht="15" customHeight="1">
      <c r="A188" s="1" t="n"/>
      <c r="B188" s="1" t="n"/>
      <c r="C188" s="1" t="n"/>
      <c r="D188" s="1" t="n"/>
      <c r="E188" s="1" t="n"/>
      <c r="F188" s="1" t="n"/>
      <c r="G188" s="1" t="n"/>
      <c r="H188" s="1" t="n"/>
      <c r="I188" s="1" t="n"/>
      <c r="J188" s="1" t="n"/>
      <c r="K188" s="1" t="n"/>
      <c r="L188" s="1" t="n"/>
      <c r="M188" s="1" t="n"/>
    </row>
    <row r="189" ht="15" customHeight="1">
      <c r="A189" s="1" t="n"/>
      <c r="B189" s="1" t="n"/>
      <c r="C189" s="1" t="n"/>
      <c r="D189" s="1" t="n"/>
      <c r="E189" s="1" t="n"/>
      <c r="F189" s="1" t="n"/>
      <c r="G189" s="1" t="n"/>
      <c r="H189" s="1" t="n"/>
      <c r="I189" s="1" t="n"/>
      <c r="J189" s="1" t="n"/>
      <c r="K189" s="1" t="n"/>
      <c r="L189" s="1" t="n"/>
      <c r="M189" s="1" t="n"/>
    </row>
    <row r="190" ht="15" customHeight="1">
      <c r="A190" s="1" t="n"/>
      <c r="B190" s="1" t="n"/>
      <c r="C190" s="1" t="n"/>
      <c r="D190" s="1" t="n"/>
      <c r="E190" s="1" t="n"/>
      <c r="F190" s="1" t="n"/>
      <c r="G190" s="1" t="n"/>
      <c r="H190" s="1" t="n"/>
      <c r="I190" s="1" t="n"/>
      <c r="J190" s="1" t="n"/>
      <c r="K190" s="1" t="n"/>
      <c r="L190" s="1" t="n"/>
      <c r="M190" s="1" t="n"/>
    </row>
    <row r="191" ht="15" customHeight="1">
      <c r="A191" s="1" t="n"/>
      <c r="B191" s="1" t="n"/>
      <c r="C191" s="1" t="n"/>
      <c r="D191" s="1" t="n"/>
      <c r="E191" s="1" t="n"/>
      <c r="F191" s="1" t="n"/>
      <c r="G191" s="1" t="n"/>
      <c r="H191" s="1" t="n"/>
      <c r="I191" s="1" t="n"/>
      <c r="J191" s="1" t="n"/>
      <c r="K191" s="1" t="n"/>
      <c r="L191" s="1" t="n"/>
      <c r="M191" s="1" t="n"/>
    </row>
    <row r="192" ht="15" customHeight="1">
      <c r="A192" s="1" t="n"/>
      <c r="B192" s="1" t="n"/>
      <c r="C192" s="1" t="n"/>
      <c r="D192" s="1" t="n"/>
      <c r="E192" s="1" t="n"/>
      <c r="F192" s="1" t="n"/>
      <c r="G192" s="1" t="n"/>
      <c r="H192" s="1" t="n"/>
      <c r="I192" s="1" t="n"/>
      <c r="J192" s="1" t="n"/>
      <c r="K192" s="1" t="n"/>
      <c r="L192" s="1" t="n"/>
      <c r="M192" s="1" t="n"/>
    </row>
    <row r="193" ht="15" customHeight="1">
      <c r="A193" s="1" t="n"/>
      <c r="B193" s="1" t="n"/>
      <c r="C193" s="1" t="n"/>
      <c r="D193" s="1" t="n"/>
      <c r="E193" s="1" t="n"/>
      <c r="F193" s="1" t="n"/>
      <c r="G193" s="1" t="n"/>
      <c r="H193" s="1" t="n"/>
      <c r="I193" s="1" t="n"/>
      <c r="J193" s="1" t="n"/>
      <c r="K193" s="1" t="n"/>
      <c r="L193" s="1" t="n"/>
      <c r="M193" s="1" t="n"/>
    </row>
    <row r="194" ht="15" customHeight="1">
      <c r="A194" s="1" t="n"/>
      <c r="B194" s="1" t="n"/>
      <c r="C194" s="1" t="n"/>
      <c r="D194" s="1" t="n"/>
      <c r="E194" s="1" t="n"/>
      <c r="F194" s="1" t="n"/>
      <c r="G194" s="1" t="n"/>
      <c r="H194" s="1" t="n"/>
      <c r="I194" s="1" t="n"/>
      <c r="J194" s="1" t="n"/>
      <c r="K194" s="1" t="n"/>
      <c r="L194" s="1" t="n"/>
      <c r="M194" s="1" t="n"/>
    </row>
    <row r="195" ht="15" customHeight="1">
      <c r="A195" s="1" t="n"/>
      <c r="B195" s="1" t="n"/>
      <c r="C195" s="1" t="n"/>
      <c r="D195" s="1" t="n"/>
      <c r="E195" s="1" t="n"/>
      <c r="F195" s="1" t="n"/>
      <c r="G195" s="1" t="n"/>
      <c r="H195" s="1" t="n"/>
      <c r="I195" s="1" t="n"/>
      <c r="J195" s="1" t="n"/>
      <c r="K195" s="1" t="n"/>
      <c r="L195" s="1" t="n"/>
      <c r="M195" s="1" t="n"/>
    </row>
    <row r="196" ht="15" customHeight="1">
      <c r="A196" s="1" t="n"/>
      <c r="B196" s="1" t="n"/>
      <c r="C196" s="1" t="n"/>
      <c r="D196" s="1" t="n"/>
      <c r="E196" s="1" t="n"/>
      <c r="F196" s="1" t="n"/>
      <c r="G196" s="1" t="n"/>
      <c r="H196" s="1" t="n"/>
      <c r="I196" s="1" t="n"/>
      <c r="J196" s="1" t="n"/>
      <c r="K196" s="1" t="n"/>
      <c r="L196" s="1" t="n"/>
      <c r="M196" s="1" t="n"/>
    </row>
    <row r="197" ht="15" customHeight="1">
      <c r="A197" s="1" t="n"/>
      <c r="B197" s="1" t="n"/>
      <c r="C197" s="1" t="n"/>
      <c r="D197" s="1" t="n"/>
      <c r="E197" s="1" t="n"/>
      <c r="F197" s="1" t="n"/>
      <c r="G197" s="1" t="n"/>
      <c r="H197" s="1" t="n"/>
      <c r="I197" s="1" t="n"/>
      <c r="J197" s="1" t="n"/>
      <c r="K197" s="1" t="n"/>
      <c r="L197" s="1" t="n"/>
      <c r="M197" s="1" t="n"/>
    </row>
    <row r="198" ht="15" customHeight="1">
      <c r="A198" s="1" t="n"/>
      <c r="B198" s="1" t="n"/>
      <c r="C198" s="1" t="n"/>
      <c r="D198" s="1" t="n"/>
      <c r="E198" s="1" t="n"/>
      <c r="F198" s="1" t="n"/>
      <c r="G198" s="1" t="n"/>
      <c r="H198" s="1" t="n"/>
      <c r="I198" s="1" t="n"/>
      <c r="J198" s="1" t="n"/>
      <c r="K198" s="1" t="n"/>
      <c r="L198" s="1" t="n"/>
      <c r="M198" s="1" t="n"/>
    </row>
    <row r="199" ht="15" customHeight="1">
      <c r="A199" s="1" t="n"/>
      <c r="B199" s="1" t="n"/>
      <c r="C199" s="1" t="n"/>
      <c r="D199" s="1" t="n"/>
      <c r="E199" s="1" t="n"/>
      <c r="F199" s="1" t="n"/>
      <c r="G199" s="1" t="n"/>
      <c r="H199" s="1" t="n"/>
      <c r="I199" s="1" t="n"/>
      <c r="J199" s="1" t="n"/>
      <c r="K199" s="1" t="n"/>
      <c r="L199" s="1" t="n"/>
      <c r="M199" s="1" t="n"/>
    </row>
    <row r="200" ht="15" customHeight="1">
      <c r="A200" s="1" t="n"/>
      <c r="B200" s="1" t="n"/>
      <c r="C200" s="1" t="n"/>
      <c r="D200" s="1" t="n"/>
      <c r="E200" s="1" t="n"/>
      <c r="F200" s="1" t="n"/>
      <c r="G200" s="1" t="n"/>
      <c r="H200" s="1" t="n"/>
      <c r="I200" s="1" t="n"/>
      <c r="J200" s="1" t="n"/>
      <c r="K200" s="1" t="n"/>
      <c r="L200" s="1" t="n"/>
      <c r="M200" s="1" t="n"/>
    </row>
  </sheetData>
  <mergeCells count="2">
    <mergeCell ref="A2:L2"/>
    <mergeCell ref="A1:L1"/>
  </mergeCells>
  <conditionalFormatting sqref="F5:F26">
    <cfRule type="expression" priority="1" dxfId="2">
      <formula>ISNUMBER(SEARCH("Provisional",F5))</formula>
    </cfRule>
    <cfRule type="expression" priority="2" dxfId="1">
      <formula>ISNUMBER(SEARCH("Verified",F5))</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30" customWidth="1" min="1" max="1"/>
    <col width="94" customWidth="1" min="2" max="2"/>
  </cols>
  <sheetData>
    <row r="1" ht="30" customHeight="1">
      <c r="A1" s="30" t="inlineStr">
        <is>
          <t>How We Built These Estimates  -  Methodology v1.0</t>
        </is>
      </c>
    </row>
    <row r="2" ht="34" customHeight="1">
      <c r="A2" s="3" t="inlineStr">
        <is>
          <t>This utility is an estimation tool designed to help organizations understand potential costs - not to predict exact outcomes. Here is exactly how every estimate was constructed, and why you can trust it without us hiding the method.</t>
        </is>
      </c>
    </row>
    <row r="4" ht="20" customHeight="1">
      <c r="A4" s="31" t="inlineStr">
        <is>
          <t>How the estimate is built</t>
        </is>
      </c>
    </row>
    <row r="5" ht="30" customHeight="1">
      <c r="A5" s="29" t="inlineStr">
        <is>
          <t>Use published benchmarks wherever they exist - SHRM (cost per hire, time to fill), BLS (wages, loaded-cost multiplier, quits rates), Gallup (time to full productivity). These are direct measurements.</t>
        </is>
      </c>
      <c r="B5" s="3" t="inlineStr"/>
    </row>
    <row r="6" ht="30" customHeight="1">
      <c r="A6" s="29" t="inlineStr">
        <is>
          <t>Context rediscovery, institutional-memory reconstruction, and project disruption are costs traditional calculators ignore, and no single source has measured them directly. Where no direct benchmark exists, we derive a research-based estimate from the strongest published evidence (APQC, McKinsey, Panopto, Gartner, PMI) and document the derivation. SHRM does not know your hiring process; BLS does not know your salaries. They are still useful defaults - and so are these.</t>
        </is>
      </c>
      <c r="B6" s="3" t="inlineStr"/>
    </row>
    <row r="7" ht="30" customHeight="1">
      <c r="A7" s="29" t="inlineStr">
        <is>
          <t>Each value carries its source, year, methodology, limitation, and a plain-language reliability label. Nothing is a black box.</t>
        </is>
      </c>
      <c r="B7" s="3" t="inlineStr"/>
    </row>
    <row r="8" ht="30" customHeight="1">
      <c r="A8" s="29" t="inlineStr">
        <is>
          <t>You start from credible defaults and adjust only what you know or want to refine. The result shows how much came from published benchmarks, from research-based estimates, and from your own inputs.</t>
        </is>
      </c>
      <c r="B8" s="3" t="inlineStr"/>
    </row>
    <row r="9" ht="30" customHeight="1">
      <c r="A9" s="34" t="inlineStr">
        <is>
          <t>This tool helps you understand potential cost. It does not predict exact outcomes, and we never present it as certainty.</t>
        </is>
      </c>
      <c r="B9" s="3" t="inlineStr"/>
    </row>
    <row r="10" ht="20" customHeight="1">
      <c r="A10" s="35" t="inlineStr">
        <is>
          <t>Reliability labels</t>
        </is>
      </c>
    </row>
    <row r="11" ht="30" customHeight="1">
      <c r="A11" s="29" t="inlineStr">
        <is>
          <t>A named organization directly measured this variable (e.g., SHRM cost per hire, BLS wage share, Gallup time to productivity). Strongest source reliability.</t>
        </is>
      </c>
      <c r="B11" s="3" t="inlineStr"/>
    </row>
    <row r="12" ht="30" customHeight="1">
      <c r="A12" s="29" t="inlineStr">
        <is>
          <t>No one measured this exact event, so we derived a baseline from multiple credible published sources. Directional, documented, and fully editable.</t>
        </is>
      </c>
      <c r="B12" s="3" t="inlineStr"/>
    </row>
    <row r="13" ht="30" customHeight="1">
      <c r="A13" s="34" t="inlineStr">
        <is>
          <t>Interesting but traceable only to secondary citations. Used carefully and flagged so no public claim rests on an unverifiable figure.</t>
        </is>
      </c>
      <c r="B13" s="3" t="inlineStr"/>
    </row>
    <row r="14" ht="20" customHeight="1">
      <c r="A14" s="35" t="inlineStr">
        <is>
          <t>Benchmark type</t>
        </is>
      </c>
    </row>
    <row r="15" ht="30" customHeight="1">
      <c r="A15" s="29" t="inlineStr">
        <is>
          <t>A published measurement used as-is.</t>
        </is>
      </c>
      <c r="B15" s="3" t="inlineStr"/>
    </row>
    <row r="16" ht="30" customHeight="1">
      <c r="A16" s="34" t="inlineStr">
        <is>
          <t>A defensible default derived from published research where no direct measurement exists.</t>
        </is>
      </c>
      <c r="B16" s="3" t="inlineStr"/>
    </row>
    <row r="17" ht="20" customHeight="1">
      <c r="A17" s="35" t="inlineStr">
        <is>
          <t>Why this matters (supporting evidence)</t>
        </is>
      </c>
    </row>
    <row r="18" ht="30" customHeight="1">
      <c r="A18" s="29" t="inlineStr">
        <is>
          <t>About 42% of a role's institutional knowledge is unique to the person who holds it (Panopto, 2018, n=1,001), and roughly 70-80% of organizational knowledge is tacit or undocumented (Gartner, 2024). That is the gap these estimates make visible - and the reason the utility exists.</t>
        </is>
      </c>
      <c r="B18" s="3" t="inlineStr"/>
    </row>
    <row r="19" ht="30" customHeight="1">
      <c r="A19" s="29" t="inlineStr">
        <is>
          <t>You get a credible estimate built on the best available evidence, with every assumption visible and editable. We show our work, we show what is solid versus emerging, and we never present an estimate as a prediction. That provenance is the point.</t>
        </is>
      </c>
      <c r="B19" s="3" t="inlineStr"/>
    </row>
  </sheetData>
  <mergeCells count="6">
    <mergeCell ref="A4:B4"/>
    <mergeCell ref="A2:B2"/>
    <mergeCell ref="A10:B10"/>
    <mergeCell ref="A14:B14"/>
    <mergeCell ref="A1:B1"/>
    <mergeCell ref="A17:B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00"/>
  <sheetViews>
    <sheetView workbookViewId="0">
      <selection activeCell="A1" sqref="A1:K1"/>
    </sheetView>
  </sheetViews>
  <sheetFormatPr baseColWidth="10" defaultColWidth="8.83203125" defaultRowHeight="14"/>
  <cols>
    <col width="32" customWidth="1" min="1" max="1"/>
    <col width="18" customWidth="1" min="2" max="2"/>
    <col width="16" customWidth="1" min="3" max="5"/>
    <col width="48" customWidth="1" min="6" max="6"/>
    <col width="22" customWidth="1" min="7" max="7"/>
    <col width="24" customWidth="1" min="8" max="8"/>
    <col width="42" customWidth="1" min="9" max="9"/>
    <col width="16" customWidth="1" min="10" max="10"/>
    <col width="28" customWidth="1" min="11" max="11"/>
    <col width="15" customWidth="1" min="12" max="12"/>
    <col width="52" customWidth="1" min="13" max="13"/>
    <col width="16" customWidth="1" min="14" max="14"/>
    <col width="46" customWidth="1" min="15" max="15"/>
  </cols>
  <sheetData>
    <row r="1" ht="42.75" customHeight="1">
      <c r="A1" s="16" t="inlineStr">
        <is>
          <t>Working Sample Model</t>
        </is>
      </c>
      <c r="L1" s="1" t="n"/>
      <c r="M1" s="1" t="n"/>
    </row>
    <row r="2" ht="40" customHeight="1">
      <c r="A2" s="17" t="inlineStr">
        <is>
          <t>Editable example for a U.S. manager-level corporate/knowledge role. Yellow cells are inputs/defaults; formulas calculate a low/mid/high range.</t>
        </is>
      </c>
      <c r="L2" s="1" t="n"/>
      <c r="M2" s="1" t="n"/>
    </row>
    <row r="3" ht="15" customHeight="1">
      <c r="A3" s="1" t="n"/>
      <c r="B3" s="1" t="n"/>
      <c r="C3" s="1" t="n"/>
      <c r="D3" s="1" t="n"/>
      <c r="E3" s="1" t="n"/>
      <c r="F3" s="1" t="n"/>
      <c r="G3" s="1" t="n"/>
      <c r="H3" s="1" t="n"/>
      <c r="I3" s="1" t="n"/>
      <c r="J3" s="1" t="n"/>
      <c r="K3" s="1" t="n"/>
      <c r="L3" s="1" t="n"/>
      <c r="M3" s="1" t="n"/>
    </row>
    <row r="4" ht="30" customHeight="1">
      <c r="A4" s="4" t="inlineStr">
        <is>
          <t>Scenario input</t>
        </is>
      </c>
      <c r="B4" s="4" t="inlineStr">
        <is>
          <t>Value</t>
        </is>
      </c>
      <c r="C4" s="4" t="inlineStr">
        <is>
          <t>Source / Composition</t>
        </is>
      </c>
      <c r="D4" s="4" t="inlineStr">
        <is>
          <t>Notes</t>
        </is>
      </c>
      <c r="E4" s="1" t="n"/>
      <c r="F4" s="4" t="inlineStr">
        <is>
          <t>Derived metric</t>
        </is>
      </c>
      <c r="G4" s="4" t="inlineStr">
        <is>
          <t>Formula / Value</t>
        </is>
      </c>
      <c r="H4" s="4" t="inlineStr">
        <is>
          <t>Explanation</t>
        </is>
      </c>
      <c r="I4" s="1" t="n"/>
      <c r="J4" s="1" t="n"/>
      <c r="K4" s="1" t="n"/>
      <c r="L4" s="1" t="n"/>
      <c r="M4" s="1" t="n"/>
    </row>
    <row r="5" ht="30" customHeight="1">
      <c r="A5" s="3" t="inlineStr">
        <is>
          <t>Number of departures</t>
        </is>
      </c>
      <c r="B5" s="6" t="n">
        <v>1</v>
      </c>
      <c r="C5" s="3" t="inlineStr">
        <is>
          <t>Organization input</t>
        </is>
      </c>
      <c r="D5" s="3" t="inlineStr">
        <is>
          <t>Single-event estimate</t>
        </is>
      </c>
      <c r="E5" s="1" t="n"/>
      <c r="F5" s="3" t="inlineStr">
        <is>
          <t>Loaded annual cost</t>
        </is>
      </c>
      <c r="G5" s="21">
        <f>B6*B7</f>
        <v/>
      </c>
      <c r="H5" s="3" t="inlineStr">
        <is>
          <t>Salary × fully loaded multiplier</t>
        </is>
      </c>
      <c r="I5" s="1" t="n"/>
      <c r="J5" s="1" t="n"/>
      <c r="K5" s="1" t="n"/>
      <c r="L5" s="1" t="n"/>
      <c r="M5" s="1" t="n"/>
    </row>
    <row r="6" ht="45" customHeight="1">
      <c r="A6" s="3" t="inlineStr">
        <is>
          <t>Annual salary</t>
        </is>
      </c>
      <c r="B6" s="22" t="n">
        <v>120000</v>
      </c>
      <c r="C6" s="3" t="inlineStr">
        <is>
          <t>Organization input</t>
        </is>
      </c>
      <c r="D6" s="3" t="inlineStr">
        <is>
          <t>Replace with BLS role benchmark if unknown</t>
        </is>
      </c>
      <c r="E6" s="1" t="n"/>
      <c r="F6" s="3" t="inlineStr">
        <is>
          <t>Loaded hourly cost</t>
        </is>
      </c>
      <c r="G6" s="21">
        <f>G5/2080</f>
        <v/>
      </c>
      <c r="H6" s="3" t="inlineStr">
        <is>
          <t>Loaded annual cost ÷ 2,080</t>
        </is>
      </c>
      <c r="I6" s="1" t="n"/>
      <c r="J6" s="1" t="n"/>
      <c r="K6" s="1" t="n"/>
      <c r="L6" s="1" t="n"/>
      <c r="M6" s="1" t="n"/>
    </row>
    <row r="7" ht="30" customHeight="1">
      <c r="A7" s="3" t="inlineStr">
        <is>
          <t>Fully loaded multiplier</t>
        </is>
      </c>
      <c r="B7" s="23" t="n">
        <v>1.430615</v>
      </c>
      <c r="C7" s="3" t="inlineStr">
        <is>
          <t>Published benchmark</t>
        </is>
      </c>
      <c r="D7" s="3" t="inlineStr">
        <is>
          <t>BLS ECEC private-industry national</t>
        </is>
      </c>
      <c r="E7" s="1" t="n"/>
      <c r="F7" s="3" t="inlineStr">
        <is>
          <t>Loaded daily cost</t>
        </is>
      </c>
      <c r="G7" s="21">
        <f>G5/260</f>
        <v/>
      </c>
      <c r="H7" s="3" t="inlineStr">
        <is>
          <t>Loaded annual cost ÷ 260 working days</t>
        </is>
      </c>
      <c r="I7" s="1" t="n"/>
      <c r="J7" s="1" t="n"/>
      <c r="K7" s="1" t="n"/>
      <c r="L7" s="1" t="n"/>
      <c r="M7" s="1" t="n"/>
    </row>
    <row r="8" ht="30" customHeight="1">
      <c r="A8" s="3" t="inlineStr">
        <is>
          <t>Cost per hire</t>
        </is>
      </c>
      <c r="B8" s="22" t="n">
        <v>5475</v>
      </c>
      <c r="C8" s="3" t="inlineStr">
        <is>
          <t>Published benchmark</t>
        </is>
      </c>
      <c r="D8" s="3" t="inlineStr">
        <is>
          <t>SHRM nonexecutive average</t>
        </is>
      </c>
      <c r="E8" s="1" t="n"/>
      <c r="F8" s="3" t="inlineStr">
        <is>
          <t>Blended support hourly cost</t>
        </is>
      </c>
      <c r="G8" s="21">
        <f>B14*B7/2080</f>
        <v/>
      </c>
      <c r="H8" s="3" t="inlineStr">
        <is>
          <t>Support salary × multiplier ÷ 2,080</t>
        </is>
      </c>
      <c r="I8" s="1" t="n"/>
      <c r="J8" s="1" t="n"/>
      <c r="K8" s="1" t="n"/>
      <c r="L8" s="1" t="n"/>
      <c r="M8" s="1" t="n"/>
    </row>
    <row r="9" ht="30" customHeight="1">
      <c r="A9" s="3" t="inlineStr">
        <is>
          <t>Time to fill (calendar days)</t>
        </is>
      </c>
      <c r="B9" s="6" t="n">
        <v>39</v>
      </c>
      <c r="C9" s="3" t="inlineStr">
        <is>
          <t>Published benchmark</t>
        </is>
      </c>
      <c r="D9" s="3" t="inlineStr">
        <is>
          <t>SHRM 2026 median nonexecutive</t>
        </is>
      </c>
      <c r="E9" s="1" t="n"/>
      <c r="F9" s="3" t="inlineStr">
        <is>
          <t>Vacancy working days</t>
        </is>
      </c>
      <c r="G9" s="21">
        <f>B9*B10</f>
        <v/>
      </c>
      <c r="H9" s="3" t="inlineStr">
        <is>
          <t>Calendar days × working-day conversion</t>
        </is>
      </c>
      <c r="I9" s="1" t="n"/>
      <c r="J9" s="1" t="n"/>
      <c r="K9" s="1" t="n"/>
      <c r="L9" s="1" t="n"/>
      <c r="M9" s="1" t="n"/>
    </row>
    <row r="10" ht="30" customHeight="1">
      <c r="A10" s="3" t="inlineStr">
        <is>
          <t>Working-day conversion</t>
        </is>
      </c>
      <c r="B10" s="6" t="n">
        <v>0.714286</v>
      </c>
      <c r="C10" s="3" t="inlineStr">
        <is>
          <t>Model convention</t>
        </is>
      </c>
      <c r="D10" s="3" t="inlineStr">
        <is>
          <t>5 working days / 7 calendar days</t>
        </is>
      </c>
      <c r="E10" s="1" t="n"/>
      <c r="F10" s="3" t="inlineStr">
        <is>
          <t>Loaded monthly cost</t>
        </is>
      </c>
      <c r="G10" s="21">
        <f>G5/12</f>
        <v/>
      </c>
      <c r="H10" s="3" t="inlineStr">
        <is>
          <t>Loaded annual cost ÷ 12</t>
        </is>
      </c>
      <c r="I10" s="1" t="n"/>
      <c r="J10" s="1" t="n"/>
      <c r="K10" s="1" t="n"/>
      <c r="L10" s="1" t="n"/>
      <c r="M10" s="1" t="n"/>
    </row>
    <row r="11" ht="30" customHeight="1">
      <c r="A11" s="3" t="inlineStr">
        <is>
          <t>Uncovered work during vacancy</t>
        </is>
      </c>
      <c r="B11" s="10" t="n">
        <v>0.5</v>
      </c>
      <c r="C11" s="3" t="inlineStr">
        <is>
          <t>Provisional benchmark</t>
        </is>
      </c>
      <c r="D11" s="3" t="inlineStr">
        <is>
          <t>User editable</t>
        </is>
      </c>
      <c r="E11" s="1" t="n"/>
      <c r="F11" s="3" t="inlineStr">
        <is>
          <t>Effective lost-productivity months</t>
        </is>
      </c>
      <c r="G11" s="36">
        <f>B15*(1-B16)</f>
        <v/>
      </c>
      <c r="H11" s="3" t="inlineStr">
        <is>
          <t>Ramp months x productivity GAP (1 - avg productivity). Only the shortfall is lost, not the whole ramp. Here 8 x 0.40 = 3.2 months, not 8.</t>
        </is>
      </c>
      <c r="I11" s="1" t="n"/>
      <c r="J11" s="1" t="n"/>
      <c r="K11" s="1" t="n"/>
      <c r="L11" s="1" t="n"/>
      <c r="M11" s="1" t="n"/>
    </row>
    <row r="12" ht="30" customHeight="1">
      <c r="A12" s="3" t="inlineStr">
        <is>
          <t>Direct onboarding/training cost</t>
        </is>
      </c>
      <c r="B12" s="22" t="n">
        <v>2500</v>
      </c>
      <c r="C12" s="3" t="inlineStr">
        <is>
          <t>Provisional benchmark</t>
        </is>
      </c>
      <c r="D12" s="3" t="inlineStr">
        <is>
          <t>User editable</t>
        </is>
      </c>
      <c r="E12" s="1" t="n"/>
      <c r="F12" s="1" t="n"/>
      <c r="G12" s="1" t="n"/>
      <c r="H12" s="1" t="n"/>
      <c r="I12" s="1" t="n"/>
      <c r="J12" s="1" t="n"/>
      <c r="K12" s="1" t="n"/>
      <c r="L12" s="1" t="n"/>
      <c r="M12" s="1" t="n"/>
    </row>
    <row r="13" ht="30" customHeight="1">
      <c r="A13" s="3" t="inlineStr">
        <is>
          <t>Onboarding labor hours</t>
        </is>
      </c>
      <c r="B13" s="6" t="n">
        <v>24</v>
      </c>
      <c r="C13" s="3" t="inlineStr">
        <is>
          <t>Provisional benchmark</t>
        </is>
      </c>
      <c r="D13" s="3" t="inlineStr">
        <is>
          <t>Internal employee hours</t>
        </is>
      </c>
      <c r="E13" s="1" t="n"/>
      <c r="F13" s="4" t="inlineStr">
        <is>
          <t>Estimate Built Using</t>
        </is>
      </c>
      <c r="G13" s="4" t="inlineStr">
        <is>
          <t>Percentage</t>
        </is>
      </c>
      <c r="H13" s="4" t="inlineStr">
        <is>
          <t>Definition</t>
        </is>
      </c>
      <c r="I13" s="1" t="n"/>
      <c r="J13" s="1" t="n"/>
      <c r="K13" s="1" t="n"/>
      <c r="L13" s="1" t="n"/>
      <c r="M13" s="1" t="n"/>
    </row>
    <row r="14" ht="45" customHeight="1">
      <c r="A14" s="3" t="inlineStr">
        <is>
          <t>Blended support salary</t>
        </is>
      </c>
      <c r="B14" s="6" t="n">
        <v>110000</v>
      </c>
      <c r="C14" s="3" t="inlineStr">
        <is>
          <t>Organization input</t>
        </is>
      </c>
      <c r="D14" s="3" t="inlineStr">
        <is>
          <t>Used for internal support/project labor</t>
        </is>
      </c>
      <c r="E14" s="1" t="n"/>
      <c r="F14" s="3" t="inlineStr">
        <is>
          <t>Published Benchmarks</t>
        </is>
      </c>
      <c r="G14" s="11">
        <f>SUMPRODUCT($D$25:$D$32,$L$25:$L$32,$N$25:$N$32)/$D$36</f>
        <v/>
      </c>
      <c r="H14" s="3" t="inlineStr">
        <is>
          <t>Values directly measured and published by authoritative sources for the same variable (BLS wages, SHRM cost per hire, SHRM time to fill, Gallup ramp).</t>
        </is>
      </c>
      <c r="I14" s="1" t="n"/>
      <c r="J14" s="1" t="n"/>
      <c r="K14" s="1" t="n"/>
      <c r="L14" s="1" t="n"/>
      <c r="M14" s="1" t="n"/>
    </row>
    <row r="15" ht="60" customHeight="1">
      <c r="A15" s="3" t="inlineStr">
        <is>
          <t>Ramp-up months</t>
        </is>
      </c>
      <c r="B15" s="6" t="n">
        <v>8</v>
      </c>
      <c r="C15" s="3" t="inlineStr">
        <is>
          <t>Provisional benchmark</t>
        </is>
      </c>
      <c r="D15" s="3" t="inlineStr">
        <is>
          <t>User editable - 8 mo anchored to Gallup 2024 median time to full productivity (8.2 mo, mid-level)</t>
        </is>
      </c>
      <c r="E15" s="1" t="n"/>
      <c r="F15" s="3" t="inlineStr">
        <is>
          <t>Research-Based Estimates</t>
        </is>
      </c>
      <c r="G15" s="11">
        <f>SUMPRODUCT($D$25:$D$32,$L$25:$L$32)/$D$36-G14</f>
        <v/>
      </c>
      <c r="H15" s="3" t="inlineStr">
        <is>
          <t>Values Jaspen derived from multiple credible published sources where no direct benchmark exists (APQC, McKinsey, Panopto, Gartner, PMI). Documented methodology, not direct measurements.</t>
        </is>
      </c>
      <c r="I15" s="1" t="n"/>
      <c r="J15" s="1" t="n"/>
      <c r="K15" s="1" t="n"/>
      <c r="L15" s="1" t="n"/>
      <c r="M15" s="1" t="n"/>
    </row>
    <row r="16" ht="30" customHeight="1">
      <c r="A16" s="3" t="inlineStr">
        <is>
          <t>Average productivity during ramp</t>
        </is>
      </c>
      <c r="B16" s="10" t="n">
        <v>0.6</v>
      </c>
      <c r="C16" s="3" t="inlineStr">
        <is>
          <t>Provisional benchmark</t>
        </is>
      </c>
      <c r="D16" s="3" t="inlineStr">
        <is>
          <t>User editable</t>
        </is>
      </c>
      <c r="E16" s="1" t="n"/>
      <c r="F16" s="4" t="inlineStr">
        <is>
          <t>Your Organization's Inputs</t>
        </is>
      </c>
      <c r="G16" s="11">
        <f>1-SUMPRODUCT($D$25:$D$32,$L$25:$L$32)/$D$36</f>
        <v/>
      </c>
      <c r="H16" s="3" t="inlineStr">
        <is>
          <t>Values you entered or modified (salary, blended rate, headcount, project count).</t>
        </is>
      </c>
      <c r="I16" s="1" t="n"/>
      <c r="J16" s="1" t="n"/>
      <c r="K16" s="1" t="n"/>
      <c r="L16" s="1" t="n"/>
      <c r="M16" s="1" t="n"/>
    </row>
    <row r="17" ht="30" customHeight="1">
      <c r="A17" s="3" t="inlineStr">
        <is>
          <t>Knowledge transfer hours</t>
        </is>
      </c>
      <c r="B17" s="6" t="n">
        <v>40</v>
      </c>
      <c r="C17" s="3" t="inlineStr">
        <is>
          <t>Provisional benchmark</t>
        </is>
      </c>
      <c r="D17" s="3" t="inlineStr">
        <is>
          <t>All participant hours</t>
        </is>
      </c>
      <c r="E17" s="1" t="n"/>
      <c r="F17" s="4" t="n"/>
      <c r="G17" s="11" t="n"/>
      <c r="H17" s="3" t="n"/>
      <c r="I17" s="1" t="n"/>
      <c r="J17" s="1" t="n"/>
      <c r="K17" s="1" t="n"/>
      <c r="L17" s="1" t="n"/>
      <c r="M17" s="1" t="n"/>
    </row>
    <row r="18" ht="30" customHeight="1">
      <c r="A18" s="3" t="inlineStr">
        <is>
          <t>Context rediscovery hours</t>
        </is>
      </c>
      <c r="B18" s="6" t="n">
        <v>130</v>
      </c>
      <c r="C18" s="3" t="inlineStr">
        <is>
          <t>Provisional benchmark</t>
        </is>
      </c>
      <c r="D18" s="3" t="inlineStr">
        <is>
          <t>Replacement working hours - default anchored to APQC/McKinsey search+recreate rates</t>
        </is>
      </c>
      <c r="E18" s="1" t="n"/>
      <c r="F18" s="1" t="n"/>
      <c r="G18" s="1" t="n"/>
      <c r="H18" s="1" t="n"/>
      <c r="I18" s="1" t="n"/>
      <c r="J18" s="1" t="n"/>
      <c r="K18" s="1" t="n"/>
      <c r="L18" s="1" t="n"/>
      <c r="M18" s="1" t="n"/>
    </row>
    <row r="19" ht="30" customHeight="1">
      <c r="A19" s="3" t="inlineStr">
        <is>
          <t>Institutional-memory reconstruction hours</t>
        </is>
      </c>
      <c r="B19" s="6" t="n">
        <v>60</v>
      </c>
      <c r="C19" s="3" t="inlineStr">
        <is>
          <t>Provisional benchmark</t>
        </is>
      </c>
      <c r="D19" s="3" t="inlineStr">
        <is>
          <t>Coworker/leader hours</t>
        </is>
      </c>
      <c r="E19" s="1" t="n"/>
      <c r="F19" s="1" t="n"/>
      <c r="G19" s="1" t="n"/>
      <c r="H19" s="1" t="n"/>
      <c r="I19" s="1" t="n"/>
      <c r="J19" s="1" t="n"/>
      <c r="K19" s="1" t="n"/>
      <c r="L19" s="1" t="n"/>
      <c r="M19" s="1" t="n"/>
    </row>
    <row r="20" ht="45" customHeight="1">
      <c r="A20" s="3" t="inlineStr">
        <is>
          <t>Affected projects</t>
        </is>
      </c>
      <c r="B20" s="6" t="n">
        <v>2</v>
      </c>
      <c r="C20" s="3" t="inlineStr">
        <is>
          <t>Organization input</t>
        </is>
      </c>
      <c r="D20" s="3" t="inlineStr">
        <is>
          <t>Materially dependent initiatives</t>
        </is>
      </c>
      <c r="E20" s="1" t="n"/>
      <c r="F20" s="1" t="n"/>
      <c r="G20" s="1" t="n"/>
      <c r="H20" s="1" t="n"/>
      <c r="I20" s="1" t="n"/>
      <c r="J20" s="1" t="n"/>
      <c r="K20" s="1" t="n"/>
      <c r="L20" s="1" t="n"/>
      <c r="M20" s="1" t="n"/>
    </row>
    <row r="21" ht="30" customHeight="1">
      <c r="A21" s="3" t="inlineStr">
        <is>
          <t>Added team hours per project</t>
        </is>
      </c>
      <c r="B21" s="6" t="n">
        <v>24</v>
      </c>
      <c r="C21" s="3" t="inlineStr">
        <is>
          <t>Provisional benchmark</t>
        </is>
      </c>
      <c r="D21" s="3" t="inlineStr">
        <is>
          <t>Labor-only project disruption</t>
        </is>
      </c>
      <c r="E21" s="1" t="n"/>
      <c r="F21" s="1" t="n"/>
      <c r="G21" s="1" t="n"/>
      <c r="H21" s="1" t="n"/>
      <c r="I21" s="1" t="n"/>
      <c r="J21" s="1" t="n"/>
      <c r="K21" s="1" t="n"/>
      <c r="L21" s="1" t="n"/>
      <c r="M21" s="1" t="n"/>
    </row>
    <row r="22" ht="15" customHeight="1">
      <c r="A22" s="1" t="n"/>
      <c r="B22" s="1" t="n"/>
      <c r="C22" s="1" t="n"/>
      <c r="D22" s="1" t="n"/>
      <c r="E22" s="1" t="n"/>
      <c r="F22" s="1" t="n"/>
      <c r="G22" s="1" t="n"/>
      <c r="H22" s="1" t="n"/>
      <c r="I22" s="1" t="n"/>
      <c r="J22" s="1" t="n"/>
      <c r="K22" s="1" t="n"/>
      <c r="L22" s="1" t="n"/>
      <c r="M22" s="1" t="n"/>
    </row>
    <row r="23" ht="15" customHeight="1">
      <c r="A23" s="1" t="n"/>
      <c r="B23" s="1" t="n"/>
      <c r="C23" s="1" t="n"/>
      <c r="D23" s="1" t="n"/>
      <c r="E23" s="1" t="n"/>
      <c r="F23" s="1" t="n"/>
      <c r="G23" s="1" t="n"/>
      <c r="H23" s="1" t="n"/>
      <c r="I23" s="1" t="n"/>
      <c r="J23" s="1" t="n"/>
      <c r="K23" s="1" t="n"/>
      <c r="L23" s="1" t="n"/>
      <c r="M23" s="1" t="n"/>
    </row>
    <row r="24" ht="15" customHeight="1">
      <c r="A24" s="4" t="inlineStr">
        <is>
          <t>Cost component</t>
        </is>
      </c>
      <c r="B24" s="4" t="inlineStr">
        <is>
          <t>Additive?</t>
        </is>
      </c>
      <c r="C24" s="4" t="inlineStr">
        <is>
          <t>Low</t>
        </is>
      </c>
      <c r="D24" s="4" t="inlineStr">
        <is>
          <t>Mid</t>
        </is>
      </c>
      <c r="E24" s="4" t="inlineStr">
        <is>
          <t>High</t>
        </is>
      </c>
      <c r="F24" s="4" t="inlineStr">
        <is>
          <t>Primary formula</t>
        </is>
      </c>
      <c r="G24" s="4" t="inlineStr">
        <is>
          <t>Main provenance</t>
        </is>
      </c>
      <c r="H24" s="4" t="inlineStr">
        <is>
          <t>Traditional / Added</t>
        </is>
      </c>
      <c r="I24" s="4" t="inlineStr">
        <is>
          <t>Double-count guard</t>
        </is>
      </c>
      <c r="J24" s="4" t="inlineStr">
        <is>
          <t>% of Mid Total</t>
        </is>
      </c>
      <c r="K24" s="4" t="inlineStr">
        <is>
          <t>Review</t>
        </is>
      </c>
      <c r="L24" s="4" t="inlineStr">
        <is>
          <t>Benchmark share</t>
        </is>
      </c>
      <c r="M24" s="4" t="inlineStr">
        <is>
          <t>Provenance basis (why)</t>
        </is>
      </c>
      <c r="N24" s="4" t="inlineStr">
        <is>
          <t>Direct share of benchmark</t>
        </is>
      </c>
      <c r="O24" s="4" t="inlineStr">
        <is>
          <t>Benchmark type</t>
        </is>
      </c>
    </row>
    <row r="25" ht="15" customHeight="1">
      <c r="A25" s="3" t="inlineStr">
        <is>
          <t>Recruiting &amp; sourcing</t>
        </is>
      </c>
      <c r="B25" s="3" t="inlineStr">
        <is>
          <t>Yes</t>
        </is>
      </c>
      <c r="C25" s="24">
        <f>B5*B8*0.85</f>
        <v/>
      </c>
      <c r="D25" s="24">
        <f>B5*B8</f>
        <v/>
      </c>
      <c r="E25" s="24">
        <f>B5*B8*1.15</f>
        <v/>
      </c>
      <c r="F25" s="3" t="inlineStr">
        <is>
          <t>Departures × cost per hire</t>
        </is>
      </c>
      <c r="G25" s="3" t="inlineStr">
        <is>
          <t>Benchmark</t>
        </is>
      </c>
      <c r="H25" s="3" t="inlineStr">
        <is>
          <t>Traditional</t>
        </is>
      </c>
      <c r="I25" s="3" t="inlineStr">
        <is>
          <t>Hiring admin excluded in sample</t>
        </is>
      </c>
      <c r="J25" s="13">
        <f>IF($D$36=0,0,D25/$D$36)</f>
        <v/>
      </c>
      <c r="K25" s="3" t="n"/>
      <c r="L25" s="11" t="n">
        <v>1</v>
      </c>
      <c r="M25" s="3" t="inlineStr">
        <is>
          <t>Cost per hire is a published SHRM benchmark; no org-specific input.</t>
        </is>
      </c>
      <c r="N25" s="11" t="n">
        <v>1</v>
      </c>
      <c r="O25" s="3" t="inlineStr">
        <is>
          <t>Direct Benchmark (SHRM cost per hire)</t>
        </is>
      </c>
    </row>
    <row r="26" ht="30" customHeight="1">
      <c r="A26" s="3" t="inlineStr">
        <is>
          <t>Vacancy capacity loss</t>
        </is>
      </c>
      <c r="B26" s="3" t="inlineStr">
        <is>
          <t>Yes</t>
        </is>
      </c>
      <c r="C26" s="24">
        <f>B5*(G9*0.85)*G7*MAX(0,B11-0.1)</f>
        <v/>
      </c>
      <c r="D26" s="24">
        <f>B5*G9*G7*B11</f>
        <v/>
      </c>
      <c r="E26" s="24">
        <f>B5*(G9*1.15)*G7*MIN(1,B11+0.1)</f>
        <v/>
      </c>
      <c r="F26" s="3" t="inlineStr">
        <is>
          <t>Departures × vacancy working days × daily loaded cost × uncovered %</t>
        </is>
      </c>
      <c r="G26" s="3" t="inlineStr">
        <is>
          <t>Mixed</t>
        </is>
      </c>
      <c r="H26" s="3" t="inlineStr">
        <is>
          <t>Traditional</t>
        </is>
      </c>
      <c r="I26" s="3" t="inlineStr">
        <is>
          <t>Project disruption uses added team labor only</t>
        </is>
      </c>
      <c r="J26" s="13">
        <f>IF($D$36=0,0,D26/$D$36)</f>
        <v/>
      </c>
      <c r="K26" s="3" t="n"/>
      <c r="L26" s="11" t="n">
        <v>0.5</v>
      </c>
      <c r="M26" s="3" t="inlineStr">
        <is>
          <t>Vacancy days (SHRM) + uncovered% (provisional) are benchmark; loaded rate comes from your salary.</t>
        </is>
      </c>
      <c r="N26" s="11" t="n">
        <v>0.5</v>
      </c>
      <c r="O26" s="3" t="inlineStr">
        <is>
          <t>Mixed: Direct (SHRM time-to-fill) + Research-Based (uncovered %)</t>
        </is>
      </c>
    </row>
    <row r="27" ht="15" customHeight="1">
      <c r="A27" s="3" t="inlineStr">
        <is>
          <t>Onboarding &amp; direct training</t>
        </is>
      </c>
      <c r="B27" s="3" t="inlineStr">
        <is>
          <t>Yes</t>
        </is>
      </c>
      <c r="C27" s="24">
        <f>B5*(B12*0.8+B13*0.8*G8)</f>
        <v/>
      </c>
      <c r="D27" s="24">
        <f>B5*(B12+B13*G8)</f>
        <v/>
      </c>
      <c r="E27" s="24">
        <f>B5*(B12*1.2+B13*1.2*G8)</f>
        <v/>
      </c>
      <c r="F27" s="3" t="inlineStr">
        <is>
          <t>Departures × (direct cost + onboarding hours × support rate)</t>
        </is>
      </c>
      <c r="G27" s="3" t="inlineStr">
        <is>
          <t>Mixed</t>
        </is>
      </c>
      <c r="H27" s="3" t="inlineStr">
        <is>
          <t>Traditional</t>
        </is>
      </c>
      <c r="I27" s="3" t="inlineStr">
        <is>
          <t>Ramp-up excludes onboarding hours</t>
        </is>
      </c>
      <c r="J27" s="13">
        <f>IF($D$36=0,0,D27/$D$36)</f>
        <v/>
      </c>
      <c r="K27" s="3" t="n"/>
      <c r="L27" s="11" t="n">
        <v>0.7</v>
      </c>
      <c r="M27" s="3" t="inlineStr">
        <is>
          <t>Direct cost + onboarding hours are default benchmarks; only the labor rate is org-derived.</t>
        </is>
      </c>
      <c r="N27" s="11" t="n">
        <v>0</v>
      </c>
      <c r="O27" s="3" t="inlineStr">
        <is>
          <t>Research-Based Estimate (onboarding placeholder)</t>
        </is>
      </c>
    </row>
    <row r="28" ht="30" customHeight="1">
      <c r="A28" s="3" t="inlineStr">
        <is>
          <t>Ramp-up productivity loss</t>
        </is>
      </c>
      <c r="B28" s="3" t="inlineStr">
        <is>
          <t>Yes</t>
        </is>
      </c>
      <c r="C28" s="24">
        <f>B5*G10*(B15*0.8)*(1-MIN(1,B16+0.1))</f>
        <v/>
      </c>
      <c r="D28" s="24">
        <f>B5*G10*B15*(1-B16)</f>
        <v/>
      </c>
      <c r="E28" s="24">
        <f>B5*G10*(B15*1.2)*(1-MAX(0,B16-0.1))</f>
        <v/>
      </c>
      <c r="F28" s="3" t="inlineStr">
        <is>
          <t>Departures x monthly loaded cost x ramp months x productivity GAP (1 - avg productivity); models reduced, gradually improving productivity - not zero</t>
        </is>
      </c>
      <c r="G28" s="3" t="inlineStr">
        <is>
          <t>Mixed</t>
        </is>
      </c>
      <c r="H28" s="3" t="inlineStr">
        <is>
          <t>Traditional</t>
        </is>
      </c>
      <c r="I28" s="3" t="inlineStr">
        <is>
          <t>Rediscovery is separate explicit context-building time</t>
        </is>
      </c>
      <c r="J28" s="13">
        <f>IF($D$36=0,0,D28/$D$36)</f>
        <v/>
      </c>
      <c r="K28" s="3" t="n"/>
      <c r="L28" s="11" t="n">
        <v>0.5</v>
      </c>
      <c r="M28" s="3" t="inlineStr">
        <is>
          <t>Ramp months + productivity gap are benchmarks; the loaded monthly rate is your salary.</t>
        </is>
      </c>
      <c r="N28" s="11" t="n">
        <v>0.5</v>
      </c>
      <c r="O28" s="3" t="inlineStr">
        <is>
          <t>Mixed: Direct (Gallup ramp) + Research-Based (productivity gap)</t>
        </is>
      </c>
    </row>
    <row r="29" ht="15" customHeight="1">
      <c r="A29" s="3" t="inlineStr">
        <is>
          <t>Knowledge transfer</t>
        </is>
      </c>
      <c r="B29" s="3" t="inlineStr">
        <is>
          <t>Yes</t>
        </is>
      </c>
      <c r="C29" s="24">
        <f>B5*B17*0.75*G8</f>
        <v/>
      </c>
      <c r="D29" s="24">
        <f>B5*B17*G8</f>
        <v/>
      </c>
      <c r="E29" s="24">
        <f>B5*B17*1.25*G8</f>
        <v/>
      </c>
      <c r="F29" s="3" t="inlineStr">
        <is>
          <t>Departures × transfer hours × support rate</t>
        </is>
      </c>
      <c r="G29" s="3" t="inlineStr">
        <is>
          <t>Provisional</t>
        </is>
      </c>
      <c r="H29" s="3" t="inlineStr">
        <is>
          <t>Added</t>
        </is>
      </c>
      <c r="I29" s="3" t="inlineStr">
        <is>
          <t>Transfer hours excluded from onboarding hours</t>
        </is>
      </c>
      <c r="J29" s="13">
        <f>IF($D$36=0,0,D29/$D$36)</f>
        <v/>
      </c>
      <c r="K29" s="3" t="n"/>
      <c r="L29" s="11" t="n">
        <v>0.5</v>
      </c>
      <c r="M29" s="3" t="inlineStr">
        <is>
          <t>Transfer hours are a benchmark; the blended rate is your salary.</t>
        </is>
      </c>
      <c r="N29" s="11" t="n">
        <v>0</v>
      </c>
      <c r="O29" s="3" t="inlineStr">
        <is>
          <t>Research-Based Estimate (handover practice)</t>
        </is>
      </c>
    </row>
    <row r="30" ht="30" customHeight="1">
      <c r="A30" s="3" t="inlineStr">
        <is>
          <t>Context rediscovery</t>
        </is>
      </c>
      <c r="B30" s="3" t="inlineStr">
        <is>
          <t>Yes</t>
        </is>
      </c>
      <c r="C30" s="24">
        <f>B5*B18*0.7*G6</f>
        <v/>
      </c>
      <c r="D30" s="24">
        <f>B5*B18*G6</f>
        <v/>
      </c>
      <c r="E30" s="24">
        <f>B5*B18*1.3*G6</f>
        <v/>
      </c>
      <c r="F30" s="3" t="inlineStr">
        <is>
          <t>Departures × rediscovery hours × replacement loaded hourly cost</t>
        </is>
      </c>
      <c r="G30" s="3" t="inlineStr">
        <is>
          <t>Provisional</t>
        </is>
      </c>
      <c r="H30" s="3" t="inlineStr">
        <is>
          <t>Added</t>
        </is>
      </c>
      <c r="I30" s="3" t="inlineStr">
        <is>
          <t>Only explicit historical-context work; not whole ramp period</t>
        </is>
      </c>
      <c r="J30" s="13">
        <f>IF($D$36=0,0,D30/$D$36)</f>
        <v/>
      </c>
      <c r="K30" s="3" t="n"/>
      <c r="L30" s="11" t="n">
        <v>0.5</v>
      </c>
      <c r="M30" s="3" t="inlineStr">
        <is>
          <t>Rediscovery hours are a provisional benchmark; the replacement rate is your salary.</t>
        </is>
      </c>
      <c r="N30" s="11" t="n">
        <v>0</v>
      </c>
      <c r="O30" s="3" t="inlineStr">
        <is>
          <t>Research-Based Estimate (APQC / McKinsey)</t>
        </is>
      </c>
    </row>
    <row r="31" ht="15" customHeight="1">
      <c r="A31" s="3" t="inlineStr">
        <is>
          <t>Institutional-memory reconstruction</t>
        </is>
      </c>
      <c r="B31" s="3" t="inlineStr">
        <is>
          <t>Yes</t>
        </is>
      </c>
      <c r="C31" s="24">
        <f>B5*B19*0.7*G8</f>
        <v/>
      </c>
      <c r="D31" s="24">
        <f>B5*B19*G8</f>
        <v/>
      </c>
      <c r="E31" s="24">
        <f>B5*B19*1.3*G8</f>
        <v/>
      </c>
      <c r="F31" s="3" t="inlineStr">
        <is>
          <t>Departures × reconstruction hours × support rate</t>
        </is>
      </c>
      <c r="G31" s="3" t="inlineStr">
        <is>
          <t>Provisional</t>
        </is>
      </c>
      <c r="H31" s="3" t="inlineStr">
        <is>
          <t>Added</t>
        </is>
      </c>
      <c r="I31" s="3" t="inlineStr">
        <is>
          <t>Only coworker/leader recreation hours</t>
        </is>
      </c>
      <c r="J31" s="13">
        <f>IF($D$36=0,0,D31/$D$36)</f>
        <v/>
      </c>
      <c r="K31" s="3" t="n"/>
      <c r="L31" s="11" t="n">
        <v>0.5</v>
      </c>
      <c r="M31" s="3" t="inlineStr">
        <is>
          <t>Reconstruction hours are a provisional benchmark; the blended rate is your salary.</t>
        </is>
      </c>
      <c r="N31" s="11" t="n">
        <v>0</v>
      </c>
      <c r="O31" s="3" t="inlineStr">
        <is>
          <t>Research-Based Estimate (Panopto)</t>
        </is>
      </c>
    </row>
    <row r="32" ht="15" customHeight="1">
      <c r="A32" s="3" t="inlineStr">
        <is>
          <t>Project disruption</t>
        </is>
      </c>
      <c r="B32" s="3" t="inlineStr">
        <is>
          <t>Optional yes</t>
        </is>
      </c>
      <c r="C32" s="24">
        <f>B5*B20*B21*0.7*G8</f>
        <v/>
      </c>
      <c r="D32" s="24">
        <f>B5*B20*B21*G8</f>
        <v/>
      </c>
      <c r="E32" s="24">
        <f>B5*B20*B21*1.3*G8</f>
        <v/>
      </c>
      <c r="F32" s="3" t="inlineStr">
        <is>
          <t>Departures × projects × added team hours × support rate</t>
        </is>
      </c>
      <c r="G32" s="3" t="inlineStr">
        <is>
          <t>Mixed</t>
        </is>
      </c>
      <c r="H32" s="3" t="inlineStr">
        <is>
          <t>Added</t>
        </is>
      </c>
      <c r="I32" s="3" t="inlineStr">
        <is>
          <t>Labor-only; no project-value loss</t>
        </is>
      </c>
      <c r="J32" s="13">
        <f>IF($D$36=0,0,D32/$D$36)</f>
        <v/>
      </c>
      <c r="K32" s="3" t="n"/>
      <c r="L32" s="11" t="n">
        <v>0.35</v>
      </c>
      <c r="M32" s="3" t="inlineStr">
        <is>
          <t>Added hours are a benchmark; project count and rate are org-derived.</t>
        </is>
      </c>
      <c r="N32" s="11" t="n">
        <v>0</v>
      </c>
      <c r="O32" s="3" t="inlineStr">
        <is>
          <t>Research-Based Proxy (cost-of-vacancy / PMI)</t>
        </is>
      </c>
    </row>
    <row r="33" ht="15" customHeight="1">
      <c r="A33" s="3" t="n"/>
      <c r="B33" s="3" t="n"/>
      <c r="C33" s="24" t="n"/>
      <c r="D33" s="24" t="n"/>
      <c r="E33" s="24" t="n"/>
      <c r="F33" s="3" t="n"/>
      <c r="G33" s="3" t="n"/>
      <c r="H33" s="3" t="n"/>
      <c r="I33" s="3" t="n"/>
      <c r="J33" s="3" t="n"/>
      <c r="K33" s="3" t="n"/>
      <c r="L33" s="1" t="n"/>
      <c r="M33" s="1" t="n"/>
    </row>
    <row r="34" ht="15" customHeight="1">
      <c r="A34" s="14" t="inlineStr">
        <is>
          <t>Traditional turnover subtotal</t>
        </is>
      </c>
      <c r="B34" s="14" t="inlineStr">
        <is>
          <t>Subtotal</t>
        </is>
      </c>
      <c r="C34" s="25">
        <f>SUM(C25:C28)</f>
        <v/>
      </c>
      <c r="D34" s="25">
        <f>SUM(D25:D28)</f>
        <v/>
      </c>
      <c r="E34" s="25">
        <f>SUM(E25:E28)</f>
        <v/>
      </c>
      <c r="F34" s="14" t="inlineStr">
        <is>
          <t>Rows 25-28</t>
        </is>
      </c>
      <c r="G34" s="14" t="n"/>
      <c r="H34" s="14" t="n"/>
      <c r="I34" s="14" t="n"/>
      <c r="J34" s="14" t="n"/>
      <c r="K34" s="14" t="n"/>
      <c r="L34" s="1" t="n"/>
      <c r="M34" s="1" t="n"/>
    </row>
    <row r="35" ht="15" customHeight="1">
      <c r="A35" s="14" t="inlineStr">
        <is>
          <t>Knowledge &amp; context subtotal</t>
        </is>
      </c>
      <c r="B35" s="14" t="inlineStr">
        <is>
          <t>Subtotal</t>
        </is>
      </c>
      <c r="C35" s="25">
        <f>SUM(C29:C32)</f>
        <v/>
      </c>
      <c r="D35" s="25">
        <f>SUM(D29:D32)</f>
        <v/>
      </c>
      <c r="E35" s="25">
        <f>SUM(E29:E32)</f>
        <v/>
      </c>
      <c r="F35" s="14" t="inlineStr">
        <is>
          <t>Rows 29-32</t>
        </is>
      </c>
      <c r="G35" s="14" t="n"/>
      <c r="H35" s="14" t="n"/>
      <c r="I35" s="14" t="n"/>
      <c r="J35" s="14" t="n"/>
      <c r="K35" s="14" t="n"/>
      <c r="L35" s="1" t="n"/>
      <c r="M35" s="1" t="n"/>
    </row>
    <row r="36" ht="15" customHeight="1">
      <c r="A36" s="14" t="inlineStr">
        <is>
          <t>Estimated total cost</t>
        </is>
      </c>
      <c r="B36" s="14" t="inlineStr">
        <is>
          <t>Total</t>
        </is>
      </c>
      <c r="C36" s="25">
        <f>SUM(C25:C32)</f>
        <v/>
      </c>
      <c r="D36" s="25">
        <f>SUM(D25:D32)</f>
        <v/>
      </c>
      <c r="E36" s="25">
        <f>SUM(E25:E32)</f>
        <v/>
      </c>
      <c r="F36" s="14" t="inlineStr">
        <is>
          <t>Rows 25-32</t>
        </is>
      </c>
      <c r="G36" s="14" t="n"/>
      <c r="H36" s="14" t="n"/>
      <c r="I36" s="14" t="n"/>
      <c r="J36" s="14" t="n"/>
      <c r="K36" s="14" t="n"/>
      <c r="L36" s="1" t="n"/>
      <c r="M36" s="1" t="n"/>
    </row>
    <row r="37" ht="15" customHeight="1">
      <c r="A37" s="1" t="n"/>
      <c r="B37" s="1" t="n"/>
      <c r="C37" s="1" t="n"/>
      <c r="D37" s="1" t="n"/>
      <c r="E37" s="1" t="n"/>
      <c r="F37" s="1" t="n"/>
      <c r="G37" s="1" t="n"/>
      <c r="H37" s="1" t="n"/>
      <c r="I37" s="1" t="n"/>
      <c r="J37" s="1" t="n"/>
      <c r="K37" s="1" t="n"/>
      <c r="L37" s="1" t="n"/>
      <c r="M37" s="1" t="n"/>
    </row>
    <row r="38" ht="15" customHeight="1">
      <c r="A38" s="4" t="inlineStr">
        <is>
          <t>Credibility flags to resolve before launch</t>
        </is>
      </c>
      <c r="J38" s="1" t="n"/>
      <c r="K38" s="1" t="n"/>
      <c r="L38" s="1" t="n"/>
      <c r="M38" s="1" t="n"/>
    </row>
    <row r="39" ht="15" customHeight="1">
      <c r="A39" s="26" t="inlineStr">
        <is>
          <t>1. Ramp-up vs context rediscovery overlap</t>
        </is>
      </c>
      <c r="J39" s="1" t="n"/>
      <c r="K39" s="1" t="n"/>
      <c r="L39" s="1" t="n"/>
      <c r="M39" s="1" t="n"/>
    </row>
    <row r="40" ht="46" customHeight="1">
      <c r="A40" s="3" t="inlineStr">
        <is>
          <t>Ramp-up already prices reduced productivity across the whole ramp window. Context rediscovery must be counted ONLY as hours that are (a) incremental to the normal ramp curve and (b) not already inside that window, or the two double-count. This is the single most challengeable line for a CFO. Calibrate the boundary before launch.</t>
        </is>
      </c>
      <c r="J40" s="1" t="n"/>
      <c r="K40" s="1" t="n"/>
      <c r="L40" s="1" t="n"/>
      <c r="M40" s="1" t="n"/>
    </row>
    <row r="41" ht="15" customHeight="1">
      <c r="A41" s="26" t="inlineStr">
        <is>
          <t>2. Provisional drivers dominate the result</t>
        </is>
      </c>
      <c r="J41" s="1" t="n"/>
      <c r="K41" s="1" t="n"/>
      <c r="L41" s="1" t="n"/>
      <c r="M41" s="1" t="n"/>
    </row>
    <row r="42" ht="46" customHeight="1">
      <c r="A42" s="3" t="inlineStr">
        <is>
          <t>Most drivers are still research-based estimates, not user-confirmed values. Present a range, not a single figure, until the user reviews the assumptions.</t>
        </is>
      </c>
      <c r="J42" s="1" t="n"/>
      <c r="K42" s="1" t="n"/>
      <c r="L42" s="1" t="n"/>
      <c r="M42" s="1" t="n"/>
    </row>
    <row r="43" ht="15" customHeight="1">
      <c r="A43" s="26" t="inlineStr">
        <is>
          <t>3. Vacancy uncovered-work % is an assumption, not a benchmark</t>
        </is>
      </c>
      <c r="J43" s="1" t="n"/>
      <c r="K43" s="1" t="n"/>
      <c r="L43" s="1" t="n"/>
      <c r="M43" s="1" t="n"/>
    </row>
    <row r="44" ht="46" customHeight="1">
      <c r="A44" s="3" t="inlineStr">
        <is>
          <t>The 50% uncovered default is a model assumption. Label it clearly and let the user set it; never present it as sourced.</t>
        </is>
      </c>
      <c r="J44" s="1" t="n"/>
      <c r="K44" s="1" t="n"/>
      <c r="L44" s="1" t="n"/>
      <c r="M44" s="1" t="n"/>
    </row>
    <row r="45" ht="15" customHeight="1">
      <c r="A45" s="26" t="inlineStr">
        <is>
          <t>4. "Estimate Built Using" shows composition, not accuracy</t>
        </is>
      </c>
      <c r="J45" s="1" t="n"/>
      <c r="K45" s="1" t="n"/>
      <c r="L45" s="1" t="n"/>
      <c r="M45" s="1" t="n"/>
    </row>
    <row r="46" ht="46" customHeight="1">
      <c r="A46" s="3" t="inlineStr">
        <is>
          <t>It reports how the estimate was constructed (published vs research-based vs your inputs). A large research-based share means "more derived," never "more correct." Keep that disclaimer.</t>
        </is>
      </c>
      <c r="J46" s="1" t="n"/>
      <c r="K46" s="1" t="n"/>
      <c r="L46" s="1" t="n"/>
      <c r="M46" s="1" t="n"/>
    </row>
    <row r="47" ht="15" customHeight="1">
      <c r="A47" s="1" t="n"/>
      <c r="B47" s="1" t="n"/>
      <c r="C47" s="1" t="n"/>
      <c r="D47" s="1" t="n"/>
      <c r="E47" s="1" t="n"/>
      <c r="F47" s="1" t="n"/>
      <c r="G47" s="1" t="n"/>
      <c r="H47" s="1" t="n"/>
      <c r="I47" s="1" t="n"/>
      <c r="J47" s="1" t="n"/>
      <c r="K47" s="1" t="n"/>
      <c r="L47" s="1" t="n"/>
      <c r="M47" s="1" t="n"/>
    </row>
    <row r="48" ht="15" customHeight="1">
      <c r="A48" s="32" t="inlineStr">
        <is>
          <t>INTERNAL ONLY - not shown to users: default tracking</t>
        </is>
      </c>
      <c r="J48" s="1" t="n"/>
      <c r="K48" s="1" t="n"/>
      <c r="L48" s="1" t="n"/>
      <c r="M48" s="1" t="n"/>
    </row>
    <row r="49" ht="15" customHeight="1">
      <c r="A49" s="33" t="inlineStr">
        <is>
          <t>3-4 inputs customized in this sample (departures, salary, blended rate, affected projects).</t>
        </is>
      </c>
      <c r="J49" s="1" t="n"/>
      <c r="K49" s="1" t="n"/>
      <c r="L49" s="1" t="n"/>
      <c r="M49" s="1" t="n"/>
    </row>
    <row r="50" ht="15" customHeight="1">
      <c r="A50" s="33" t="inlineStr">
        <is>
          <t>13 benchmark assumptions still using recommended defaults.</t>
        </is>
      </c>
      <c r="J50" s="1" t="n"/>
      <c r="K50" s="1" t="n"/>
      <c r="L50" s="1" t="n"/>
      <c r="M50" s="1" t="n"/>
    </row>
    <row r="51" ht="15" customHeight="1">
      <c r="A51" s="33" t="inlineStr">
        <is>
          <t>Use: internal product signal only (a count of Editable Assumptions Not Customized). Never surface to users as confidence, accuracy, estimate quality, or composition - those are different concepts.</t>
        </is>
      </c>
      <c r="J51" s="1" t="n"/>
      <c r="K51" s="1" t="n"/>
      <c r="L51" s="1" t="n"/>
      <c r="M51" s="1" t="n"/>
    </row>
    <row r="52" ht="15" customHeight="1">
      <c r="A52" s="1" t="n"/>
      <c r="B52" s="1" t="n"/>
      <c r="C52" s="1" t="n"/>
      <c r="D52" s="1" t="n"/>
      <c r="E52" s="1" t="n"/>
      <c r="F52" s="1" t="n"/>
      <c r="G52" s="1" t="n"/>
      <c r="H52" s="1" t="n"/>
      <c r="I52" s="1" t="n"/>
      <c r="J52" s="1" t="n"/>
      <c r="K52" s="1" t="n"/>
      <c r="L52" s="1" t="n"/>
      <c r="M52" s="1" t="n"/>
    </row>
    <row r="53" ht="15" customHeight="1">
      <c r="A53" s="1" t="n"/>
      <c r="B53" s="1" t="n"/>
      <c r="C53" s="1" t="n"/>
      <c r="D53" s="1" t="n"/>
      <c r="E53" s="1" t="n"/>
      <c r="F53" s="1" t="n"/>
      <c r="G53" s="1" t="n"/>
      <c r="H53" s="1" t="n"/>
      <c r="I53" s="1" t="n"/>
      <c r="J53" s="1" t="n"/>
      <c r="K53" s="1" t="n"/>
      <c r="L53" s="1" t="n"/>
      <c r="M53" s="1" t="n"/>
    </row>
    <row r="54" ht="15" customHeight="1">
      <c r="A54" s="1" t="n"/>
      <c r="B54" s="1" t="n"/>
      <c r="C54" s="1" t="n"/>
      <c r="D54" s="1" t="n"/>
      <c r="E54" s="1" t="n"/>
      <c r="F54" s="1" t="n"/>
      <c r="G54" s="1" t="n"/>
      <c r="H54" s="1" t="n"/>
      <c r="I54" s="1" t="n"/>
      <c r="J54" s="1" t="n"/>
      <c r="K54" s="1" t="n"/>
      <c r="L54" s="1" t="n"/>
      <c r="M54" s="1" t="n"/>
    </row>
    <row r="55" ht="15" customHeight="1">
      <c r="A55" s="1" t="n"/>
      <c r="B55" s="1" t="n"/>
      <c r="C55" s="1" t="n"/>
      <c r="D55" s="1" t="n"/>
      <c r="E55" s="1" t="n"/>
      <c r="F55" s="1" t="n"/>
      <c r="G55" s="1" t="n"/>
      <c r="H55" s="1" t="n"/>
      <c r="I55" s="1" t="n"/>
      <c r="J55" s="1" t="n"/>
      <c r="K55" s="1" t="n"/>
      <c r="L55" s="1" t="n"/>
      <c r="M55" s="1" t="n"/>
    </row>
    <row r="56" ht="15" customHeight="1">
      <c r="A56" s="1" t="n"/>
      <c r="B56" s="1" t="n"/>
      <c r="C56" s="1" t="n"/>
      <c r="D56" s="1" t="n"/>
      <c r="E56" s="1" t="n"/>
      <c r="F56" s="1" t="n"/>
      <c r="G56" s="1" t="n"/>
      <c r="H56" s="1" t="n"/>
      <c r="I56" s="1" t="n"/>
      <c r="J56" s="1" t="n"/>
      <c r="K56" s="1" t="n"/>
      <c r="L56" s="1" t="n"/>
      <c r="M56" s="1" t="n"/>
    </row>
    <row r="57" ht="15" customHeight="1">
      <c r="A57" s="1" t="n"/>
      <c r="B57" s="1" t="n"/>
      <c r="C57" s="1" t="n"/>
      <c r="D57" s="1" t="n"/>
      <c r="E57" s="1" t="n"/>
      <c r="F57" s="1" t="n"/>
      <c r="G57" s="1" t="n"/>
      <c r="H57" s="1" t="n"/>
      <c r="I57" s="1" t="n"/>
      <c r="J57" s="1" t="n"/>
      <c r="K57" s="1" t="n"/>
      <c r="L57" s="1" t="n"/>
      <c r="M57" s="1" t="n"/>
    </row>
    <row r="58" ht="15" customHeight="1">
      <c r="A58" s="1" t="n"/>
      <c r="B58" s="1" t="n"/>
      <c r="C58" s="1" t="n"/>
      <c r="D58" s="1" t="n"/>
      <c r="E58" s="1" t="n"/>
      <c r="F58" s="1" t="n"/>
      <c r="G58" s="1" t="n"/>
      <c r="H58" s="1" t="n"/>
      <c r="I58" s="1" t="n"/>
      <c r="J58" s="1" t="n"/>
      <c r="K58" s="1" t="n"/>
      <c r="L58" s="1" t="n"/>
      <c r="M58" s="1" t="n"/>
    </row>
    <row r="59" ht="15" customHeight="1">
      <c r="A59" s="1" t="n"/>
      <c r="B59" s="1" t="n"/>
      <c r="C59" s="1" t="n"/>
      <c r="D59" s="1" t="n"/>
      <c r="E59" s="1" t="n"/>
      <c r="F59" s="1" t="n"/>
      <c r="G59" s="1" t="n"/>
      <c r="H59" s="1" t="n"/>
      <c r="I59" s="1" t="n"/>
      <c r="J59" s="1" t="n"/>
      <c r="K59" s="1" t="n"/>
      <c r="L59" s="1" t="n"/>
      <c r="M59" s="1" t="n"/>
    </row>
    <row r="60" ht="15" customHeight="1">
      <c r="A60" s="1" t="n"/>
      <c r="B60" s="1" t="n"/>
      <c r="C60" s="1" t="n"/>
      <c r="D60" s="1" t="n"/>
      <c r="E60" s="1" t="n"/>
      <c r="F60" s="1" t="n"/>
      <c r="G60" s="1" t="n"/>
      <c r="H60" s="1" t="n"/>
      <c r="I60" s="1" t="n"/>
      <c r="J60" s="1" t="n"/>
      <c r="K60" s="1" t="n"/>
      <c r="L60" s="1" t="n"/>
      <c r="M60" s="1" t="n"/>
    </row>
    <row r="61" ht="15" customHeight="1">
      <c r="A61" s="1" t="n"/>
      <c r="B61" s="1" t="n"/>
      <c r="C61" s="1" t="n"/>
      <c r="D61" s="1" t="n"/>
      <c r="E61" s="1" t="n"/>
      <c r="F61" s="1" t="n"/>
      <c r="G61" s="1" t="n"/>
      <c r="H61" s="1" t="n"/>
      <c r="I61" s="1" t="n"/>
      <c r="J61" s="1" t="n"/>
      <c r="K61" s="1" t="n"/>
      <c r="L61" s="1" t="n"/>
      <c r="M61" s="1" t="n"/>
    </row>
    <row r="62" ht="15" customHeight="1">
      <c r="A62" s="1" t="n"/>
      <c r="B62" s="1" t="n"/>
      <c r="C62" s="1" t="n"/>
      <c r="D62" s="1" t="n"/>
      <c r="E62" s="1" t="n"/>
      <c r="F62" s="1" t="n"/>
      <c r="G62" s="1" t="n"/>
      <c r="H62" s="1" t="n"/>
      <c r="I62" s="1" t="n"/>
      <c r="J62" s="1" t="n"/>
      <c r="K62" s="1" t="n"/>
      <c r="L62" s="1" t="n"/>
      <c r="M62" s="1" t="n"/>
    </row>
    <row r="63" ht="15" customHeight="1">
      <c r="A63" s="1" t="n"/>
      <c r="B63" s="1" t="n"/>
      <c r="C63" s="1" t="n"/>
      <c r="D63" s="1" t="n"/>
      <c r="E63" s="1" t="n"/>
      <c r="F63" s="1" t="n"/>
      <c r="G63" s="1" t="n"/>
      <c r="H63" s="1" t="n"/>
      <c r="I63" s="1" t="n"/>
      <c r="J63" s="1" t="n"/>
      <c r="K63" s="1" t="n"/>
      <c r="L63" s="1" t="n"/>
      <c r="M63" s="1" t="n"/>
    </row>
    <row r="64" ht="15" customHeight="1">
      <c r="A64" s="1" t="n"/>
      <c r="B64" s="1" t="n"/>
      <c r="C64" s="1" t="n"/>
      <c r="D64" s="1" t="n"/>
      <c r="E64" s="1" t="n"/>
      <c r="F64" s="1" t="n"/>
      <c r="G64" s="1" t="n"/>
      <c r="H64" s="1" t="n"/>
      <c r="I64" s="1" t="n"/>
      <c r="J64" s="1" t="n"/>
      <c r="K64" s="1" t="n"/>
      <c r="L64" s="1" t="n"/>
      <c r="M64" s="1" t="n"/>
    </row>
    <row r="65" ht="15" customHeight="1">
      <c r="A65" s="1" t="n"/>
      <c r="B65" s="1" t="n"/>
      <c r="C65" s="1" t="n"/>
      <c r="D65" s="1" t="n"/>
      <c r="E65" s="1" t="n"/>
      <c r="F65" s="1" t="n"/>
      <c r="G65" s="1" t="n"/>
      <c r="H65" s="1" t="n"/>
      <c r="I65" s="1" t="n"/>
      <c r="J65" s="1" t="n"/>
      <c r="K65" s="1" t="n"/>
      <c r="L65" s="1" t="n"/>
      <c r="M65" s="1" t="n"/>
    </row>
    <row r="66" ht="15" customHeight="1">
      <c r="A66" s="1" t="n"/>
      <c r="B66" s="1" t="n"/>
      <c r="C66" s="1" t="n"/>
      <c r="D66" s="1" t="n"/>
      <c r="E66" s="1" t="n"/>
      <c r="F66" s="1" t="n"/>
      <c r="G66" s="1" t="n"/>
      <c r="H66" s="1" t="n"/>
      <c r="I66" s="1" t="n"/>
      <c r="J66" s="1" t="n"/>
      <c r="K66" s="1" t="n"/>
      <c r="L66" s="1" t="n"/>
      <c r="M66" s="1" t="n"/>
    </row>
    <row r="67" ht="15" customHeight="1">
      <c r="A67" s="1" t="n"/>
      <c r="B67" s="1" t="n"/>
      <c r="C67" s="1" t="n"/>
      <c r="D67" s="1" t="n"/>
      <c r="E67" s="1" t="n"/>
      <c r="F67" s="1" t="n"/>
      <c r="G67" s="1" t="n"/>
      <c r="H67" s="1" t="n"/>
      <c r="I67" s="1" t="n"/>
      <c r="J67" s="1" t="n"/>
      <c r="K67" s="1" t="n"/>
      <c r="L67" s="1" t="n"/>
      <c r="M67" s="1" t="n"/>
    </row>
    <row r="68" ht="15" customHeight="1">
      <c r="A68" s="1" t="n"/>
      <c r="B68" s="1" t="n"/>
      <c r="C68" s="1" t="n"/>
      <c r="D68" s="1" t="n"/>
      <c r="E68" s="1" t="n"/>
      <c r="F68" s="1" t="n"/>
      <c r="G68" s="1" t="n"/>
      <c r="H68" s="1" t="n"/>
      <c r="I68" s="1" t="n"/>
      <c r="J68" s="1" t="n"/>
      <c r="K68" s="1" t="n"/>
      <c r="L68" s="1" t="n"/>
      <c r="M68" s="1" t="n"/>
    </row>
    <row r="69" ht="15" customHeight="1">
      <c r="A69" s="1" t="n"/>
      <c r="B69" s="1" t="n"/>
      <c r="C69" s="1" t="n"/>
      <c r="D69" s="1" t="n"/>
      <c r="E69" s="1" t="n"/>
      <c r="F69" s="1" t="n"/>
      <c r="G69" s="1" t="n"/>
      <c r="H69" s="1" t="n"/>
      <c r="I69" s="1" t="n"/>
      <c r="J69" s="1" t="n"/>
      <c r="K69" s="1" t="n"/>
      <c r="L69" s="1" t="n"/>
      <c r="M69" s="1" t="n"/>
    </row>
    <row r="70" ht="15" customHeight="1">
      <c r="A70" s="1" t="n"/>
      <c r="B70" s="1" t="n"/>
      <c r="C70" s="1" t="n"/>
      <c r="D70" s="1" t="n"/>
      <c r="E70" s="1" t="n"/>
      <c r="F70" s="1" t="n"/>
      <c r="G70" s="1" t="n"/>
      <c r="H70" s="1" t="n"/>
      <c r="I70" s="1" t="n"/>
      <c r="J70" s="1" t="n"/>
      <c r="K70" s="1" t="n"/>
      <c r="L70" s="1" t="n"/>
      <c r="M70" s="1" t="n"/>
    </row>
    <row r="71" ht="15" customHeight="1">
      <c r="A71" s="1" t="n"/>
      <c r="B71" s="1" t="n"/>
      <c r="C71" s="1" t="n"/>
      <c r="D71" s="1" t="n"/>
      <c r="E71" s="1" t="n"/>
      <c r="F71" s="1" t="n"/>
      <c r="G71" s="1" t="n"/>
      <c r="H71" s="1" t="n"/>
      <c r="I71" s="1" t="n"/>
      <c r="J71" s="1" t="n"/>
      <c r="K71" s="1" t="n"/>
      <c r="L71" s="1" t="n"/>
      <c r="M71" s="1" t="n"/>
    </row>
    <row r="72" ht="15" customHeight="1">
      <c r="A72" s="1" t="n"/>
      <c r="B72" s="1" t="n"/>
      <c r="C72" s="1" t="n"/>
      <c r="D72" s="1" t="n"/>
      <c r="E72" s="1" t="n"/>
      <c r="F72" s="1" t="n"/>
      <c r="G72" s="1" t="n"/>
      <c r="H72" s="1" t="n"/>
      <c r="I72" s="1" t="n"/>
      <c r="J72" s="1" t="n"/>
      <c r="K72" s="1" t="n"/>
      <c r="L72" s="1" t="n"/>
      <c r="M72" s="1" t="n"/>
    </row>
    <row r="73" ht="15" customHeight="1">
      <c r="A73" s="1" t="n"/>
      <c r="B73" s="1" t="n"/>
      <c r="C73" s="1" t="n"/>
      <c r="D73" s="1" t="n"/>
      <c r="E73" s="1" t="n"/>
      <c r="F73" s="1" t="n"/>
      <c r="G73" s="1" t="n"/>
      <c r="H73" s="1" t="n"/>
      <c r="I73" s="1" t="n"/>
      <c r="J73" s="1" t="n"/>
      <c r="K73" s="1" t="n"/>
      <c r="L73" s="1" t="n"/>
      <c r="M73" s="1" t="n"/>
    </row>
    <row r="74" ht="15" customHeight="1">
      <c r="A74" s="1" t="n"/>
      <c r="B74" s="1" t="n"/>
      <c r="C74" s="1" t="n"/>
      <c r="D74" s="1" t="n"/>
      <c r="E74" s="1" t="n"/>
      <c r="F74" s="1" t="n"/>
      <c r="G74" s="1" t="n"/>
      <c r="H74" s="1" t="n"/>
      <c r="I74" s="1" t="n"/>
      <c r="J74" s="1" t="n"/>
      <c r="K74" s="1" t="n"/>
      <c r="L74" s="1" t="n"/>
      <c r="M74" s="1" t="n"/>
    </row>
    <row r="75" ht="15" customHeight="1">
      <c r="A75" s="1" t="n"/>
      <c r="B75" s="1" t="n"/>
      <c r="C75" s="1" t="n"/>
      <c r="D75" s="1" t="n"/>
      <c r="E75" s="1" t="n"/>
      <c r="F75" s="1" t="n"/>
      <c r="G75" s="1" t="n"/>
      <c r="H75" s="1" t="n"/>
      <c r="I75" s="1" t="n"/>
      <c r="J75" s="1" t="n"/>
      <c r="K75" s="1" t="n"/>
      <c r="L75" s="1" t="n"/>
      <c r="M75" s="1" t="n"/>
    </row>
    <row r="76" ht="15" customHeight="1">
      <c r="A76" s="1" t="n"/>
      <c r="B76" s="1" t="n"/>
      <c r="C76" s="1" t="n"/>
      <c r="D76" s="1" t="n"/>
      <c r="E76" s="1" t="n"/>
      <c r="F76" s="1" t="n"/>
      <c r="G76" s="1" t="n"/>
      <c r="H76" s="1" t="n"/>
      <c r="I76" s="1" t="n"/>
      <c r="J76" s="1" t="n"/>
      <c r="K76" s="1" t="n"/>
      <c r="L76" s="1" t="n"/>
      <c r="M76" s="1" t="n"/>
    </row>
    <row r="77" ht="15" customHeight="1">
      <c r="A77" s="1" t="n"/>
      <c r="B77" s="1" t="n"/>
      <c r="C77" s="1" t="n"/>
      <c r="D77" s="1" t="n"/>
      <c r="E77" s="1" t="n"/>
      <c r="F77" s="1" t="n"/>
      <c r="G77" s="1" t="n"/>
      <c r="H77" s="1" t="n"/>
      <c r="I77" s="1" t="n"/>
      <c r="J77" s="1" t="n"/>
      <c r="K77" s="1" t="n"/>
      <c r="L77" s="1" t="n"/>
      <c r="M77" s="1" t="n"/>
    </row>
    <row r="78" ht="15" customHeight="1">
      <c r="A78" s="1" t="n"/>
      <c r="B78" s="1" t="n"/>
      <c r="C78" s="1" t="n"/>
      <c r="D78" s="1" t="n"/>
      <c r="E78" s="1" t="n"/>
      <c r="F78" s="1" t="n"/>
      <c r="G78" s="1" t="n"/>
      <c r="H78" s="1" t="n"/>
      <c r="I78" s="1" t="n"/>
      <c r="J78" s="1" t="n"/>
      <c r="K78" s="1" t="n"/>
      <c r="L78" s="1" t="n"/>
      <c r="M78" s="1" t="n"/>
    </row>
    <row r="79" ht="15" customHeight="1">
      <c r="A79" s="1" t="n"/>
      <c r="B79" s="1" t="n"/>
      <c r="C79" s="1" t="n"/>
      <c r="D79" s="1" t="n"/>
      <c r="E79" s="1" t="n"/>
      <c r="F79" s="1" t="n"/>
      <c r="G79" s="1" t="n"/>
      <c r="H79" s="1" t="n"/>
      <c r="I79" s="1" t="n"/>
      <c r="J79" s="1" t="n"/>
      <c r="K79" s="1" t="n"/>
      <c r="L79" s="1" t="n"/>
      <c r="M79" s="1" t="n"/>
    </row>
    <row r="80" ht="15" customHeight="1">
      <c r="A80" s="1" t="n"/>
      <c r="B80" s="1" t="n"/>
      <c r="C80" s="1" t="n"/>
      <c r="D80" s="1" t="n"/>
      <c r="E80" s="1" t="n"/>
      <c r="F80" s="1" t="n"/>
      <c r="G80" s="1" t="n"/>
      <c r="H80" s="1" t="n"/>
      <c r="I80" s="1" t="n"/>
      <c r="J80" s="1" t="n"/>
      <c r="K80" s="1" t="n"/>
      <c r="L80" s="1" t="n"/>
      <c r="M80" s="1" t="n"/>
    </row>
    <row r="81" ht="15" customHeight="1">
      <c r="A81" s="1" t="n"/>
      <c r="B81" s="1" t="n"/>
      <c r="C81" s="1" t="n"/>
      <c r="D81" s="1" t="n"/>
      <c r="E81" s="1" t="n"/>
      <c r="F81" s="1" t="n"/>
      <c r="G81" s="1" t="n"/>
      <c r="H81" s="1" t="n"/>
      <c r="I81" s="1" t="n"/>
      <c r="J81" s="1" t="n"/>
      <c r="K81" s="1" t="n"/>
      <c r="L81" s="1" t="n"/>
      <c r="M81" s="1" t="n"/>
    </row>
    <row r="82" ht="15" customHeight="1">
      <c r="A82" s="1" t="n"/>
      <c r="B82" s="1" t="n"/>
      <c r="C82" s="1" t="n"/>
      <c r="D82" s="1" t="n"/>
      <c r="E82" s="1" t="n"/>
      <c r="F82" s="1" t="n"/>
      <c r="G82" s="1" t="n"/>
      <c r="H82" s="1" t="n"/>
      <c r="I82" s="1" t="n"/>
      <c r="J82" s="1" t="n"/>
      <c r="K82" s="1" t="n"/>
      <c r="L82" s="1" t="n"/>
      <c r="M82" s="1" t="n"/>
    </row>
    <row r="83" ht="15" customHeight="1">
      <c r="A83" s="1" t="n"/>
      <c r="B83" s="1" t="n"/>
      <c r="C83" s="1" t="n"/>
      <c r="D83" s="1" t="n"/>
      <c r="E83" s="1" t="n"/>
      <c r="F83" s="1" t="n"/>
      <c r="G83" s="1" t="n"/>
      <c r="H83" s="1" t="n"/>
      <c r="I83" s="1" t="n"/>
      <c r="J83" s="1" t="n"/>
      <c r="K83" s="1" t="n"/>
      <c r="L83" s="1" t="n"/>
      <c r="M83" s="1" t="n"/>
    </row>
    <row r="84" ht="15" customHeight="1">
      <c r="A84" s="1" t="n"/>
      <c r="B84" s="1" t="n"/>
      <c r="C84" s="1" t="n"/>
      <c r="D84" s="1" t="n"/>
      <c r="E84" s="1" t="n"/>
      <c r="F84" s="1" t="n"/>
      <c r="G84" s="1" t="n"/>
      <c r="H84" s="1" t="n"/>
      <c r="I84" s="1" t="n"/>
      <c r="J84" s="1" t="n"/>
      <c r="K84" s="1" t="n"/>
      <c r="L84" s="1" t="n"/>
      <c r="M84" s="1" t="n"/>
    </row>
    <row r="85" ht="15" customHeight="1">
      <c r="A85" s="1" t="n"/>
      <c r="B85" s="1" t="n"/>
      <c r="C85" s="1" t="n"/>
      <c r="D85" s="1" t="n"/>
      <c r="E85" s="1" t="n"/>
      <c r="F85" s="1" t="n"/>
      <c r="G85" s="1" t="n"/>
      <c r="H85" s="1" t="n"/>
      <c r="I85" s="1" t="n"/>
      <c r="J85" s="1" t="n"/>
      <c r="K85" s="1" t="n"/>
      <c r="L85" s="1" t="n"/>
      <c r="M85" s="1" t="n"/>
    </row>
    <row r="86" ht="15" customHeight="1">
      <c r="A86" s="1" t="n"/>
      <c r="B86" s="1" t="n"/>
      <c r="C86" s="1" t="n"/>
      <c r="D86" s="1" t="n"/>
      <c r="E86" s="1" t="n"/>
      <c r="F86" s="1" t="n"/>
      <c r="G86" s="1" t="n"/>
      <c r="H86" s="1" t="n"/>
      <c r="I86" s="1" t="n"/>
      <c r="J86" s="1" t="n"/>
      <c r="K86" s="1" t="n"/>
      <c r="L86" s="1" t="n"/>
      <c r="M86" s="1" t="n"/>
    </row>
    <row r="87" ht="15" customHeight="1">
      <c r="A87" s="1" t="n"/>
      <c r="B87" s="1" t="n"/>
      <c r="C87" s="1" t="n"/>
      <c r="D87" s="1" t="n"/>
      <c r="E87" s="1" t="n"/>
      <c r="F87" s="1" t="n"/>
      <c r="G87" s="1" t="n"/>
      <c r="H87" s="1" t="n"/>
      <c r="I87" s="1" t="n"/>
      <c r="J87" s="1" t="n"/>
      <c r="K87" s="1" t="n"/>
      <c r="L87" s="1" t="n"/>
      <c r="M87" s="1" t="n"/>
    </row>
    <row r="88" ht="15" customHeight="1">
      <c r="A88" s="1" t="n"/>
      <c r="B88" s="1" t="n"/>
      <c r="C88" s="1" t="n"/>
      <c r="D88" s="1" t="n"/>
      <c r="E88" s="1" t="n"/>
      <c r="F88" s="1" t="n"/>
      <c r="G88" s="1" t="n"/>
      <c r="H88" s="1" t="n"/>
      <c r="I88" s="1" t="n"/>
      <c r="J88" s="1" t="n"/>
      <c r="K88" s="1" t="n"/>
      <c r="L88" s="1" t="n"/>
      <c r="M88" s="1" t="n"/>
    </row>
    <row r="89" ht="15" customHeight="1">
      <c r="A89" s="1" t="n"/>
      <c r="B89" s="1" t="n"/>
      <c r="C89" s="1" t="n"/>
      <c r="D89" s="1" t="n"/>
      <c r="E89" s="1" t="n"/>
      <c r="F89" s="1" t="n"/>
      <c r="G89" s="1" t="n"/>
      <c r="H89" s="1" t="n"/>
      <c r="I89" s="1" t="n"/>
      <c r="J89" s="1" t="n"/>
      <c r="K89" s="1" t="n"/>
      <c r="L89" s="1" t="n"/>
      <c r="M89" s="1" t="n"/>
    </row>
    <row r="90" ht="15" customHeight="1">
      <c r="A90" s="1" t="n"/>
      <c r="B90" s="1" t="n"/>
      <c r="C90" s="1" t="n"/>
      <c r="D90" s="1" t="n"/>
      <c r="E90" s="1" t="n"/>
      <c r="F90" s="1" t="n"/>
      <c r="G90" s="1" t="n"/>
      <c r="H90" s="1" t="n"/>
      <c r="I90" s="1" t="n"/>
      <c r="J90" s="1" t="n"/>
      <c r="K90" s="1" t="n"/>
      <c r="L90" s="1" t="n"/>
      <c r="M90" s="1" t="n"/>
    </row>
    <row r="91" ht="15" customHeight="1">
      <c r="A91" s="1" t="n"/>
      <c r="B91" s="1" t="n"/>
      <c r="C91" s="1" t="n"/>
      <c r="D91" s="1" t="n"/>
      <c r="E91" s="1" t="n"/>
      <c r="F91" s="1" t="n"/>
      <c r="G91" s="1" t="n"/>
      <c r="H91" s="1" t="n"/>
      <c r="I91" s="1" t="n"/>
      <c r="J91" s="1" t="n"/>
      <c r="K91" s="1" t="n"/>
      <c r="L91" s="1" t="n"/>
      <c r="M91" s="1" t="n"/>
    </row>
    <row r="92" ht="15" customHeight="1">
      <c r="A92" s="1" t="n"/>
      <c r="B92" s="1" t="n"/>
      <c r="C92" s="1" t="n"/>
      <c r="D92" s="1" t="n"/>
      <c r="E92" s="1" t="n"/>
      <c r="F92" s="1" t="n"/>
      <c r="G92" s="1" t="n"/>
      <c r="H92" s="1" t="n"/>
      <c r="I92" s="1" t="n"/>
      <c r="J92" s="1" t="n"/>
      <c r="K92" s="1" t="n"/>
      <c r="L92" s="1" t="n"/>
      <c r="M92" s="1" t="n"/>
    </row>
    <row r="93" ht="15" customHeight="1">
      <c r="A93" s="1" t="n"/>
      <c r="B93" s="1" t="n"/>
      <c r="C93" s="1" t="n"/>
      <c r="D93" s="1" t="n"/>
      <c r="E93" s="1" t="n"/>
      <c r="F93" s="1" t="n"/>
      <c r="G93" s="1" t="n"/>
      <c r="H93" s="1" t="n"/>
      <c r="I93" s="1" t="n"/>
      <c r="J93" s="1" t="n"/>
      <c r="K93" s="1" t="n"/>
      <c r="L93" s="1" t="n"/>
      <c r="M93" s="1" t="n"/>
    </row>
    <row r="94" ht="15" customHeight="1">
      <c r="A94" s="1" t="n"/>
      <c r="B94" s="1" t="n"/>
      <c r="C94" s="1" t="n"/>
      <c r="D94" s="1" t="n"/>
      <c r="E94" s="1" t="n"/>
      <c r="F94" s="1" t="n"/>
      <c r="G94" s="1" t="n"/>
      <c r="H94" s="1" t="n"/>
      <c r="I94" s="1" t="n"/>
      <c r="J94" s="1" t="n"/>
      <c r="K94" s="1" t="n"/>
      <c r="L94" s="1" t="n"/>
      <c r="M94" s="1" t="n"/>
    </row>
    <row r="95" ht="15" customHeight="1">
      <c r="A95" s="1" t="n"/>
      <c r="B95" s="1" t="n"/>
      <c r="C95" s="1" t="n"/>
      <c r="D95" s="1" t="n"/>
      <c r="E95" s="1" t="n"/>
      <c r="F95" s="1" t="n"/>
      <c r="G95" s="1" t="n"/>
      <c r="H95" s="1" t="n"/>
      <c r="I95" s="1" t="n"/>
      <c r="J95" s="1" t="n"/>
      <c r="K95" s="1" t="n"/>
      <c r="L95" s="1" t="n"/>
      <c r="M95" s="1" t="n"/>
    </row>
    <row r="96" ht="15" customHeight="1">
      <c r="A96" s="1" t="n"/>
      <c r="B96" s="1" t="n"/>
      <c r="C96" s="1" t="n"/>
      <c r="D96" s="1" t="n"/>
      <c r="E96" s="1" t="n"/>
      <c r="F96" s="1" t="n"/>
      <c r="G96" s="1" t="n"/>
      <c r="H96" s="1" t="n"/>
      <c r="I96" s="1" t="n"/>
      <c r="J96" s="1" t="n"/>
      <c r="K96" s="1" t="n"/>
      <c r="L96" s="1" t="n"/>
      <c r="M96" s="1" t="n"/>
    </row>
    <row r="97" ht="15" customHeight="1">
      <c r="A97" s="1" t="n"/>
      <c r="B97" s="1" t="n"/>
      <c r="C97" s="1" t="n"/>
      <c r="D97" s="1" t="n"/>
      <c r="E97" s="1" t="n"/>
      <c r="F97" s="1" t="n"/>
      <c r="G97" s="1" t="n"/>
      <c r="H97" s="1" t="n"/>
      <c r="I97" s="1" t="n"/>
      <c r="J97" s="1" t="n"/>
      <c r="K97" s="1" t="n"/>
      <c r="L97" s="1" t="n"/>
      <c r="M97" s="1" t="n"/>
    </row>
    <row r="98" ht="15" customHeight="1">
      <c r="A98" s="1" t="n"/>
      <c r="B98" s="1" t="n"/>
      <c r="C98" s="1" t="n"/>
      <c r="D98" s="1" t="n"/>
      <c r="E98" s="1" t="n"/>
      <c r="F98" s="1" t="n"/>
      <c r="G98" s="1" t="n"/>
      <c r="H98" s="1" t="n"/>
      <c r="I98" s="1" t="n"/>
      <c r="J98" s="1" t="n"/>
      <c r="K98" s="1" t="n"/>
      <c r="L98" s="1" t="n"/>
      <c r="M98" s="1" t="n"/>
    </row>
    <row r="99" ht="15" customHeight="1">
      <c r="A99" s="1" t="n"/>
      <c r="B99" s="1" t="n"/>
      <c r="C99" s="1" t="n"/>
      <c r="D99" s="1" t="n"/>
      <c r="E99" s="1" t="n"/>
      <c r="F99" s="1" t="n"/>
      <c r="G99" s="1" t="n"/>
      <c r="H99" s="1" t="n"/>
      <c r="I99" s="1" t="n"/>
      <c r="J99" s="1" t="n"/>
      <c r="K99" s="1" t="n"/>
      <c r="L99" s="1" t="n"/>
      <c r="M99" s="1" t="n"/>
    </row>
    <row r="100" ht="15" customHeight="1">
      <c r="A100" s="1" t="n"/>
      <c r="B100" s="1" t="n"/>
      <c r="C100" s="1" t="n"/>
      <c r="D100" s="1" t="n"/>
      <c r="E100" s="1" t="n"/>
      <c r="F100" s="1" t="n"/>
      <c r="G100" s="1" t="n"/>
      <c r="H100" s="1" t="n"/>
      <c r="I100" s="1" t="n"/>
      <c r="J100" s="1" t="n"/>
      <c r="K100" s="1" t="n"/>
      <c r="L100" s="1" t="n"/>
      <c r="M100" s="1" t="n"/>
    </row>
    <row r="101" ht="15" customHeight="1">
      <c r="A101" s="1" t="n"/>
      <c r="B101" s="1" t="n"/>
      <c r="C101" s="1" t="n"/>
      <c r="D101" s="1" t="n"/>
      <c r="E101" s="1" t="n"/>
      <c r="F101" s="1" t="n"/>
      <c r="G101" s="1" t="n"/>
      <c r="H101" s="1" t="n"/>
      <c r="I101" s="1" t="n"/>
      <c r="J101" s="1" t="n"/>
      <c r="K101" s="1" t="n"/>
      <c r="L101" s="1" t="n"/>
      <c r="M101" s="1" t="n"/>
    </row>
    <row r="102" ht="15" customHeight="1">
      <c r="A102" s="1" t="n"/>
      <c r="B102" s="1" t="n"/>
      <c r="C102" s="1" t="n"/>
      <c r="D102" s="1" t="n"/>
      <c r="E102" s="1" t="n"/>
      <c r="F102" s="1" t="n"/>
      <c r="G102" s="1" t="n"/>
      <c r="H102" s="1" t="n"/>
      <c r="I102" s="1" t="n"/>
      <c r="J102" s="1" t="n"/>
      <c r="K102" s="1" t="n"/>
      <c r="L102" s="1" t="n"/>
      <c r="M102" s="1" t="n"/>
    </row>
    <row r="103" ht="15" customHeight="1">
      <c r="A103" s="1" t="n"/>
      <c r="B103" s="1" t="n"/>
      <c r="C103" s="1" t="n"/>
      <c r="D103" s="1" t="n"/>
      <c r="E103" s="1" t="n"/>
      <c r="F103" s="1" t="n"/>
      <c r="G103" s="1" t="n"/>
      <c r="H103" s="1" t="n"/>
      <c r="I103" s="1" t="n"/>
      <c r="J103" s="1" t="n"/>
      <c r="K103" s="1" t="n"/>
      <c r="L103" s="1" t="n"/>
      <c r="M103" s="1" t="n"/>
    </row>
    <row r="104" ht="15" customHeight="1">
      <c r="A104" s="1" t="n"/>
      <c r="B104" s="1" t="n"/>
      <c r="C104" s="1" t="n"/>
      <c r="D104" s="1" t="n"/>
      <c r="E104" s="1" t="n"/>
      <c r="F104" s="1" t="n"/>
      <c r="G104" s="1" t="n"/>
      <c r="H104" s="1" t="n"/>
      <c r="I104" s="1" t="n"/>
      <c r="J104" s="1" t="n"/>
      <c r="K104" s="1" t="n"/>
      <c r="L104" s="1" t="n"/>
      <c r="M104" s="1" t="n"/>
    </row>
    <row r="105" ht="15" customHeight="1">
      <c r="A105" s="1" t="n"/>
      <c r="B105" s="1" t="n"/>
      <c r="C105" s="1" t="n"/>
      <c r="D105" s="1" t="n"/>
      <c r="E105" s="1" t="n"/>
      <c r="F105" s="1" t="n"/>
      <c r="G105" s="1" t="n"/>
      <c r="H105" s="1" t="n"/>
      <c r="I105" s="1" t="n"/>
      <c r="J105" s="1" t="n"/>
      <c r="K105" s="1" t="n"/>
      <c r="L105" s="1" t="n"/>
      <c r="M105" s="1" t="n"/>
    </row>
    <row r="106" ht="15" customHeight="1">
      <c r="A106" s="1" t="n"/>
      <c r="B106" s="1" t="n"/>
      <c r="C106" s="1" t="n"/>
      <c r="D106" s="1" t="n"/>
      <c r="E106" s="1" t="n"/>
      <c r="F106" s="1" t="n"/>
      <c r="G106" s="1" t="n"/>
      <c r="H106" s="1" t="n"/>
      <c r="I106" s="1" t="n"/>
      <c r="J106" s="1" t="n"/>
      <c r="K106" s="1" t="n"/>
      <c r="L106" s="1" t="n"/>
      <c r="M106" s="1" t="n"/>
    </row>
    <row r="107" ht="15" customHeight="1">
      <c r="A107" s="1" t="n"/>
      <c r="B107" s="1" t="n"/>
      <c r="C107" s="1" t="n"/>
      <c r="D107" s="1" t="n"/>
      <c r="E107" s="1" t="n"/>
      <c r="F107" s="1" t="n"/>
      <c r="G107" s="1" t="n"/>
      <c r="H107" s="1" t="n"/>
      <c r="I107" s="1" t="n"/>
      <c r="J107" s="1" t="n"/>
      <c r="K107" s="1" t="n"/>
      <c r="L107" s="1" t="n"/>
      <c r="M107" s="1" t="n"/>
    </row>
    <row r="108" ht="15" customHeight="1">
      <c r="A108" s="1" t="n"/>
      <c r="B108" s="1" t="n"/>
      <c r="C108" s="1" t="n"/>
      <c r="D108" s="1" t="n"/>
      <c r="E108" s="1" t="n"/>
      <c r="F108" s="1" t="n"/>
      <c r="G108" s="1" t="n"/>
      <c r="H108" s="1" t="n"/>
      <c r="I108" s="1" t="n"/>
      <c r="J108" s="1" t="n"/>
      <c r="K108" s="1" t="n"/>
      <c r="L108" s="1" t="n"/>
      <c r="M108" s="1" t="n"/>
    </row>
    <row r="109" ht="15" customHeight="1">
      <c r="A109" s="1" t="n"/>
      <c r="B109" s="1" t="n"/>
      <c r="C109" s="1" t="n"/>
      <c r="D109" s="1" t="n"/>
      <c r="E109" s="1" t="n"/>
      <c r="F109" s="1" t="n"/>
      <c r="G109" s="1" t="n"/>
      <c r="H109" s="1" t="n"/>
      <c r="I109" s="1" t="n"/>
      <c r="J109" s="1" t="n"/>
      <c r="K109" s="1" t="n"/>
      <c r="L109" s="1" t="n"/>
      <c r="M109" s="1" t="n"/>
    </row>
    <row r="110" ht="15" customHeight="1">
      <c r="A110" s="1" t="n"/>
      <c r="B110" s="1" t="n"/>
      <c r="C110" s="1" t="n"/>
      <c r="D110" s="1" t="n"/>
      <c r="E110" s="1" t="n"/>
      <c r="F110" s="1" t="n"/>
      <c r="G110" s="1" t="n"/>
      <c r="H110" s="1" t="n"/>
      <c r="I110" s="1" t="n"/>
      <c r="J110" s="1" t="n"/>
      <c r="K110" s="1" t="n"/>
      <c r="L110" s="1" t="n"/>
      <c r="M110" s="1" t="n"/>
    </row>
    <row r="111" ht="15" customHeight="1">
      <c r="A111" s="1" t="n"/>
      <c r="B111" s="1" t="n"/>
      <c r="C111" s="1" t="n"/>
      <c r="D111" s="1" t="n"/>
      <c r="E111" s="1" t="n"/>
      <c r="F111" s="1" t="n"/>
      <c r="G111" s="1" t="n"/>
      <c r="H111" s="1" t="n"/>
      <c r="I111" s="1" t="n"/>
      <c r="J111" s="1" t="n"/>
      <c r="K111" s="1" t="n"/>
      <c r="L111" s="1" t="n"/>
      <c r="M111" s="1" t="n"/>
    </row>
    <row r="112" ht="15" customHeight="1">
      <c r="A112" s="1" t="n"/>
      <c r="B112" s="1" t="n"/>
      <c r="C112" s="1" t="n"/>
      <c r="D112" s="1" t="n"/>
      <c r="E112" s="1" t="n"/>
      <c r="F112" s="1" t="n"/>
      <c r="G112" s="1" t="n"/>
      <c r="H112" s="1" t="n"/>
      <c r="I112" s="1" t="n"/>
      <c r="J112" s="1" t="n"/>
      <c r="K112" s="1" t="n"/>
      <c r="L112" s="1" t="n"/>
      <c r="M112" s="1" t="n"/>
    </row>
    <row r="113" ht="15" customHeight="1">
      <c r="A113" s="1" t="n"/>
      <c r="B113" s="1" t="n"/>
      <c r="C113" s="1" t="n"/>
      <c r="D113" s="1" t="n"/>
      <c r="E113" s="1" t="n"/>
      <c r="F113" s="1" t="n"/>
      <c r="G113" s="1" t="n"/>
      <c r="H113" s="1" t="n"/>
      <c r="I113" s="1" t="n"/>
      <c r="J113" s="1" t="n"/>
      <c r="K113" s="1" t="n"/>
      <c r="L113" s="1" t="n"/>
      <c r="M113" s="1" t="n"/>
    </row>
    <row r="114" ht="15" customHeight="1">
      <c r="A114" s="1" t="n"/>
      <c r="B114" s="1" t="n"/>
      <c r="C114" s="1" t="n"/>
      <c r="D114" s="1" t="n"/>
      <c r="E114" s="1" t="n"/>
      <c r="F114" s="1" t="n"/>
      <c r="G114" s="1" t="n"/>
      <c r="H114" s="1" t="n"/>
      <c r="I114" s="1" t="n"/>
      <c r="J114" s="1" t="n"/>
      <c r="K114" s="1" t="n"/>
      <c r="L114" s="1" t="n"/>
      <c r="M114" s="1" t="n"/>
    </row>
    <row r="115" ht="15" customHeight="1">
      <c r="A115" s="1" t="n"/>
      <c r="B115" s="1" t="n"/>
      <c r="C115" s="1" t="n"/>
      <c r="D115" s="1" t="n"/>
      <c r="E115" s="1" t="n"/>
      <c r="F115" s="1" t="n"/>
      <c r="G115" s="1" t="n"/>
      <c r="H115" s="1" t="n"/>
      <c r="I115" s="1" t="n"/>
      <c r="J115" s="1" t="n"/>
      <c r="K115" s="1" t="n"/>
      <c r="L115" s="1" t="n"/>
      <c r="M115" s="1" t="n"/>
    </row>
    <row r="116" ht="15" customHeight="1">
      <c r="A116" s="1" t="n"/>
      <c r="B116" s="1" t="n"/>
      <c r="C116" s="1" t="n"/>
      <c r="D116" s="1" t="n"/>
      <c r="E116" s="1" t="n"/>
      <c r="F116" s="1" t="n"/>
      <c r="G116" s="1" t="n"/>
      <c r="H116" s="1" t="n"/>
      <c r="I116" s="1" t="n"/>
      <c r="J116" s="1" t="n"/>
      <c r="K116" s="1" t="n"/>
      <c r="L116" s="1" t="n"/>
      <c r="M116" s="1" t="n"/>
    </row>
    <row r="117" ht="15" customHeight="1">
      <c r="A117" s="1" t="n"/>
      <c r="B117" s="1" t="n"/>
      <c r="C117" s="1" t="n"/>
      <c r="D117" s="1" t="n"/>
      <c r="E117" s="1" t="n"/>
      <c r="F117" s="1" t="n"/>
      <c r="G117" s="1" t="n"/>
      <c r="H117" s="1" t="n"/>
      <c r="I117" s="1" t="n"/>
      <c r="J117" s="1" t="n"/>
      <c r="K117" s="1" t="n"/>
      <c r="L117" s="1" t="n"/>
      <c r="M117" s="1" t="n"/>
    </row>
    <row r="118" ht="15" customHeight="1">
      <c r="A118" s="1" t="n"/>
      <c r="B118" s="1" t="n"/>
      <c r="C118" s="1" t="n"/>
      <c r="D118" s="1" t="n"/>
      <c r="E118" s="1" t="n"/>
      <c r="F118" s="1" t="n"/>
      <c r="G118" s="1" t="n"/>
      <c r="H118" s="1" t="n"/>
      <c r="I118" s="1" t="n"/>
      <c r="J118" s="1" t="n"/>
      <c r="K118" s="1" t="n"/>
      <c r="L118" s="1" t="n"/>
      <c r="M118" s="1" t="n"/>
    </row>
    <row r="119" ht="15" customHeight="1">
      <c r="A119" s="1" t="n"/>
      <c r="B119" s="1" t="n"/>
      <c r="C119" s="1" t="n"/>
      <c r="D119" s="1" t="n"/>
      <c r="E119" s="1" t="n"/>
      <c r="F119" s="1" t="n"/>
      <c r="G119" s="1" t="n"/>
      <c r="H119" s="1" t="n"/>
      <c r="I119" s="1" t="n"/>
      <c r="J119" s="1" t="n"/>
      <c r="K119" s="1" t="n"/>
      <c r="L119" s="1" t="n"/>
      <c r="M119" s="1" t="n"/>
    </row>
    <row r="120" ht="15" customHeight="1">
      <c r="A120" s="1" t="n"/>
      <c r="B120" s="1" t="n"/>
      <c r="C120" s="1" t="n"/>
      <c r="D120" s="1" t="n"/>
      <c r="E120" s="1" t="n"/>
      <c r="F120" s="1" t="n"/>
      <c r="G120" s="1" t="n"/>
      <c r="H120" s="1" t="n"/>
      <c r="I120" s="1" t="n"/>
      <c r="J120" s="1" t="n"/>
      <c r="K120" s="1" t="n"/>
      <c r="L120" s="1" t="n"/>
      <c r="M120" s="1" t="n"/>
    </row>
    <row r="121" ht="15" customHeight="1">
      <c r="A121" s="1" t="n"/>
      <c r="B121" s="1" t="n"/>
      <c r="C121" s="1" t="n"/>
      <c r="D121" s="1" t="n"/>
      <c r="E121" s="1" t="n"/>
      <c r="F121" s="1" t="n"/>
      <c r="G121" s="1" t="n"/>
      <c r="H121" s="1" t="n"/>
      <c r="I121" s="1" t="n"/>
      <c r="J121" s="1" t="n"/>
      <c r="K121" s="1" t="n"/>
      <c r="L121" s="1" t="n"/>
      <c r="M121" s="1" t="n"/>
    </row>
    <row r="122" ht="15" customHeight="1">
      <c r="A122" s="1" t="n"/>
      <c r="B122" s="1" t="n"/>
      <c r="C122" s="1" t="n"/>
      <c r="D122" s="1" t="n"/>
      <c r="E122" s="1" t="n"/>
      <c r="F122" s="1" t="n"/>
      <c r="G122" s="1" t="n"/>
      <c r="H122" s="1" t="n"/>
      <c r="I122" s="1" t="n"/>
      <c r="J122" s="1" t="n"/>
      <c r="K122" s="1" t="n"/>
      <c r="L122" s="1" t="n"/>
      <c r="M122" s="1" t="n"/>
    </row>
    <row r="123" ht="15" customHeight="1">
      <c r="A123" s="1" t="n"/>
      <c r="B123" s="1" t="n"/>
      <c r="C123" s="1" t="n"/>
      <c r="D123" s="1" t="n"/>
      <c r="E123" s="1" t="n"/>
      <c r="F123" s="1" t="n"/>
      <c r="G123" s="1" t="n"/>
      <c r="H123" s="1" t="n"/>
      <c r="I123" s="1" t="n"/>
      <c r="J123" s="1" t="n"/>
      <c r="K123" s="1" t="n"/>
      <c r="L123" s="1" t="n"/>
      <c r="M123" s="1" t="n"/>
    </row>
    <row r="124" ht="15" customHeight="1">
      <c r="A124" s="1" t="n"/>
      <c r="B124" s="1" t="n"/>
      <c r="C124" s="1" t="n"/>
      <c r="D124" s="1" t="n"/>
      <c r="E124" s="1" t="n"/>
      <c r="F124" s="1" t="n"/>
      <c r="G124" s="1" t="n"/>
      <c r="H124" s="1" t="n"/>
      <c r="I124" s="1" t="n"/>
      <c r="J124" s="1" t="n"/>
      <c r="K124" s="1" t="n"/>
      <c r="L124" s="1" t="n"/>
      <c r="M124" s="1" t="n"/>
    </row>
    <row r="125" ht="15" customHeight="1">
      <c r="A125" s="1" t="n"/>
      <c r="B125" s="1" t="n"/>
      <c r="C125" s="1" t="n"/>
      <c r="D125" s="1" t="n"/>
      <c r="E125" s="1" t="n"/>
      <c r="F125" s="1" t="n"/>
      <c r="G125" s="1" t="n"/>
      <c r="H125" s="1" t="n"/>
      <c r="I125" s="1" t="n"/>
      <c r="J125" s="1" t="n"/>
      <c r="K125" s="1" t="n"/>
      <c r="L125" s="1" t="n"/>
      <c r="M125" s="1" t="n"/>
    </row>
    <row r="126" ht="15" customHeight="1">
      <c r="A126" s="1" t="n"/>
      <c r="B126" s="1" t="n"/>
      <c r="C126" s="1" t="n"/>
      <c r="D126" s="1" t="n"/>
      <c r="E126" s="1" t="n"/>
      <c r="F126" s="1" t="n"/>
      <c r="G126" s="1" t="n"/>
      <c r="H126" s="1" t="n"/>
      <c r="I126" s="1" t="n"/>
      <c r="J126" s="1" t="n"/>
      <c r="K126" s="1" t="n"/>
      <c r="L126" s="1" t="n"/>
      <c r="M126" s="1" t="n"/>
    </row>
    <row r="127" ht="15" customHeight="1">
      <c r="A127" s="1" t="n"/>
      <c r="B127" s="1" t="n"/>
      <c r="C127" s="1" t="n"/>
      <c r="D127" s="1" t="n"/>
      <c r="E127" s="1" t="n"/>
      <c r="F127" s="1" t="n"/>
      <c r="G127" s="1" t="n"/>
      <c r="H127" s="1" t="n"/>
      <c r="I127" s="1" t="n"/>
      <c r="J127" s="1" t="n"/>
      <c r="K127" s="1" t="n"/>
      <c r="L127" s="1" t="n"/>
      <c r="M127" s="1" t="n"/>
    </row>
    <row r="128" ht="15" customHeight="1">
      <c r="A128" s="1" t="n"/>
      <c r="B128" s="1" t="n"/>
      <c r="C128" s="1" t="n"/>
      <c r="D128" s="1" t="n"/>
      <c r="E128" s="1" t="n"/>
      <c r="F128" s="1" t="n"/>
      <c r="G128" s="1" t="n"/>
      <c r="H128" s="1" t="n"/>
      <c r="I128" s="1" t="n"/>
      <c r="J128" s="1" t="n"/>
      <c r="K128" s="1" t="n"/>
      <c r="L128" s="1" t="n"/>
      <c r="M128" s="1" t="n"/>
    </row>
    <row r="129" ht="15" customHeight="1">
      <c r="A129" s="1" t="n"/>
      <c r="B129" s="1" t="n"/>
      <c r="C129" s="1" t="n"/>
      <c r="D129" s="1" t="n"/>
      <c r="E129" s="1" t="n"/>
      <c r="F129" s="1" t="n"/>
      <c r="G129" s="1" t="n"/>
      <c r="H129" s="1" t="n"/>
      <c r="I129" s="1" t="n"/>
      <c r="J129" s="1" t="n"/>
      <c r="K129" s="1" t="n"/>
      <c r="L129" s="1" t="n"/>
      <c r="M129" s="1" t="n"/>
    </row>
    <row r="130" ht="15" customHeight="1">
      <c r="A130" s="1" t="n"/>
      <c r="B130" s="1" t="n"/>
      <c r="C130" s="1" t="n"/>
      <c r="D130" s="1" t="n"/>
      <c r="E130" s="1" t="n"/>
      <c r="F130" s="1" t="n"/>
      <c r="G130" s="1" t="n"/>
      <c r="H130" s="1" t="n"/>
      <c r="I130" s="1" t="n"/>
      <c r="J130" s="1" t="n"/>
      <c r="K130" s="1" t="n"/>
      <c r="L130" s="1" t="n"/>
      <c r="M130" s="1" t="n"/>
    </row>
    <row r="131" ht="15" customHeight="1">
      <c r="A131" s="1" t="n"/>
      <c r="B131" s="1" t="n"/>
      <c r="C131" s="1" t="n"/>
      <c r="D131" s="1" t="n"/>
      <c r="E131" s="1" t="n"/>
      <c r="F131" s="1" t="n"/>
      <c r="G131" s="1" t="n"/>
      <c r="H131" s="1" t="n"/>
      <c r="I131" s="1" t="n"/>
      <c r="J131" s="1" t="n"/>
      <c r="K131" s="1" t="n"/>
      <c r="L131" s="1" t="n"/>
      <c r="M131" s="1" t="n"/>
    </row>
    <row r="132" ht="15" customHeight="1">
      <c r="A132" s="1" t="n"/>
      <c r="B132" s="1" t="n"/>
      <c r="C132" s="1" t="n"/>
      <c r="D132" s="1" t="n"/>
      <c r="E132" s="1" t="n"/>
      <c r="F132" s="1" t="n"/>
      <c r="G132" s="1" t="n"/>
      <c r="H132" s="1" t="n"/>
      <c r="I132" s="1" t="n"/>
      <c r="J132" s="1" t="n"/>
      <c r="K132" s="1" t="n"/>
      <c r="L132" s="1" t="n"/>
      <c r="M132" s="1" t="n"/>
    </row>
    <row r="133" ht="15" customHeight="1">
      <c r="A133" s="1" t="n"/>
      <c r="B133" s="1" t="n"/>
      <c r="C133" s="1" t="n"/>
      <c r="D133" s="1" t="n"/>
      <c r="E133" s="1" t="n"/>
      <c r="F133" s="1" t="n"/>
      <c r="G133" s="1" t="n"/>
      <c r="H133" s="1" t="n"/>
      <c r="I133" s="1" t="n"/>
      <c r="J133" s="1" t="n"/>
      <c r="K133" s="1" t="n"/>
      <c r="L133" s="1" t="n"/>
      <c r="M133" s="1" t="n"/>
    </row>
    <row r="134" ht="15" customHeight="1">
      <c r="A134" s="1" t="n"/>
      <c r="B134" s="1" t="n"/>
      <c r="C134" s="1" t="n"/>
      <c r="D134" s="1" t="n"/>
      <c r="E134" s="1" t="n"/>
      <c r="F134" s="1" t="n"/>
      <c r="G134" s="1" t="n"/>
      <c r="H134" s="1" t="n"/>
      <c r="I134" s="1" t="n"/>
      <c r="J134" s="1" t="n"/>
      <c r="K134" s="1" t="n"/>
      <c r="L134" s="1" t="n"/>
      <c r="M134" s="1" t="n"/>
    </row>
    <row r="135" ht="15" customHeight="1">
      <c r="A135" s="1" t="n"/>
      <c r="B135" s="1" t="n"/>
      <c r="C135" s="1" t="n"/>
      <c r="D135" s="1" t="n"/>
      <c r="E135" s="1" t="n"/>
      <c r="F135" s="1" t="n"/>
      <c r="G135" s="1" t="n"/>
      <c r="H135" s="1" t="n"/>
      <c r="I135" s="1" t="n"/>
      <c r="J135" s="1" t="n"/>
      <c r="K135" s="1" t="n"/>
      <c r="L135" s="1" t="n"/>
      <c r="M135" s="1" t="n"/>
    </row>
    <row r="136" ht="15" customHeight="1">
      <c r="A136" s="1" t="n"/>
      <c r="B136" s="1" t="n"/>
      <c r="C136" s="1" t="n"/>
      <c r="D136" s="1" t="n"/>
      <c r="E136" s="1" t="n"/>
      <c r="F136" s="1" t="n"/>
      <c r="G136" s="1" t="n"/>
      <c r="H136" s="1" t="n"/>
      <c r="I136" s="1" t="n"/>
      <c r="J136" s="1" t="n"/>
      <c r="K136" s="1" t="n"/>
      <c r="L136" s="1" t="n"/>
      <c r="M136" s="1" t="n"/>
    </row>
    <row r="137" ht="15" customHeight="1">
      <c r="A137" s="1" t="n"/>
      <c r="B137" s="1" t="n"/>
      <c r="C137" s="1" t="n"/>
      <c r="D137" s="1" t="n"/>
      <c r="E137" s="1" t="n"/>
      <c r="F137" s="1" t="n"/>
      <c r="G137" s="1" t="n"/>
      <c r="H137" s="1" t="n"/>
      <c r="I137" s="1" t="n"/>
      <c r="J137" s="1" t="n"/>
      <c r="K137" s="1" t="n"/>
      <c r="L137" s="1" t="n"/>
      <c r="M137" s="1" t="n"/>
    </row>
    <row r="138" ht="15" customHeight="1">
      <c r="A138" s="1" t="n"/>
      <c r="B138" s="1" t="n"/>
      <c r="C138" s="1" t="n"/>
      <c r="D138" s="1" t="n"/>
      <c r="E138" s="1" t="n"/>
      <c r="F138" s="1" t="n"/>
      <c r="G138" s="1" t="n"/>
      <c r="H138" s="1" t="n"/>
      <c r="I138" s="1" t="n"/>
      <c r="J138" s="1" t="n"/>
      <c r="K138" s="1" t="n"/>
      <c r="L138" s="1" t="n"/>
      <c r="M138" s="1" t="n"/>
    </row>
    <row r="139" ht="15" customHeight="1">
      <c r="A139" s="1" t="n"/>
      <c r="B139" s="1" t="n"/>
      <c r="C139" s="1" t="n"/>
      <c r="D139" s="1" t="n"/>
      <c r="E139" s="1" t="n"/>
      <c r="F139" s="1" t="n"/>
      <c r="G139" s="1" t="n"/>
      <c r="H139" s="1" t="n"/>
      <c r="I139" s="1" t="n"/>
      <c r="J139" s="1" t="n"/>
      <c r="K139" s="1" t="n"/>
      <c r="L139" s="1" t="n"/>
      <c r="M139" s="1" t="n"/>
    </row>
    <row r="140" ht="15" customHeight="1">
      <c r="A140" s="1" t="n"/>
      <c r="B140" s="1" t="n"/>
      <c r="C140" s="1" t="n"/>
      <c r="D140" s="1" t="n"/>
      <c r="E140" s="1" t="n"/>
      <c r="F140" s="1" t="n"/>
      <c r="G140" s="1" t="n"/>
      <c r="H140" s="1" t="n"/>
      <c r="I140" s="1" t="n"/>
      <c r="J140" s="1" t="n"/>
      <c r="K140" s="1" t="n"/>
      <c r="L140" s="1" t="n"/>
      <c r="M140" s="1" t="n"/>
    </row>
    <row r="141" ht="15" customHeight="1">
      <c r="A141" s="1" t="n"/>
      <c r="B141" s="1" t="n"/>
      <c r="C141" s="1" t="n"/>
      <c r="D141" s="1" t="n"/>
      <c r="E141" s="1" t="n"/>
      <c r="F141" s="1" t="n"/>
      <c r="G141" s="1" t="n"/>
      <c r="H141" s="1" t="n"/>
      <c r="I141" s="1" t="n"/>
      <c r="J141" s="1" t="n"/>
      <c r="K141" s="1" t="n"/>
      <c r="L141" s="1" t="n"/>
      <c r="M141" s="1" t="n"/>
    </row>
    <row r="142" ht="15" customHeight="1">
      <c r="A142" s="1" t="n"/>
      <c r="B142" s="1" t="n"/>
      <c r="C142" s="1" t="n"/>
      <c r="D142" s="1" t="n"/>
      <c r="E142" s="1" t="n"/>
      <c r="F142" s="1" t="n"/>
      <c r="G142" s="1" t="n"/>
      <c r="H142" s="1" t="n"/>
      <c r="I142" s="1" t="n"/>
      <c r="J142" s="1" t="n"/>
      <c r="K142" s="1" t="n"/>
      <c r="L142" s="1" t="n"/>
      <c r="M142" s="1" t="n"/>
    </row>
    <row r="143" ht="15" customHeight="1">
      <c r="A143" s="1" t="n"/>
      <c r="B143" s="1" t="n"/>
      <c r="C143" s="1" t="n"/>
      <c r="D143" s="1" t="n"/>
      <c r="E143" s="1" t="n"/>
      <c r="F143" s="1" t="n"/>
      <c r="G143" s="1" t="n"/>
      <c r="H143" s="1" t="n"/>
      <c r="I143" s="1" t="n"/>
      <c r="J143" s="1" t="n"/>
      <c r="K143" s="1" t="n"/>
      <c r="L143" s="1" t="n"/>
      <c r="M143" s="1" t="n"/>
    </row>
    <row r="144" ht="15" customHeight="1">
      <c r="A144" s="1" t="n"/>
      <c r="B144" s="1" t="n"/>
      <c r="C144" s="1" t="n"/>
      <c r="D144" s="1" t="n"/>
      <c r="E144" s="1" t="n"/>
      <c r="F144" s="1" t="n"/>
      <c r="G144" s="1" t="n"/>
      <c r="H144" s="1" t="n"/>
      <c r="I144" s="1" t="n"/>
      <c r="J144" s="1" t="n"/>
      <c r="K144" s="1" t="n"/>
      <c r="L144" s="1" t="n"/>
      <c r="M144" s="1" t="n"/>
    </row>
    <row r="145" ht="15" customHeight="1">
      <c r="A145" s="1" t="n"/>
      <c r="B145" s="1" t="n"/>
      <c r="C145" s="1" t="n"/>
      <c r="D145" s="1" t="n"/>
      <c r="E145" s="1" t="n"/>
      <c r="F145" s="1" t="n"/>
      <c r="G145" s="1" t="n"/>
      <c r="H145" s="1" t="n"/>
      <c r="I145" s="1" t="n"/>
      <c r="J145" s="1" t="n"/>
      <c r="K145" s="1" t="n"/>
      <c r="L145" s="1" t="n"/>
      <c r="M145" s="1" t="n"/>
    </row>
    <row r="146" ht="15" customHeight="1">
      <c r="A146" s="1" t="n"/>
      <c r="B146" s="1" t="n"/>
      <c r="C146" s="1" t="n"/>
      <c r="D146" s="1" t="n"/>
      <c r="E146" s="1" t="n"/>
      <c r="F146" s="1" t="n"/>
      <c r="G146" s="1" t="n"/>
      <c r="H146" s="1" t="n"/>
      <c r="I146" s="1" t="n"/>
      <c r="J146" s="1" t="n"/>
      <c r="K146" s="1" t="n"/>
      <c r="L146" s="1" t="n"/>
      <c r="M146" s="1" t="n"/>
    </row>
    <row r="147" ht="15" customHeight="1">
      <c r="A147" s="1" t="n"/>
      <c r="B147" s="1" t="n"/>
      <c r="C147" s="1" t="n"/>
      <c r="D147" s="1" t="n"/>
      <c r="E147" s="1" t="n"/>
      <c r="F147" s="1" t="n"/>
      <c r="G147" s="1" t="n"/>
      <c r="H147" s="1" t="n"/>
      <c r="I147" s="1" t="n"/>
      <c r="J147" s="1" t="n"/>
      <c r="K147" s="1" t="n"/>
      <c r="L147" s="1" t="n"/>
      <c r="M147" s="1" t="n"/>
    </row>
    <row r="148" ht="15" customHeight="1">
      <c r="A148" s="1" t="n"/>
      <c r="B148" s="1" t="n"/>
      <c r="C148" s="1" t="n"/>
      <c r="D148" s="1" t="n"/>
      <c r="E148" s="1" t="n"/>
      <c r="F148" s="1" t="n"/>
      <c r="G148" s="1" t="n"/>
      <c r="H148" s="1" t="n"/>
      <c r="I148" s="1" t="n"/>
      <c r="J148" s="1" t="n"/>
      <c r="K148" s="1" t="n"/>
      <c r="L148" s="1" t="n"/>
      <c r="M148" s="1" t="n"/>
    </row>
    <row r="149" ht="15" customHeight="1">
      <c r="A149" s="1" t="n"/>
      <c r="B149" s="1" t="n"/>
      <c r="C149" s="1" t="n"/>
      <c r="D149" s="1" t="n"/>
      <c r="E149" s="1" t="n"/>
      <c r="F149" s="1" t="n"/>
      <c r="G149" s="1" t="n"/>
      <c r="H149" s="1" t="n"/>
      <c r="I149" s="1" t="n"/>
      <c r="J149" s="1" t="n"/>
      <c r="K149" s="1" t="n"/>
      <c r="L149" s="1" t="n"/>
      <c r="M149" s="1" t="n"/>
    </row>
    <row r="150" ht="15" customHeight="1">
      <c r="A150" s="1" t="n"/>
      <c r="B150" s="1" t="n"/>
      <c r="C150" s="1" t="n"/>
      <c r="D150" s="1" t="n"/>
      <c r="E150" s="1" t="n"/>
      <c r="F150" s="1" t="n"/>
      <c r="G150" s="1" t="n"/>
      <c r="H150" s="1" t="n"/>
      <c r="I150" s="1" t="n"/>
      <c r="J150" s="1" t="n"/>
      <c r="K150" s="1" t="n"/>
      <c r="L150" s="1" t="n"/>
      <c r="M150" s="1" t="n"/>
    </row>
    <row r="151" ht="15" customHeight="1">
      <c r="A151" s="1" t="n"/>
      <c r="B151" s="1" t="n"/>
      <c r="C151" s="1" t="n"/>
      <c r="D151" s="1" t="n"/>
      <c r="E151" s="1" t="n"/>
      <c r="F151" s="1" t="n"/>
      <c r="G151" s="1" t="n"/>
      <c r="H151" s="1" t="n"/>
      <c r="I151" s="1" t="n"/>
      <c r="J151" s="1" t="n"/>
      <c r="K151" s="1" t="n"/>
      <c r="L151" s="1" t="n"/>
      <c r="M151" s="1" t="n"/>
    </row>
    <row r="152" ht="15" customHeight="1">
      <c r="A152" s="1" t="n"/>
      <c r="B152" s="1" t="n"/>
      <c r="C152" s="1" t="n"/>
      <c r="D152" s="1" t="n"/>
      <c r="E152" s="1" t="n"/>
      <c r="F152" s="1" t="n"/>
      <c r="G152" s="1" t="n"/>
      <c r="H152" s="1" t="n"/>
      <c r="I152" s="1" t="n"/>
      <c r="J152" s="1" t="n"/>
      <c r="K152" s="1" t="n"/>
      <c r="L152" s="1" t="n"/>
      <c r="M152" s="1" t="n"/>
    </row>
    <row r="153" ht="15" customHeight="1">
      <c r="A153" s="1" t="n"/>
      <c r="B153" s="1" t="n"/>
      <c r="C153" s="1" t="n"/>
      <c r="D153" s="1" t="n"/>
      <c r="E153" s="1" t="n"/>
      <c r="F153" s="1" t="n"/>
      <c r="G153" s="1" t="n"/>
      <c r="H153" s="1" t="n"/>
      <c r="I153" s="1" t="n"/>
      <c r="J153" s="1" t="n"/>
      <c r="K153" s="1" t="n"/>
      <c r="L153" s="1" t="n"/>
      <c r="M153" s="1" t="n"/>
    </row>
    <row r="154" ht="15" customHeight="1">
      <c r="A154" s="1" t="n"/>
      <c r="B154" s="1" t="n"/>
      <c r="C154" s="1" t="n"/>
      <c r="D154" s="1" t="n"/>
      <c r="E154" s="1" t="n"/>
      <c r="F154" s="1" t="n"/>
      <c r="G154" s="1" t="n"/>
      <c r="H154" s="1" t="n"/>
      <c r="I154" s="1" t="n"/>
      <c r="J154" s="1" t="n"/>
      <c r="K154" s="1" t="n"/>
      <c r="L154" s="1" t="n"/>
      <c r="M154" s="1" t="n"/>
    </row>
    <row r="155" ht="15" customHeight="1">
      <c r="A155" s="1" t="n"/>
      <c r="B155" s="1" t="n"/>
      <c r="C155" s="1" t="n"/>
      <c r="D155" s="1" t="n"/>
      <c r="E155" s="1" t="n"/>
      <c r="F155" s="1" t="n"/>
      <c r="G155" s="1" t="n"/>
      <c r="H155" s="1" t="n"/>
      <c r="I155" s="1" t="n"/>
      <c r="J155" s="1" t="n"/>
      <c r="K155" s="1" t="n"/>
      <c r="L155" s="1" t="n"/>
      <c r="M155" s="1" t="n"/>
    </row>
    <row r="156" ht="15" customHeight="1">
      <c r="A156" s="1" t="n"/>
      <c r="B156" s="1" t="n"/>
      <c r="C156" s="1" t="n"/>
      <c r="D156" s="1" t="n"/>
      <c r="E156" s="1" t="n"/>
      <c r="F156" s="1" t="n"/>
      <c r="G156" s="1" t="n"/>
      <c r="H156" s="1" t="n"/>
      <c r="I156" s="1" t="n"/>
      <c r="J156" s="1" t="n"/>
      <c r="K156" s="1" t="n"/>
      <c r="L156" s="1" t="n"/>
      <c r="M156" s="1" t="n"/>
    </row>
    <row r="157" ht="15" customHeight="1">
      <c r="A157" s="1" t="n"/>
      <c r="B157" s="1" t="n"/>
      <c r="C157" s="1" t="n"/>
      <c r="D157" s="1" t="n"/>
      <c r="E157" s="1" t="n"/>
      <c r="F157" s="1" t="n"/>
      <c r="G157" s="1" t="n"/>
      <c r="H157" s="1" t="n"/>
      <c r="I157" s="1" t="n"/>
      <c r="J157" s="1" t="n"/>
      <c r="K157" s="1" t="n"/>
      <c r="L157" s="1" t="n"/>
      <c r="M157" s="1" t="n"/>
    </row>
    <row r="158" ht="15" customHeight="1">
      <c r="A158" s="1" t="n"/>
      <c r="B158" s="1" t="n"/>
      <c r="C158" s="1" t="n"/>
      <c r="D158" s="1" t="n"/>
      <c r="E158" s="1" t="n"/>
      <c r="F158" s="1" t="n"/>
      <c r="G158" s="1" t="n"/>
      <c r="H158" s="1" t="n"/>
      <c r="I158" s="1" t="n"/>
      <c r="J158" s="1" t="n"/>
      <c r="K158" s="1" t="n"/>
      <c r="L158" s="1" t="n"/>
      <c r="M158" s="1" t="n"/>
    </row>
    <row r="159" ht="15" customHeight="1">
      <c r="A159" s="1" t="n"/>
      <c r="B159" s="1" t="n"/>
      <c r="C159" s="1" t="n"/>
      <c r="D159" s="1" t="n"/>
      <c r="E159" s="1" t="n"/>
      <c r="F159" s="1" t="n"/>
      <c r="G159" s="1" t="n"/>
      <c r="H159" s="1" t="n"/>
      <c r="I159" s="1" t="n"/>
      <c r="J159" s="1" t="n"/>
      <c r="K159" s="1" t="n"/>
      <c r="L159" s="1" t="n"/>
      <c r="M159" s="1" t="n"/>
    </row>
    <row r="160" ht="15" customHeight="1">
      <c r="A160" s="1" t="n"/>
      <c r="B160" s="1" t="n"/>
      <c r="C160" s="1" t="n"/>
      <c r="D160" s="1" t="n"/>
      <c r="E160" s="1" t="n"/>
      <c r="F160" s="1" t="n"/>
      <c r="G160" s="1" t="n"/>
      <c r="H160" s="1" t="n"/>
      <c r="I160" s="1" t="n"/>
      <c r="J160" s="1" t="n"/>
      <c r="K160" s="1" t="n"/>
      <c r="L160" s="1" t="n"/>
      <c r="M160" s="1" t="n"/>
    </row>
    <row r="161" ht="15" customHeight="1">
      <c r="A161" s="1" t="n"/>
      <c r="B161" s="1" t="n"/>
      <c r="C161" s="1" t="n"/>
      <c r="D161" s="1" t="n"/>
      <c r="E161" s="1" t="n"/>
      <c r="F161" s="1" t="n"/>
      <c r="G161" s="1" t="n"/>
      <c r="H161" s="1" t="n"/>
      <c r="I161" s="1" t="n"/>
      <c r="J161" s="1" t="n"/>
      <c r="K161" s="1" t="n"/>
      <c r="L161" s="1" t="n"/>
      <c r="M161" s="1" t="n"/>
    </row>
    <row r="162" ht="15" customHeight="1">
      <c r="A162" s="1" t="n"/>
      <c r="B162" s="1" t="n"/>
      <c r="C162" s="1" t="n"/>
      <c r="D162" s="1" t="n"/>
      <c r="E162" s="1" t="n"/>
      <c r="F162" s="1" t="n"/>
      <c r="G162" s="1" t="n"/>
      <c r="H162" s="1" t="n"/>
      <c r="I162" s="1" t="n"/>
      <c r="J162" s="1" t="n"/>
      <c r="K162" s="1" t="n"/>
      <c r="L162" s="1" t="n"/>
      <c r="M162" s="1" t="n"/>
    </row>
    <row r="163" ht="15" customHeight="1">
      <c r="A163" s="1" t="n"/>
      <c r="B163" s="1" t="n"/>
      <c r="C163" s="1" t="n"/>
      <c r="D163" s="1" t="n"/>
      <c r="E163" s="1" t="n"/>
      <c r="F163" s="1" t="n"/>
      <c r="G163" s="1" t="n"/>
      <c r="H163" s="1" t="n"/>
      <c r="I163" s="1" t="n"/>
      <c r="J163" s="1" t="n"/>
      <c r="K163" s="1" t="n"/>
      <c r="L163" s="1" t="n"/>
      <c r="M163" s="1" t="n"/>
    </row>
    <row r="164" ht="15" customHeight="1">
      <c r="A164" s="1" t="n"/>
      <c r="B164" s="1" t="n"/>
      <c r="C164" s="1" t="n"/>
      <c r="D164" s="1" t="n"/>
      <c r="E164" s="1" t="n"/>
      <c r="F164" s="1" t="n"/>
      <c r="G164" s="1" t="n"/>
      <c r="H164" s="1" t="n"/>
      <c r="I164" s="1" t="n"/>
      <c r="J164" s="1" t="n"/>
      <c r="K164" s="1" t="n"/>
      <c r="L164" s="1" t="n"/>
      <c r="M164" s="1" t="n"/>
    </row>
    <row r="165" ht="15" customHeight="1">
      <c r="A165" s="1" t="n"/>
      <c r="B165" s="1" t="n"/>
      <c r="C165" s="1" t="n"/>
      <c r="D165" s="1" t="n"/>
      <c r="E165" s="1" t="n"/>
      <c r="F165" s="1" t="n"/>
      <c r="G165" s="1" t="n"/>
      <c r="H165" s="1" t="n"/>
      <c r="I165" s="1" t="n"/>
      <c r="J165" s="1" t="n"/>
      <c r="K165" s="1" t="n"/>
      <c r="L165" s="1" t="n"/>
      <c r="M165" s="1" t="n"/>
    </row>
    <row r="166" ht="15" customHeight="1">
      <c r="A166" s="1" t="n"/>
      <c r="B166" s="1" t="n"/>
      <c r="C166" s="1" t="n"/>
      <c r="D166" s="1" t="n"/>
      <c r="E166" s="1" t="n"/>
      <c r="F166" s="1" t="n"/>
      <c r="G166" s="1" t="n"/>
      <c r="H166" s="1" t="n"/>
      <c r="I166" s="1" t="n"/>
      <c r="J166" s="1" t="n"/>
      <c r="K166" s="1" t="n"/>
      <c r="L166" s="1" t="n"/>
      <c r="M166" s="1" t="n"/>
    </row>
    <row r="167" ht="15" customHeight="1">
      <c r="A167" s="1" t="n"/>
      <c r="B167" s="1" t="n"/>
      <c r="C167" s="1" t="n"/>
      <c r="D167" s="1" t="n"/>
      <c r="E167" s="1" t="n"/>
      <c r="F167" s="1" t="n"/>
      <c r="G167" s="1" t="n"/>
      <c r="H167" s="1" t="n"/>
      <c r="I167" s="1" t="n"/>
      <c r="J167" s="1" t="n"/>
      <c r="K167" s="1" t="n"/>
      <c r="L167" s="1" t="n"/>
      <c r="M167" s="1" t="n"/>
    </row>
    <row r="168" ht="15" customHeight="1">
      <c r="A168" s="1" t="n"/>
      <c r="B168" s="1" t="n"/>
      <c r="C168" s="1" t="n"/>
      <c r="D168" s="1" t="n"/>
      <c r="E168" s="1" t="n"/>
      <c r="F168" s="1" t="n"/>
      <c r="G168" s="1" t="n"/>
      <c r="H168" s="1" t="n"/>
      <c r="I168" s="1" t="n"/>
      <c r="J168" s="1" t="n"/>
      <c r="K168" s="1" t="n"/>
      <c r="L168" s="1" t="n"/>
      <c r="M168" s="1" t="n"/>
    </row>
    <row r="169" ht="15" customHeight="1">
      <c r="A169" s="1" t="n"/>
      <c r="B169" s="1" t="n"/>
      <c r="C169" s="1" t="n"/>
      <c r="D169" s="1" t="n"/>
      <c r="E169" s="1" t="n"/>
      <c r="F169" s="1" t="n"/>
      <c r="G169" s="1" t="n"/>
      <c r="H169" s="1" t="n"/>
      <c r="I169" s="1" t="n"/>
      <c r="J169" s="1" t="n"/>
      <c r="K169" s="1" t="n"/>
      <c r="L169" s="1" t="n"/>
      <c r="M169" s="1" t="n"/>
    </row>
    <row r="170" ht="15" customHeight="1">
      <c r="A170" s="1" t="n"/>
      <c r="B170" s="1" t="n"/>
      <c r="C170" s="1" t="n"/>
      <c r="D170" s="1" t="n"/>
      <c r="E170" s="1" t="n"/>
      <c r="F170" s="1" t="n"/>
      <c r="G170" s="1" t="n"/>
      <c r="H170" s="1" t="n"/>
      <c r="I170" s="1" t="n"/>
      <c r="J170" s="1" t="n"/>
      <c r="K170" s="1" t="n"/>
      <c r="L170" s="1" t="n"/>
      <c r="M170" s="1" t="n"/>
    </row>
    <row r="171" ht="15" customHeight="1">
      <c r="A171" s="1" t="n"/>
      <c r="B171" s="1" t="n"/>
      <c r="C171" s="1" t="n"/>
      <c r="D171" s="1" t="n"/>
      <c r="E171" s="1" t="n"/>
      <c r="F171" s="1" t="n"/>
      <c r="G171" s="1" t="n"/>
      <c r="H171" s="1" t="n"/>
      <c r="I171" s="1" t="n"/>
      <c r="J171" s="1" t="n"/>
      <c r="K171" s="1" t="n"/>
      <c r="L171" s="1" t="n"/>
      <c r="M171" s="1" t="n"/>
    </row>
    <row r="172" ht="15" customHeight="1">
      <c r="A172" s="1" t="n"/>
      <c r="B172" s="1" t="n"/>
      <c r="C172" s="1" t="n"/>
      <c r="D172" s="1" t="n"/>
      <c r="E172" s="1" t="n"/>
      <c r="F172" s="1" t="n"/>
      <c r="G172" s="1" t="n"/>
      <c r="H172" s="1" t="n"/>
      <c r="I172" s="1" t="n"/>
      <c r="J172" s="1" t="n"/>
      <c r="K172" s="1" t="n"/>
      <c r="L172" s="1" t="n"/>
      <c r="M172" s="1" t="n"/>
    </row>
    <row r="173" ht="15" customHeight="1">
      <c r="A173" s="1" t="n"/>
      <c r="B173" s="1" t="n"/>
      <c r="C173" s="1" t="n"/>
      <c r="D173" s="1" t="n"/>
      <c r="E173" s="1" t="n"/>
      <c r="F173" s="1" t="n"/>
      <c r="G173" s="1" t="n"/>
      <c r="H173" s="1" t="n"/>
      <c r="I173" s="1" t="n"/>
      <c r="J173" s="1" t="n"/>
      <c r="K173" s="1" t="n"/>
      <c r="L173" s="1" t="n"/>
      <c r="M173" s="1" t="n"/>
    </row>
    <row r="174" ht="15" customHeight="1">
      <c r="A174" s="1" t="n"/>
      <c r="B174" s="1" t="n"/>
      <c r="C174" s="1" t="n"/>
      <c r="D174" s="1" t="n"/>
      <c r="E174" s="1" t="n"/>
      <c r="F174" s="1" t="n"/>
      <c r="G174" s="1" t="n"/>
      <c r="H174" s="1" t="n"/>
      <c r="I174" s="1" t="n"/>
      <c r="J174" s="1" t="n"/>
      <c r="K174" s="1" t="n"/>
      <c r="L174" s="1" t="n"/>
      <c r="M174" s="1" t="n"/>
    </row>
    <row r="175" ht="15" customHeight="1">
      <c r="A175" s="1" t="n"/>
      <c r="B175" s="1" t="n"/>
      <c r="C175" s="1" t="n"/>
      <c r="D175" s="1" t="n"/>
      <c r="E175" s="1" t="n"/>
      <c r="F175" s="1" t="n"/>
      <c r="G175" s="1" t="n"/>
      <c r="H175" s="1" t="n"/>
      <c r="I175" s="1" t="n"/>
      <c r="J175" s="1" t="n"/>
      <c r="K175" s="1" t="n"/>
      <c r="L175" s="1" t="n"/>
      <c r="M175" s="1" t="n"/>
    </row>
    <row r="176" ht="15" customHeight="1">
      <c r="A176" s="1" t="n"/>
      <c r="B176" s="1" t="n"/>
      <c r="C176" s="1" t="n"/>
      <c r="D176" s="1" t="n"/>
      <c r="E176" s="1" t="n"/>
      <c r="F176" s="1" t="n"/>
      <c r="G176" s="1" t="n"/>
      <c r="H176" s="1" t="n"/>
      <c r="I176" s="1" t="n"/>
      <c r="J176" s="1" t="n"/>
      <c r="K176" s="1" t="n"/>
      <c r="L176" s="1" t="n"/>
      <c r="M176" s="1" t="n"/>
    </row>
    <row r="177" ht="15" customHeight="1">
      <c r="A177" s="1" t="n"/>
      <c r="B177" s="1" t="n"/>
      <c r="C177" s="1" t="n"/>
      <c r="D177" s="1" t="n"/>
      <c r="E177" s="1" t="n"/>
      <c r="F177" s="1" t="n"/>
      <c r="G177" s="1" t="n"/>
      <c r="H177" s="1" t="n"/>
      <c r="I177" s="1" t="n"/>
      <c r="J177" s="1" t="n"/>
      <c r="K177" s="1" t="n"/>
      <c r="L177" s="1" t="n"/>
      <c r="M177" s="1" t="n"/>
    </row>
    <row r="178" ht="15" customHeight="1">
      <c r="A178" s="1" t="n"/>
      <c r="B178" s="1" t="n"/>
      <c r="C178" s="1" t="n"/>
      <c r="D178" s="1" t="n"/>
      <c r="E178" s="1" t="n"/>
      <c r="F178" s="1" t="n"/>
      <c r="G178" s="1" t="n"/>
      <c r="H178" s="1" t="n"/>
      <c r="I178" s="1" t="n"/>
      <c r="J178" s="1" t="n"/>
      <c r="K178" s="1" t="n"/>
      <c r="L178" s="1" t="n"/>
      <c r="M178" s="1" t="n"/>
    </row>
    <row r="179" ht="15" customHeight="1">
      <c r="A179" s="1" t="n"/>
      <c r="B179" s="1" t="n"/>
      <c r="C179" s="1" t="n"/>
      <c r="D179" s="1" t="n"/>
      <c r="E179" s="1" t="n"/>
      <c r="F179" s="1" t="n"/>
      <c r="G179" s="1" t="n"/>
      <c r="H179" s="1" t="n"/>
      <c r="I179" s="1" t="n"/>
      <c r="J179" s="1" t="n"/>
      <c r="K179" s="1" t="n"/>
      <c r="L179" s="1" t="n"/>
      <c r="M179" s="1" t="n"/>
    </row>
    <row r="180" ht="15" customHeight="1">
      <c r="A180" s="1" t="n"/>
      <c r="B180" s="1" t="n"/>
      <c r="C180" s="1" t="n"/>
      <c r="D180" s="1" t="n"/>
      <c r="E180" s="1" t="n"/>
      <c r="F180" s="1" t="n"/>
      <c r="G180" s="1" t="n"/>
      <c r="H180" s="1" t="n"/>
      <c r="I180" s="1" t="n"/>
      <c r="J180" s="1" t="n"/>
      <c r="K180" s="1" t="n"/>
      <c r="L180" s="1" t="n"/>
      <c r="M180" s="1" t="n"/>
    </row>
    <row r="181" ht="15" customHeight="1">
      <c r="A181" s="1" t="n"/>
      <c r="B181" s="1" t="n"/>
      <c r="C181" s="1" t="n"/>
      <c r="D181" s="1" t="n"/>
      <c r="E181" s="1" t="n"/>
      <c r="F181" s="1" t="n"/>
      <c r="G181" s="1" t="n"/>
      <c r="H181" s="1" t="n"/>
      <c r="I181" s="1" t="n"/>
      <c r="J181" s="1" t="n"/>
      <c r="K181" s="1" t="n"/>
      <c r="L181" s="1" t="n"/>
      <c r="M181" s="1" t="n"/>
    </row>
    <row r="182" ht="15" customHeight="1">
      <c r="A182" s="1" t="n"/>
      <c r="B182" s="1" t="n"/>
      <c r="C182" s="1" t="n"/>
      <c r="D182" s="1" t="n"/>
      <c r="E182" s="1" t="n"/>
      <c r="F182" s="1" t="n"/>
      <c r="G182" s="1" t="n"/>
      <c r="H182" s="1" t="n"/>
      <c r="I182" s="1" t="n"/>
      <c r="J182" s="1" t="n"/>
      <c r="K182" s="1" t="n"/>
      <c r="L182" s="1" t="n"/>
      <c r="M182" s="1" t="n"/>
    </row>
    <row r="183" ht="15" customHeight="1">
      <c r="A183" s="1" t="n"/>
      <c r="B183" s="1" t="n"/>
      <c r="C183" s="1" t="n"/>
      <c r="D183" s="1" t="n"/>
      <c r="E183" s="1" t="n"/>
      <c r="F183" s="1" t="n"/>
      <c r="G183" s="1" t="n"/>
      <c r="H183" s="1" t="n"/>
      <c r="I183" s="1" t="n"/>
      <c r="J183" s="1" t="n"/>
      <c r="K183" s="1" t="n"/>
      <c r="L183" s="1" t="n"/>
      <c r="M183" s="1" t="n"/>
    </row>
    <row r="184" ht="15" customHeight="1">
      <c r="A184" s="1" t="n"/>
      <c r="B184" s="1" t="n"/>
      <c r="C184" s="1" t="n"/>
      <c r="D184" s="1" t="n"/>
      <c r="E184" s="1" t="n"/>
      <c r="F184" s="1" t="n"/>
      <c r="G184" s="1" t="n"/>
      <c r="H184" s="1" t="n"/>
      <c r="I184" s="1" t="n"/>
      <c r="J184" s="1" t="n"/>
      <c r="K184" s="1" t="n"/>
      <c r="L184" s="1" t="n"/>
      <c r="M184" s="1" t="n"/>
    </row>
    <row r="185" ht="15" customHeight="1">
      <c r="A185" s="1" t="n"/>
      <c r="B185" s="1" t="n"/>
      <c r="C185" s="1" t="n"/>
      <c r="D185" s="1" t="n"/>
      <c r="E185" s="1" t="n"/>
      <c r="F185" s="1" t="n"/>
      <c r="G185" s="1" t="n"/>
      <c r="H185" s="1" t="n"/>
      <c r="I185" s="1" t="n"/>
      <c r="J185" s="1" t="n"/>
      <c r="K185" s="1" t="n"/>
      <c r="L185" s="1" t="n"/>
      <c r="M185" s="1" t="n"/>
    </row>
    <row r="186" ht="15" customHeight="1">
      <c r="A186" s="1" t="n"/>
      <c r="B186" s="1" t="n"/>
      <c r="C186" s="1" t="n"/>
      <c r="D186" s="1" t="n"/>
      <c r="E186" s="1" t="n"/>
      <c r="F186" s="1" t="n"/>
      <c r="G186" s="1" t="n"/>
      <c r="H186" s="1" t="n"/>
      <c r="I186" s="1" t="n"/>
      <c r="J186" s="1" t="n"/>
      <c r="K186" s="1" t="n"/>
      <c r="L186" s="1" t="n"/>
      <c r="M186" s="1" t="n"/>
    </row>
    <row r="187" ht="15" customHeight="1">
      <c r="A187" s="1" t="n"/>
      <c r="B187" s="1" t="n"/>
      <c r="C187" s="1" t="n"/>
      <c r="D187" s="1" t="n"/>
      <c r="E187" s="1" t="n"/>
      <c r="F187" s="1" t="n"/>
      <c r="G187" s="1" t="n"/>
      <c r="H187" s="1" t="n"/>
      <c r="I187" s="1" t="n"/>
      <c r="J187" s="1" t="n"/>
      <c r="K187" s="1" t="n"/>
      <c r="L187" s="1" t="n"/>
      <c r="M187" s="1" t="n"/>
    </row>
    <row r="188" ht="15" customHeight="1">
      <c r="A188" s="1" t="n"/>
      <c r="B188" s="1" t="n"/>
      <c r="C188" s="1" t="n"/>
      <c r="D188" s="1" t="n"/>
      <c r="E188" s="1" t="n"/>
      <c r="F188" s="1" t="n"/>
      <c r="G188" s="1" t="n"/>
      <c r="H188" s="1" t="n"/>
      <c r="I188" s="1" t="n"/>
      <c r="J188" s="1" t="n"/>
      <c r="K188" s="1" t="n"/>
      <c r="L188" s="1" t="n"/>
      <c r="M188" s="1" t="n"/>
    </row>
    <row r="189" ht="15" customHeight="1">
      <c r="A189" s="1" t="n"/>
      <c r="B189" s="1" t="n"/>
      <c r="C189" s="1" t="n"/>
      <c r="D189" s="1" t="n"/>
      <c r="E189" s="1" t="n"/>
      <c r="F189" s="1" t="n"/>
      <c r="G189" s="1" t="n"/>
      <c r="H189" s="1" t="n"/>
      <c r="I189" s="1" t="n"/>
      <c r="J189" s="1" t="n"/>
      <c r="K189" s="1" t="n"/>
      <c r="L189" s="1" t="n"/>
      <c r="M189" s="1" t="n"/>
    </row>
    <row r="190" ht="15" customHeight="1">
      <c r="A190" s="1" t="n"/>
      <c r="B190" s="1" t="n"/>
      <c r="C190" s="1" t="n"/>
      <c r="D190" s="1" t="n"/>
      <c r="E190" s="1" t="n"/>
      <c r="F190" s="1" t="n"/>
      <c r="G190" s="1" t="n"/>
      <c r="H190" s="1" t="n"/>
      <c r="I190" s="1" t="n"/>
      <c r="J190" s="1" t="n"/>
      <c r="K190" s="1" t="n"/>
      <c r="L190" s="1" t="n"/>
      <c r="M190" s="1" t="n"/>
    </row>
    <row r="191" ht="15" customHeight="1">
      <c r="A191" s="1" t="n"/>
      <c r="B191" s="1" t="n"/>
      <c r="C191" s="1" t="n"/>
      <c r="D191" s="1" t="n"/>
      <c r="E191" s="1" t="n"/>
      <c r="F191" s="1" t="n"/>
      <c r="G191" s="1" t="n"/>
      <c r="H191" s="1" t="n"/>
      <c r="I191" s="1" t="n"/>
      <c r="J191" s="1" t="n"/>
      <c r="K191" s="1" t="n"/>
      <c r="L191" s="1" t="n"/>
      <c r="M191" s="1" t="n"/>
    </row>
    <row r="192" ht="15" customHeight="1">
      <c r="A192" s="1" t="n"/>
      <c r="B192" s="1" t="n"/>
      <c r="C192" s="1" t="n"/>
      <c r="D192" s="1" t="n"/>
      <c r="E192" s="1" t="n"/>
      <c r="F192" s="1" t="n"/>
      <c r="G192" s="1" t="n"/>
      <c r="H192" s="1" t="n"/>
      <c r="I192" s="1" t="n"/>
      <c r="J192" s="1" t="n"/>
      <c r="K192" s="1" t="n"/>
      <c r="L192" s="1" t="n"/>
      <c r="M192" s="1" t="n"/>
    </row>
    <row r="193" ht="15" customHeight="1">
      <c r="A193" s="1" t="n"/>
      <c r="B193" s="1" t="n"/>
      <c r="C193" s="1" t="n"/>
      <c r="D193" s="1" t="n"/>
      <c r="E193" s="1" t="n"/>
      <c r="F193" s="1" t="n"/>
      <c r="G193" s="1" t="n"/>
      <c r="H193" s="1" t="n"/>
      <c r="I193" s="1" t="n"/>
      <c r="J193" s="1" t="n"/>
      <c r="K193" s="1" t="n"/>
      <c r="L193" s="1" t="n"/>
      <c r="M193" s="1" t="n"/>
    </row>
    <row r="194" ht="15" customHeight="1">
      <c r="A194" s="1" t="n"/>
      <c r="B194" s="1" t="n"/>
      <c r="C194" s="1" t="n"/>
      <c r="D194" s="1" t="n"/>
      <c r="E194" s="1" t="n"/>
      <c r="F194" s="1" t="n"/>
      <c r="G194" s="1" t="n"/>
      <c r="H194" s="1" t="n"/>
      <c r="I194" s="1" t="n"/>
      <c r="J194" s="1" t="n"/>
      <c r="K194" s="1" t="n"/>
      <c r="L194" s="1" t="n"/>
      <c r="M194" s="1" t="n"/>
    </row>
    <row r="195" ht="15" customHeight="1">
      <c r="A195" s="1" t="n"/>
      <c r="B195" s="1" t="n"/>
      <c r="C195" s="1" t="n"/>
      <c r="D195" s="1" t="n"/>
      <c r="E195" s="1" t="n"/>
      <c r="F195" s="1" t="n"/>
      <c r="G195" s="1" t="n"/>
      <c r="H195" s="1" t="n"/>
      <c r="I195" s="1" t="n"/>
      <c r="J195" s="1" t="n"/>
      <c r="K195" s="1" t="n"/>
      <c r="L195" s="1" t="n"/>
      <c r="M195" s="1" t="n"/>
    </row>
    <row r="196" ht="15" customHeight="1">
      <c r="A196" s="1" t="n"/>
      <c r="B196" s="1" t="n"/>
      <c r="C196" s="1" t="n"/>
      <c r="D196" s="1" t="n"/>
      <c r="E196" s="1" t="n"/>
      <c r="F196" s="1" t="n"/>
      <c r="G196" s="1" t="n"/>
      <c r="H196" s="1" t="n"/>
      <c r="I196" s="1" t="n"/>
      <c r="J196" s="1" t="n"/>
      <c r="K196" s="1" t="n"/>
      <c r="L196" s="1" t="n"/>
      <c r="M196" s="1" t="n"/>
    </row>
    <row r="197" ht="15" customHeight="1">
      <c r="A197" s="1" t="n"/>
      <c r="B197" s="1" t="n"/>
      <c r="C197" s="1" t="n"/>
      <c r="D197" s="1" t="n"/>
      <c r="E197" s="1" t="n"/>
      <c r="F197" s="1" t="n"/>
      <c r="G197" s="1" t="n"/>
      <c r="H197" s="1" t="n"/>
      <c r="I197" s="1" t="n"/>
      <c r="J197" s="1" t="n"/>
      <c r="K197" s="1" t="n"/>
      <c r="L197" s="1" t="n"/>
      <c r="M197" s="1" t="n"/>
    </row>
    <row r="198" ht="15" customHeight="1">
      <c r="A198" s="1" t="n"/>
      <c r="B198" s="1" t="n"/>
      <c r="C198" s="1" t="n"/>
      <c r="D198" s="1" t="n"/>
      <c r="E198" s="1" t="n"/>
      <c r="F198" s="1" t="n"/>
      <c r="G198" s="1" t="n"/>
      <c r="H198" s="1" t="n"/>
      <c r="I198" s="1" t="n"/>
      <c r="J198" s="1" t="n"/>
      <c r="K198" s="1" t="n"/>
      <c r="L198" s="1" t="n"/>
      <c r="M198" s="1" t="n"/>
    </row>
    <row r="199" ht="15" customHeight="1">
      <c r="A199" s="1" t="n"/>
      <c r="B199" s="1" t="n"/>
      <c r="C199" s="1" t="n"/>
      <c r="D199" s="1" t="n"/>
      <c r="E199" s="1" t="n"/>
      <c r="F199" s="1" t="n"/>
      <c r="G199" s="1" t="n"/>
      <c r="H199" s="1" t="n"/>
      <c r="I199" s="1" t="n"/>
      <c r="J199" s="1" t="n"/>
      <c r="K199" s="1" t="n"/>
      <c r="L199" s="1" t="n"/>
      <c r="M199" s="1" t="n"/>
    </row>
    <row r="200" ht="15" customHeight="1">
      <c r="A200" s="1" t="n"/>
      <c r="B200" s="1" t="n"/>
      <c r="C200" s="1" t="n"/>
      <c r="D200" s="1" t="n"/>
      <c r="E200" s="1" t="n"/>
      <c r="F200" s="1" t="n"/>
      <c r="G200" s="1" t="n"/>
      <c r="H200" s="1" t="n"/>
      <c r="I200" s="1" t="n"/>
      <c r="J200" s="1" t="n"/>
      <c r="K200" s="1" t="n"/>
      <c r="L200" s="1" t="n"/>
      <c r="M200" s="1" t="n"/>
    </row>
  </sheetData>
  <mergeCells count="15">
    <mergeCell ref="A43:I43"/>
    <mergeCell ref="A41:I41"/>
    <mergeCell ref="A49:I49"/>
    <mergeCell ref="A51:I51"/>
    <mergeCell ref="A42:I42"/>
    <mergeCell ref="A46:I46"/>
    <mergeCell ref="A48:I48"/>
    <mergeCell ref="A44:I44"/>
    <mergeCell ref="A2:K2"/>
    <mergeCell ref="A40:I40"/>
    <mergeCell ref="A45:I45"/>
    <mergeCell ref="A39:I39"/>
    <mergeCell ref="A50:I50"/>
    <mergeCell ref="A1:K1"/>
    <mergeCell ref="A38:I38"/>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M200"/>
  <sheetViews>
    <sheetView workbookViewId="0">
      <selection activeCell="B5" sqref="B5"/>
    </sheetView>
  </sheetViews>
  <sheetFormatPr baseColWidth="10" defaultColWidth="8.83203125" defaultRowHeight="14"/>
  <cols>
    <col width="18" customWidth="1" min="1" max="1"/>
    <col width="38" customWidth="1" min="2" max="2"/>
    <col width="40" customWidth="1" min="3" max="3"/>
    <col width="38" customWidth="1" min="4" max="4"/>
    <col width="14" customWidth="1" min="5" max="5"/>
    <col width="24" customWidth="1" min="6" max="6"/>
    <col width="34" customWidth="1" min="7" max="7"/>
    <col width="38" customWidth="1" min="8" max="8"/>
    <col width="25" customWidth="1" min="9" max="9"/>
    <col width="48" customWidth="1" min="10" max="10"/>
    <col width="16" customWidth="1" min="11" max="11"/>
  </cols>
  <sheetData>
    <row r="1" ht="42.75" customHeight="1">
      <c r="A1" s="16" t="inlineStr">
        <is>
          <t>Web App Product Requirements</t>
        </is>
      </c>
      <c r="L1" s="1" t="n"/>
      <c r="M1" s="1" t="n"/>
    </row>
    <row r="2" ht="40" customHeight="1">
      <c r="A2" s="17" t="inlineStr">
        <is>
          <t>Build guidance after methodology validation. The utility should stand alone and provide value before any Jaspen CTA.</t>
        </is>
      </c>
      <c r="L2" s="1" t="n"/>
      <c r="M2" s="1" t="n"/>
    </row>
    <row r="3" ht="15" customHeight="1">
      <c r="A3" s="1" t="n"/>
      <c r="B3" s="1" t="n"/>
      <c r="C3" s="1" t="n"/>
      <c r="D3" s="1" t="n"/>
      <c r="E3" s="1" t="n"/>
      <c r="F3" s="1" t="n"/>
      <c r="G3" s="1" t="n"/>
      <c r="H3" s="1" t="n"/>
      <c r="I3" s="1" t="n"/>
      <c r="J3" s="1" t="n"/>
      <c r="K3" s="1" t="n"/>
      <c r="L3" s="1" t="n"/>
      <c r="M3" s="1" t="n"/>
    </row>
    <row r="4" ht="15" customHeight="1">
      <c r="A4" s="4" t="inlineStr">
        <is>
          <t>Requirement Area</t>
        </is>
      </c>
      <c r="B4" s="4" t="inlineStr">
        <is>
          <t>Requirement</t>
        </is>
      </c>
      <c r="C4" s="4" t="inlineStr">
        <is>
          <t>User Experience</t>
        </is>
      </c>
      <c r="D4" s="4" t="inlineStr">
        <is>
          <t>Data / Logic</t>
        </is>
      </c>
      <c r="E4" s="4" t="inlineStr">
        <is>
          <t>Required?</t>
        </is>
      </c>
      <c r="F4" s="4" t="inlineStr">
        <is>
          <t>Analytics Event</t>
        </is>
      </c>
      <c r="G4" s="4" t="inlineStr">
        <is>
          <t>Privacy / Trust</t>
        </is>
      </c>
      <c r="H4" s="4" t="inlineStr">
        <is>
          <t>SEO / Discovery</t>
        </is>
      </c>
      <c r="I4" s="4" t="inlineStr">
        <is>
          <t>Accessibility</t>
        </is>
      </c>
      <c r="J4" s="4" t="inlineStr">
        <is>
          <t>Acceptance Criteria</t>
        </is>
      </c>
      <c r="K4" s="4" t="inlineStr">
        <is>
          <t>Status</t>
        </is>
      </c>
      <c r="L4" s="1" t="n"/>
      <c r="M4" s="1" t="n"/>
    </row>
    <row r="5" ht="30" customHeight="1">
      <c r="A5" s="3" t="inlineStr">
        <is>
          <t>Routing</t>
        </is>
      </c>
      <c r="B5" s="3" t="inlineStr">
        <is>
          <t>Host on jaspen.ai/tools/employee-turnover-cost or similar</t>
        </is>
      </c>
      <c r="C5" s="3" t="inlineStr">
        <is>
          <t>Feels like a Jaspen utility, not a separate microsite</t>
        </is>
      </c>
      <c r="D5" s="3" t="inlineStr">
        <is>
          <t>Same domain authority and analytics</t>
        </is>
      </c>
      <c r="E5" s="3" t="inlineStr">
        <is>
          <t>Yes</t>
        </is>
      </c>
      <c r="F5" s="3" t="inlineStr">
        <is>
          <t>utility_view</t>
        </is>
      </c>
      <c r="G5" s="3" t="inlineStr">
        <is>
          <t>No sensitive HR records required</t>
        </is>
      </c>
      <c r="H5" s="3" t="inlineStr">
        <is>
          <t>Target cost of turnover, attrition cost, true cost of employee turnover, knowledge loss</t>
        </is>
      </c>
      <c r="I5" s="3" t="inlineStr">
        <is>
          <t>Semantic headings</t>
        </is>
      </c>
      <c r="J5" s="3" t="inlineStr">
        <is>
          <t>Public URL is indexable and canonical</t>
        </is>
      </c>
      <c r="K5" s="3" t="inlineStr">
        <is>
          <t>Proposed</t>
        </is>
      </c>
      <c r="L5" s="1" t="n"/>
      <c r="M5" s="1" t="n"/>
    </row>
    <row r="6" ht="30" customHeight="1">
      <c r="A6" s="3" t="inlineStr">
        <is>
          <t>Mode</t>
        </is>
      </c>
      <c r="B6" s="3" t="inlineStr">
        <is>
          <t>Single departure or annual exposure</t>
        </is>
      </c>
      <c r="C6" s="3" t="inlineStr">
        <is>
          <t>User chooses one person/role or annualized role population</t>
        </is>
      </c>
      <c r="D6" s="3" t="inlineStr">
        <is>
          <t>Changes scale logic only</t>
        </is>
      </c>
      <c r="E6" s="3" t="inlineStr">
        <is>
          <t>Yes</t>
        </is>
      </c>
      <c r="F6" s="3" t="inlineStr">
        <is>
          <t>mode_selected</t>
        </is>
      </c>
      <c r="G6" s="3" t="inlineStr">
        <is>
          <t>No employee names</t>
        </is>
      </c>
      <c r="H6" s="3" t="inlineStr">
        <is>
          <t>Supports broader intent</t>
        </is>
      </c>
      <c r="I6" s="3" t="inlineStr">
        <is>
          <t>Radio buttons labeled</t>
        </is>
      </c>
      <c r="J6" s="3" t="inlineStr">
        <is>
          <t>Results clearly state selected mode</t>
        </is>
      </c>
      <c r="K6" s="3" t="inlineStr">
        <is>
          <t>Proposed</t>
        </is>
      </c>
      <c r="L6" s="1" t="n"/>
      <c r="M6" s="1" t="n"/>
    </row>
    <row r="7" ht="30" customHeight="1">
      <c r="A7" s="3" t="inlineStr">
        <is>
          <t>Step 1</t>
        </is>
      </c>
      <c r="B7" s="3" t="inlineStr">
        <is>
          <t>Role setup</t>
        </is>
      </c>
      <c r="C7" s="3" t="inlineStr">
        <is>
          <t>Maximum 5-6 visible inputs</t>
        </is>
      </c>
      <c r="D7" s="3" t="inlineStr">
        <is>
          <t>Role category, level, optional industry, salary, departures</t>
        </is>
      </c>
      <c r="E7" s="3" t="inlineStr">
        <is>
          <t>Yes</t>
        </is>
      </c>
      <c r="F7" s="3" t="inlineStr">
        <is>
          <t>role_setup_completed</t>
        </is>
      </c>
      <c r="G7" s="3" t="inlineStr">
        <is>
          <t>Industry optional</t>
        </is>
      </c>
      <c r="H7" s="3" t="inlineStr">
        <is>
          <t>Useful content around role cost</t>
        </is>
      </c>
      <c r="I7" s="3" t="inlineStr">
        <is>
          <t>Keyboard accessible</t>
        </is>
      </c>
      <c r="J7" s="3" t="inlineStr">
        <is>
          <t>Can proceed without knowing salary</t>
        </is>
      </c>
      <c r="K7" s="3" t="inlineStr">
        <is>
          <t>Proposed</t>
        </is>
      </c>
      <c r="L7" s="1" t="n"/>
      <c r="M7" s="1" t="n"/>
    </row>
    <row r="8" ht="15" customHeight="1">
      <c r="A8" s="3" t="inlineStr">
        <is>
          <t>Step 2</t>
        </is>
      </c>
      <c r="B8" s="3" t="inlineStr">
        <is>
          <t>Benchmark review</t>
        </is>
      </c>
      <c r="C8" s="3" t="inlineStr">
        <is>
          <t>Pre-populated values with source and Edit option</t>
        </is>
      </c>
      <c r="D8" s="3" t="inlineStr">
        <is>
          <t>Benchmark hierarchy and provenance</t>
        </is>
      </c>
      <c r="E8" s="3" t="inlineStr">
        <is>
          <t>Yes</t>
        </is>
      </c>
      <c r="F8" s="3" t="inlineStr">
        <is>
          <t>benchmark_overridden</t>
        </is>
      </c>
      <c r="G8" s="3" t="inlineStr">
        <is>
          <t>No hidden assumptions</t>
        </is>
      </c>
      <c r="H8" s="3" t="inlineStr">
        <is>
          <t>Unique trust differentiator</t>
        </is>
      </c>
      <c r="I8" s="3" t="inlineStr">
        <is>
          <t>Expandable source detail</t>
        </is>
      </c>
      <c r="J8" s="3" t="inlineStr">
        <is>
          <t>Each default displays source and period</t>
        </is>
      </c>
      <c r="K8" s="3" t="inlineStr">
        <is>
          <t>Proposed</t>
        </is>
      </c>
      <c r="L8" s="1" t="n"/>
      <c r="M8" s="1" t="n"/>
    </row>
    <row r="9" ht="30" customHeight="1">
      <c r="A9" s="3" t="inlineStr">
        <is>
          <t>Step 3</t>
        </is>
      </c>
      <c r="B9" s="3" t="inlineStr">
        <is>
          <t>Knowledge impact</t>
        </is>
      </c>
      <c r="C9" s="3" t="inlineStr">
        <is>
          <t>Short conditional module</t>
        </is>
      </c>
      <c r="D9" s="3" t="inlineStr">
        <is>
          <t>Show only questions relevant to planned transfer, projects, relationships</t>
        </is>
      </c>
      <c r="E9" s="3" t="inlineStr">
        <is>
          <t>Yes</t>
        </is>
      </c>
      <c r="F9" s="3" t="inlineStr">
        <is>
          <t>knowledge_module_completed</t>
        </is>
      </c>
      <c r="G9" s="3" t="inlineStr">
        <is>
          <t>No proprietary project names requested</t>
        </is>
      </c>
      <c r="H9" s="3" t="inlineStr">
        <is>
          <t>Differentiated utility angle</t>
        </is>
      </c>
      <c r="I9" s="3" t="inlineStr">
        <is>
          <t>Progress indicator</t>
        </is>
      </c>
      <c r="J9" s="3" t="inlineStr">
        <is>
          <t>No more than 4-5 questions in default path</t>
        </is>
      </c>
      <c r="K9" s="3" t="inlineStr">
        <is>
          <t>Proposed</t>
        </is>
      </c>
      <c r="L9" s="1" t="n"/>
      <c r="M9" s="1" t="n"/>
    </row>
    <row r="10" ht="30" customHeight="1">
      <c r="A10" s="3" t="inlineStr">
        <is>
          <t>Results preview</t>
        </is>
      </c>
      <c r="B10" s="3" t="inlineStr">
        <is>
          <t>Show total range and category breakdown immediately</t>
        </is>
      </c>
      <c r="C10" s="3" t="inlineStr">
        <is>
          <t>Do not hold all value behind email gate</t>
        </is>
      </c>
      <c r="D10" s="3" t="inlineStr">
        <is>
          <t>Calculate client or server side</t>
        </is>
      </c>
      <c r="E10" s="3" t="inlineStr">
        <is>
          <t>Yes</t>
        </is>
      </c>
      <c r="F10" s="3" t="inlineStr">
        <is>
          <t>results_viewed</t>
        </is>
      </c>
      <c r="G10" s="3" t="inlineStr">
        <is>
          <t>Disclose estimate limitations</t>
        </is>
      </c>
      <c r="H10" s="3" t="inlineStr">
        <is>
          <t>Indexable explanatory copy</t>
        </is>
      </c>
      <c r="I10" s="3" t="inlineStr">
        <is>
          <t>Charts have text equivalents</t>
        </is>
      </c>
      <c r="J10" s="3" t="inlineStr">
        <is>
          <t>User sees useful result before email request</t>
        </is>
      </c>
      <c r="K10" s="3" t="inlineStr">
        <is>
          <t>Proposed</t>
        </is>
      </c>
      <c r="L10" s="1" t="n"/>
      <c r="M10" s="1" t="n"/>
    </row>
    <row r="11" ht="15" customHeight="1">
      <c r="A11" s="3" t="inlineStr">
        <is>
          <t>Lead capture</t>
        </is>
      </c>
      <c r="B11" s="3" t="inlineStr">
        <is>
          <t>Offer downloadable/email report after preview</t>
        </is>
      </c>
      <c r="C11" s="3" t="inlineStr">
        <is>
          <t>Optional but compelling</t>
        </is>
      </c>
      <c r="D11" s="3" t="inlineStr">
        <is>
          <t>Persist inputs and results with consent</t>
        </is>
      </c>
      <c r="E11" s="3" t="inlineStr">
        <is>
          <t>Experiment</t>
        </is>
      </c>
      <c r="F11" s="3" t="inlineStr">
        <is>
          <t>report_requested</t>
        </is>
      </c>
      <c r="G11" s="3" t="inlineStr">
        <is>
          <t>Consent and retention statement</t>
        </is>
      </c>
      <c r="H11" s="3" t="inlineStr">
        <is>
          <t>Lead source = utility name</t>
        </is>
      </c>
      <c r="I11" s="3" t="inlineStr">
        <is>
          <t>Clear labels</t>
        </is>
      </c>
      <c r="J11" s="3" t="inlineStr">
        <is>
          <t>Unsubscribe available for marketing emails</t>
        </is>
      </c>
      <c r="K11" s="3" t="inlineStr">
        <is>
          <t>Proposed</t>
        </is>
      </c>
      <c r="L11" s="1" t="n"/>
      <c r="M11" s="1" t="n"/>
    </row>
    <row r="12" ht="15" customHeight="1">
      <c r="A12" s="3" t="inlineStr">
        <is>
          <t>Estimate Built Using</t>
        </is>
      </c>
      <c r="B12" s="3" t="inlineStr">
        <is>
          <t>Show 3-way composition: Published Benchmarks / Research-Based Estimates / Your Inputs</t>
        </is>
      </c>
      <c r="C12" s="3" t="inlineStr">
        <is>
          <t>Simple three-part bar or labels totaling 100%</t>
        </is>
      </c>
      <c r="D12" s="3" t="inlineStr">
        <is>
          <t>Cost-weighted provenance</t>
        </is>
      </c>
      <c r="E12" s="3" t="inlineStr">
        <is>
          <t>Yes</t>
        </is>
      </c>
      <c r="F12" s="3" t="inlineStr">
        <is>
          <t>composition_viewed</t>
        </is>
      </c>
      <c r="G12" s="3" t="inlineStr">
        <is>
          <t>No accuracy claim</t>
        </is>
      </c>
      <c r="H12" s="3" t="inlineStr">
        <is>
          <t>Trust content</t>
        </is>
      </c>
      <c r="I12" s="3" t="inlineStr">
        <is>
          <t>Not color-only</t>
        </is>
      </c>
      <c r="J12" s="3" t="inlineStr">
        <is>
          <t>Three percentages total 100%; none labeled as confidence or accuracy</t>
        </is>
      </c>
      <c r="K12" s="3" t="inlineStr">
        <is>
          <t>Proposed</t>
        </is>
      </c>
      <c r="L12" s="1" t="n"/>
      <c r="M12" s="1" t="n"/>
    </row>
    <row r="13" ht="15" customHeight="1">
      <c r="A13" s="3" t="inlineStr">
        <is>
          <t>Assumptions</t>
        </is>
      </c>
      <c r="B13" s="3" t="inlineStr">
        <is>
          <t>Expandable calculation detail</t>
        </is>
      </c>
      <c r="C13" s="3" t="inlineStr">
        <is>
          <t>Users can see formula basis and source</t>
        </is>
      </c>
      <c r="D13" s="3" t="inlineStr">
        <is>
          <t>Component inputs and formulas</t>
        </is>
      </c>
      <c r="E13" s="3" t="inlineStr">
        <is>
          <t>Yes</t>
        </is>
      </c>
      <c r="F13" s="3" t="inlineStr">
        <is>
          <t>methodology_opened</t>
        </is>
      </c>
      <c r="G13" s="3" t="inlineStr">
        <is>
          <t>Source URLs and dates</t>
        </is>
      </c>
      <c r="H13" s="3" t="inlineStr">
        <is>
          <t>Can rank for methodology questions</t>
        </is>
      </c>
      <c r="I13" s="3" t="inlineStr">
        <is>
          <t>Readable table</t>
        </is>
      </c>
      <c r="J13" s="3" t="inlineStr">
        <is>
          <t>Every result traceable to inputs/defaults</t>
        </is>
      </c>
      <c r="K13" s="3" t="inlineStr">
        <is>
          <t>Proposed</t>
        </is>
      </c>
      <c r="L13" s="1" t="n"/>
      <c r="M13" s="1" t="n"/>
    </row>
    <row r="14" ht="15" customHeight="1">
      <c r="A14" s="3" t="inlineStr">
        <is>
          <t>CTA</t>
        </is>
      </c>
      <c r="B14" s="3" t="inlineStr">
        <is>
          <t>Soft Jaspen institutional-memory connection</t>
        </is>
      </c>
      <c r="C14" s="3" t="inlineStr">
        <is>
          <t>Appears after results and explanation</t>
        </is>
      </c>
      <c r="D14" s="3" t="inlineStr">
        <is>
          <t>No savings guarantee</t>
        </is>
      </c>
      <c r="E14" s="3" t="inlineStr">
        <is>
          <t>Yes</t>
        </is>
      </c>
      <c r="F14" s="3" t="inlineStr">
        <is>
          <t>jaspen_cta_clicked</t>
        </is>
      </c>
      <c r="G14" s="3" t="inlineStr">
        <is>
          <t>No claim Jaspen prevents turnover</t>
        </is>
      </c>
      <c r="H14" s="3" t="inlineStr">
        <is>
          <t>Links to product/enterprise page</t>
        </is>
      </c>
      <c r="I14" s="3" t="inlineStr">
        <is>
          <t>Descriptive button</t>
        </is>
      </c>
      <c r="J14" s="3" t="inlineStr">
        <is>
          <t>Copy says Jaspen can help preserve context, not all cost</t>
        </is>
      </c>
      <c r="K14" s="3" t="inlineStr">
        <is>
          <t>Proposed</t>
        </is>
      </c>
      <c r="L14" s="1" t="n"/>
      <c r="M14" s="1" t="n"/>
    </row>
    <row r="15" ht="15" customHeight="1">
      <c r="A15" s="3" t="inlineStr">
        <is>
          <t>Admin</t>
        </is>
      </c>
      <c r="B15" s="3" t="inlineStr">
        <is>
          <t>Benchmark versioning</t>
        </is>
      </c>
      <c r="C15" s="3" t="inlineStr">
        <is>
          <t>Invisible to visitor</t>
        </is>
      </c>
      <c r="D15" s="3" t="inlineStr">
        <is>
          <t>Effective dates, source, version, retirement flag</t>
        </is>
      </c>
      <c r="E15" s="3" t="inlineStr">
        <is>
          <t>Yes</t>
        </is>
      </c>
      <c r="F15" s="3" t="inlineStr">
        <is>
          <t>n/a</t>
        </is>
      </c>
      <c r="G15" s="3" t="inlineStr">
        <is>
          <t>Audit trail</t>
        </is>
      </c>
      <c r="H15" s="3" t="inlineStr">
        <is>
          <t>Freshness supports SEO trust</t>
        </is>
      </c>
      <c r="I15" s="3" t="inlineStr">
        <is>
          <t>n/a</t>
        </is>
      </c>
      <c r="J15" s="3" t="inlineStr">
        <is>
          <t>Can update benchmark without code rewrite</t>
        </is>
      </c>
      <c r="K15" s="3" t="inlineStr">
        <is>
          <t>Proposed</t>
        </is>
      </c>
      <c r="L15" s="1" t="n"/>
      <c r="M15" s="1" t="n"/>
    </row>
    <row r="16" ht="15" customHeight="1">
      <c r="A16" s="3" t="inlineStr">
        <is>
          <t>Analytics</t>
        </is>
      </c>
      <c r="B16" s="3" t="inlineStr">
        <is>
          <t>Track completion and override behavior</t>
        </is>
      </c>
      <c r="C16" s="3" t="inlineStr">
        <is>
          <t>No disruption</t>
        </is>
      </c>
      <c r="D16" s="3" t="inlineStr">
        <is>
          <t>Step dropoff, fields overridden, CTA rate</t>
        </is>
      </c>
      <c r="E16" s="3" t="inlineStr">
        <is>
          <t>Yes</t>
        </is>
      </c>
      <c r="F16" s="3" t="inlineStr">
        <is>
          <t>multiple</t>
        </is>
      </c>
      <c r="G16" s="3" t="inlineStr">
        <is>
          <t>Aggregate data only unless consented</t>
        </is>
      </c>
      <c r="H16" s="3" t="inlineStr">
        <is>
          <t>Improve utility</t>
        </is>
      </c>
      <c r="I16" s="3" t="inlineStr">
        <is>
          <t>n/a</t>
        </is>
      </c>
      <c r="J16" s="3" t="inlineStr">
        <is>
          <t>Dashboard reports funnel and benchmark overrides</t>
        </is>
      </c>
      <c r="K16" s="3" t="inlineStr">
        <is>
          <t>Proposed</t>
        </is>
      </c>
      <c r="L16" s="1" t="n"/>
      <c r="M16" s="1" t="n"/>
    </row>
    <row r="17" ht="15" customHeight="1">
      <c r="A17" s="1" t="n"/>
      <c r="B17" s="1" t="n"/>
      <c r="C17" s="1" t="n"/>
      <c r="D17" s="1" t="n"/>
      <c r="E17" s="1" t="n"/>
      <c r="F17" s="1" t="n"/>
      <c r="G17" s="1" t="n"/>
      <c r="H17" s="1" t="n"/>
      <c r="I17" s="1" t="n"/>
      <c r="J17" s="1" t="n"/>
      <c r="K17" s="1" t="n"/>
      <c r="L17" s="1" t="n"/>
      <c r="M17" s="1" t="n"/>
    </row>
    <row r="18" ht="15" customHeight="1">
      <c r="A18" s="1" t="n"/>
      <c r="B18" s="1" t="n"/>
      <c r="C18" s="1" t="n"/>
      <c r="D18" s="1" t="n"/>
      <c r="E18" s="1" t="n"/>
      <c r="F18" s="1" t="n"/>
      <c r="G18" s="1" t="n"/>
      <c r="H18" s="1" t="n"/>
      <c r="I18" s="1" t="n"/>
      <c r="J18" s="1" t="n"/>
      <c r="K18" s="1" t="n"/>
      <c r="L18" s="1" t="n"/>
      <c r="M18" s="1" t="n"/>
    </row>
    <row r="19" ht="15" customHeight="1">
      <c r="A19" s="1" t="n"/>
      <c r="B19" s="1" t="n"/>
      <c r="C19" s="1" t="n"/>
      <c r="D19" s="1" t="n"/>
      <c r="E19" s="1" t="n"/>
      <c r="F19" s="1" t="n"/>
      <c r="G19" s="1" t="n"/>
      <c r="H19" s="1" t="n"/>
      <c r="I19" s="1" t="n"/>
      <c r="J19" s="1" t="n"/>
      <c r="K19" s="1" t="n"/>
      <c r="L19" s="1" t="n"/>
      <c r="M19" s="1" t="n"/>
    </row>
    <row r="20" ht="15" customHeight="1">
      <c r="A20" s="1" t="n"/>
      <c r="B20" s="1" t="n"/>
      <c r="C20" s="1" t="n"/>
      <c r="D20" s="1" t="n"/>
      <c r="E20" s="1" t="n"/>
      <c r="F20" s="1" t="n"/>
      <c r="G20" s="1" t="n"/>
      <c r="H20" s="1" t="n"/>
      <c r="I20" s="1" t="n"/>
      <c r="J20" s="1" t="n"/>
      <c r="K20" s="1" t="n"/>
      <c r="L20" s="1" t="n"/>
      <c r="M20" s="1" t="n"/>
    </row>
    <row r="21" ht="15" customHeight="1">
      <c r="A21" s="1" t="n"/>
      <c r="B21" s="1" t="n"/>
      <c r="C21" s="1" t="n"/>
      <c r="D21" s="1" t="n"/>
      <c r="E21" s="1" t="n"/>
      <c r="F21" s="1" t="n"/>
      <c r="G21" s="1" t="n"/>
      <c r="H21" s="1" t="n"/>
      <c r="I21" s="1" t="n"/>
      <c r="J21" s="1" t="n"/>
      <c r="K21" s="1" t="n"/>
      <c r="L21" s="1" t="n"/>
      <c r="M21" s="1" t="n"/>
    </row>
    <row r="22" ht="15" customHeight="1">
      <c r="A22" s="1" t="n"/>
      <c r="B22" s="1" t="n"/>
      <c r="C22" s="1" t="n"/>
      <c r="D22" s="1" t="n"/>
      <c r="E22" s="1" t="n"/>
      <c r="F22" s="1" t="n"/>
      <c r="G22" s="1" t="n"/>
      <c r="H22" s="1" t="n"/>
      <c r="I22" s="1" t="n"/>
      <c r="J22" s="1" t="n"/>
      <c r="K22" s="1" t="n"/>
      <c r="L22" s="1" t="n"/>
      <c r="M22" s="1" t="n"/>
    </row>
    <row r="23" ht="15" customHeight="1">
      <c r="A23" s="1" t="n"/>
      <c r="B23" s="1" t="n"/>
      <c r="C23" s="1" t="n"/>
      <c r="D23" s="1" t="n"/>
      <c r="E23" s="1" t="n"/>
      <c r="F23" s="1" t="n"/>
      <c r="G23" s="1" t="n"/>
      <c r="H23" s="1" t="n"/>
      <c r="I23" s="1" t="n"/>
      <c r="J23" s="1" t="n"/>
      <c r="K23" s="1" t="n"/>
      <c r="L23" s="1" t="n"/>
      <c r="M23" s="1" t="n"/>
    </row>
    <row r="24" ht="15" customHeight="1">
      <c r="A24" s="1" t="n"/>
      <c r="B24" s="1" t="n"/>
      <c r="C24" s="1" t="n"/>
      <c r="D24" s="1" t="n"/>
      <c r="E24" s="1" t="n"/>
      <c r="F24" s="1" t="n"/>
      <c r="G24" s="1" t="n"/>
      <c r="H24" s="1" t="n"/>
      <c r="I24" s="1" t="n"/>
      <c r="J24" s="1" t="n"/>
      <c r="K24" s="1" t="n"/>
      <c r="L24" s="1" t="n"/>
      <c r="M24" s="1" t="n"/>
    </row>
    <row r="25" ht="15" customHeight="1">
      <c r="A25" s="1" t="n"/>
      <c r="B25" s="1" t="n"/>
      <c r="C25" s="1" t="n"/>
      <c r="D25" s="1" t="n"/>
      <c r="E25" s="1" t="n"/>
      <c r="F25" s="1" t="n"/>
      <c r="G25" s="1" t="n"/>
      <c r="H25" s="1" t="n"/>
      <c r="I25" s="1" t="n"/>
      <c r="J25" s="1" t="n"/>
      <c r="K25" s="1" t="n"/>
      <c r="L25" s="1" t="n"/>
      <c r="M25" s="1" t="n"/>
    </row>
    <row r="26" ht="15" customHeight="1">
      <c r="A26" s="1" t="n"/>
      <c r="B26" s="1" t="n"/>
      <c r="C26" s="1" t="n"/>
      <c r="D26" s="1" t="n"/>
      <c r="E26" s="1" t="n"/>
      <c r="F26" s="1" t="n"/>
      <c r="G26" s="1" t="n"/>
      <c r="H26" s="1" t="n"/>
      <c r="I26" s="1" t="n"/>
      <c r="J26" s="1" t="n"/>
      <c r="K26" s="1" t="n"/>
      <c r="L26" s="1" t="n"/>
      <c r="M26" s="1" t="n"/>
    </row>
    <row r="27" ht="15" customHeight="1">
      <c r="A27" s="1" t="n"/>
      <c r="B27" s="1" t="n"/>
      <c r="C27" s="1" t="n"/>
      <c r="D27" s="1" t="n"/>
      <c r="E27" s="1" t="n"/>
      <c r="F27" s="1" t="n"/>
      <c r="G27" s="1" t="n"/>
      <c r="H27" s="1" t="n"/>
      <c r="I27" s="1" t="n"/>
      <c r="J27" s="1" t="n"/>
      <c r="K27" s="1" t="n"/>
      <c r="L27" s="1" t="n"/>
      <c r="M27" s="1" t="n"/>
    </row>
    <row r="28" ht="15" customHeight="1">
      <c r="A28" s="1" t="n"/>
      <c r="B28" s="1" t="n"/>
      <c r="C28" s="1" t="n"/>
      <c r="D28" s="1" t="n"/>
      <c r="E28" s="1" t="n"/>
      <c r="F28" s="1" t="n"/>
      <c r="G28" s="1" t="n"/>
      <c r="H28" s="1" t="n"/>
      <c r="I28" s="1" t="n"/>
      <c r="J28" s="1" t="n"/>
      <c r="K28" s="1" t="n"/>
      <c r="L28" s="1" t="n"/>
      <c r="M28" s="1" t="n"/>
    </row>
    <row r="29" ht="15" customHeight="1">
      <c r="A29" s="1" t="n"/>
      <c r="B29" s="1" t="n"/>
      <c r="C29" s="1" t="n"/>
      <c r="D29" s="1" t="n"/>
      <c r="E29" s="1" t="n"/>
      <c r="F29" s="1" t="n"/>
      <c r="G29" s="1" t="n"/>
      <c r="H29" s="1" t="n"/>
      <c r="I29" s="1" t="n"/>
      <c r="J29" s="1" t="n"/>
      <c r="K29" s="1" t="n"/>
      <c r="L29" s="1" t="n"/>
      <c r="M29" s="1" t="n"/>
    </row>
    <row r="30" ht="15" customHeight="1">
      <c r="A30" s="1" t="n"/>
      <c r="B30" s="1" t="n"/>
      <c r="C30" s="1" t="n"/>
      <c r="D30" s="1" t="n"/>
      <c r="E30" s="1" t="n"/>
      <c r="F30" s="1" t="n"/>
      <c r="G30" s="1" t="n"/>
      <c r="H30" s="1" t="n"/>
      <c r="I30" s="1" t="n"/>
      <c r="J30" s="1" t="n"/>
      <c r="K30" s="1" t="n"/>
      <c r="L30" s="1" t="n"/>
      <c r="M30" s="1" t="n"/>
    </row>
    <row r="31" ht="15" customHeight="1">
      <c r="A31" s="1" t="n"/>
      <c r="B31" s="1" t="n"/>
      <c r="C31" s="1" t="n"/>
      <c r="D31" s="1" t="n"/>
      <c r="E31" s="1" t="n"/>
      <c r="F31" s="1" t="n"/>
      <c r="G31" s="1" t="n"/>
      <c r="H31" s="1" t="n"/>
      <c r="I31" s="1" t="n"/>
      <c r="J31" s="1" t="n"/>
      <c r="K31" s="1" t="n"/>
      <c r="L31" s="1" t="n"/>
      <c r="M31" s="1" t="n"/>
    </row>
    <row r="32" ht="15" customHeight="1">
      <c r="A32" s="1" t="n"/>
      <c r="B32" s="1" t="n"/>
      <c r="C32" s="1" t="n"/>
      <c r="D32" s="1" t="n"/>
      <c r="E32" s="1" t="n"/>
      <c r="F32" s="1" t="n"/>
      <c r="G32" s="1" t="n"/>
      <c r="H32" s="1" t="n"/>
      <c r="I32" s="1" t="n"/>
      <c r="J32" s="1" t="n"/>
      <c r="K32" s="1" t="n"/>
      <c r="L32" s="1" t="n"/>
      <c r="M32" s="1" t="n"/>
    </row>
    <row r="33" ht="15" customHeight="1">
      <c r="A33" s="1" t="n"/>
      <c r="B33" s="1" t="n"/>
      <c r="C33" s="1" t="n"/>
      <c r="D33" s="1" t="n"/>
      <c r="E33" s="1" t="n"/>
      <c r="F33" s="1" t="n"/>
      <c r="G33" s="1" t="n"/>
      <c r="H33" s="1" t="n"/>
      <c r="I33" s="1" t="n"/>
      <c r="J33" s="1" t="n"/>
      <c r="K33" s="1" t="n"/>
      <c r="L33" s="1" t="n"/>
      <c r="M33" s="1" t="n"/>
    </row>
    <row r="34" ht="15" customHeight="1">
      <c r="A34" s="1" t="n"/>
      <c r="B34" s="1" t="n"/>
      <c r="C34" s="1" t="n"/>
      <c r="D34" s="1" t="n"/>
      <c r="E34" s="1" t="n"/>
      <c r="F34" s="1" t="n"/>
      <c r="G34" s="1" t="n"/>
      <c r="H34" s="1" t="n"/>
      <c r="I34" s="1" t="n"/>
      <c r="J34" s="1" t="n"/>
      <c r="K34" s="1" t="n"/>
      <c r="L34" s="1" t="n"/>
      <c r="M34" s="1" t="n"/>
    </row>
    <row r="35" ht="15" customHeight="1">
      <c r="A35" s="1" t="n"/>
      <c r="B35" s="1" t="n"/>
      <c r="C35" s="1" t="n"/>
      <c r="D35" s="1" t="n"/>
      <c r="E35" s="1" t="n"/>
      <c r="F35" s="1" t="n"/>
      <c r="G35" s="1" t="n"/>
      <c r="H35" s="1" t="n"/>
      <c r="I35" s="1" t="n"/>
      <c r="J35" s="1" t="n"/>
      <c r="K35" s="1" t="n"/>
      <c r="L35" s="1" t="n"/>
      <c r="M35" s="1" t="n"/>
    </row>
    <row r="36" ht="15" customHeight="1">
      <c r="A36" s="1" t="n"/>
      <c r="B36" s="1" t="n"/>
      <c r="C36" s="1" t="n"/>
      <c r="D36" s="1" t="n"/>
      <c r="E36" s="1" t="n"/>
      <c r="F36" s="1" t="n"/>
      <c r="G36" s="1" t="n"/>
      <c r="H36" s="1" t="n"/>
      <c r="I36" s="1" t="n"/>
      <c r="J36" s="1" t="n"/>
      <c r="K36" s="1" t="n"/>
      <c r="L36" s="1" t="n"/>
      <c r="M36" s="1" t="n"/>
    </row>
    <row r="37" ht="15" customHeight="1">
      <c r="A37" s="1" t="n"/>
      <c r="B37" s="1" t="n"/>
      <c r="C37" s="1" t="n"/>
      <c r="D37" s="1" t="n"/>
      <c r="E37" s="1" t="n"/>
      <c r="F37" s="1" t="n"/>
      <c r="G37" s="1" t="n"/>
      <c r="H37" s="1" t="n"/>
      <c r="I37" s="1" t="n"/>
      <c r="J37" s="1" t="n"/>
      <c r="K37" s="1" t="n"/>
      <c r="L37" s="1" t="n"/>
      <c r="M37" s="1" t="n"/>
    </row>
    <row r="38" ht="15" customHeight="1">
      <c r="A38" s="1" t="n"/>
      <c r="B38" s="1" t="n"/>
      <c r="C38" s="1" t="n"/>
      <c r="D38" s="1" t="n"/>
      <c r="E38" s="1" t="n"/>
      <c r="F38" s="1" t="n"/>
      <c r="G38" s="1" t="n"/>
      <c r="H38" s="1" t="n"/>
      <c r="I38" s="1" t="n"/>
      <c r="J38" s="1" t="n"/>
      <c r="K38" s="1" t="n"/>
      <c r="L38" s="1" t="n"/>
      <c r="M38" s="1" t="n"/>
    </row>
    <row r="39" ht="15" customHeight="1">
      <c r="A39" s="1" t="n"/>
      <c r="B39" s="1" t="n"/>
      <c r="C39" s="1" t="n"/>
      <c r="D39" s="1" t="n"/>
      <c r="E39" s="1" t="n"/>
      <c r="F39" s="1" t="n"/>
      <c r="G39" s="1" t="n"/>
      <c r="H39" s="1" t="n"/>
      <c r="I39" s="1" t="n"/>
      <c r="J39" s="1" t="n"/>
      <c r="K39" s="1" t="n"/>
      <c r="L39" s="1" t="n"/>
      <c r="M39" s="1" t="n"/>
    </row>
    <row r="40" ht="15" customHeight="1">
      <c r="A40" s="1" t="n"/>
      <c r="B40" s="1" t="n"/>
      <c r="C40" s="1" t="n"/>
      <c r="D40" s="1" t="n"/>
      <c r="E40" s="1" t="n"/>
      <c r="F40" s="1" t="n"/>
      <c r="G40" s="1" t="n"/>
      <c r="H40" s="1" t="n"/>
      <c r="I40" s="1" t="n"/>
      <c r="J40" s="1" t="n"/>
      <c r="K40" s="1" t="n"/>
      <c r="L40" s="1" t="n"/>
      <c r="M40" s="1" t="n"/>
    </row>
    <row r="41" ht="15" customHeight="1">
      <c r="A41" s="1" t="n"/>
      <c r="B41" s="1" t="n"/>
      <c r="C41" s="1" t="n"/>
      <c r="D41" s="1" t="n"/>
      <c r="E41" s="1" t="n"/>
      <c r="F41" s="1" t="n"/>
      <c r="G41" s="1" t="n"/>
      <c r="H41" s="1" t="n"/>
      <c r="I41" s="1" t="n"/>
      <c r="J41" s="1" t="n"/>
      <c r="K41" s="1" t="n"/>
      <c r="L41" s="1" t="n"/>
      <c r="M41" s="1" t="n"/>
    </row>
    <row r="42" ht="15" customHeight="1">
      <c r="A42" s="1" t="n"/>
      <c r="B42" s="1" t="n"/>
      <c r="C42" s="1" t="n"/>
      <c r="D42" s="1" t="n"/>
      <c r="E42" s="1" t="n"/>
      <c r="F42" s="1" t="n"/>
      <c r="G42" s="1" t="n"/>
      <c r="H42" s="1" t="n"/>
      <c r="I42" s="1" t="n"/>
      <c r="J42" s="1" t="n"/>
      <c r="K42" s="1" t="n"/>
      <c r="L42" s="1" t="n"/>
      <c r="M42" s="1" t="n"/>
    </row>
    <row r="43" ht="15" customHeight="1">
      <c r="A43" s="1" t="n"/>
      <c r="B43" s="1" t="n"/>
      <c r="C43" s="1" t="n"/>
      <c r="D43" s="1" t="n"/>
      <c r="E43" s="1" t="n"/>
      <c r="F43" s="1" t="n"/>
      <c r="G43" s="1" t="n"/>
      <c r="H43" s="1" t="n"/>
      <c r="I43" s="1" t="n"/>
      <c r="J43" s="1" t="n"/>
      <c r="K43" s="1" t="n"/>
      <c r="L43" s="1" t="n"/>
      <c r="M43" s="1" t="n"/>
    </row>
    <row r="44" ht="15" customHeight="1">
      <c r="A44" s="1" t="n"/>
      <c r="B44" s="1" t="n"/>
      <c r="C44" s="1" t="n"/>
      <c r="D44" s="1" t="n"/>
      <c r="E44" s="1" t="n"/>
      <c r="F44" s="1" t="n"/>
      <c r="G44" s="1" t="n"/>
      <c r="H44" s="1" t="n"/>
      <c r="I44" s="1" t="n"/>
      <c r="J44" s="1" t="n"/>
      <c r="K44" s="1" t="n"/>
      <c r="L44" s="1" t="n"/>
      <c r="M44" s="1" t="n"/>
    </row>
    <row r="45" ht="15" customHeight="1">
      <c r="A45" s="1" t="n"/>
      <c r="B45" s="1" t="n"/>
      <c r="C45" s="1" t="n"/>
      <c r="D45" s="1" t="n"/>
      <c r="E45" s="1" t="n"/>
      <c r="F45" s="1" t="n"/>
      <c r="G45" s="1" t="n"/>
      <c r="H45" s="1" t="n"/>
      <c r="I45" s="1" t="n"/>
      <c r="J45" s="1" t="n"/>
      <c r="K45" s="1" t="n"/>
      <c r="L45" s="1" t="n"/>
      <c r="M45" s="1" t="n"/>
    </row>
    <row r="46" ht="15" customHeight="1">
      <c r="A46" s="1" t="n"/>
      <c r="B46" s="1" t="n"/>
      <c r="C46" s="1" t="n"/>
      <c r="D46" s="1" t="n"/>
      <c r="E46" s="1" t="n"/>
      <c r="F46" s="1" t="n"/>
      <c r="G46" s="1" t="n"/>
      <c r="H46" s="1" t="n"/>
      <c r="I46" s="1" t="n"/>
      <c r="J46" s="1" t="n"/>
      <c r="K46" s="1" t="n"/>
      <c r="L46" s="1" t="n"/>
      <c r="M46" s="1" t="n"/>
    </row>
    <row r="47" ht="15" customHeight="1">
      <c r="A47" s="1" t="n"/>
      <c r="B47" s="1" t="n"/>
      <c r="C47" s="1" t="n"/>
      <c r="D47" s="1" t="n"/>
      <c r="E47" s="1" t="n"/>
      <c r="F47" s="1" t="n"/>
      <c r="G47" s="1" t="n"/>
      <c r="H47" s="1" t="n"/>
      <c r="I47" s="1" t="n"/>
      <c r="J47" s="1" t="n"/>
      <c r="K47" s="1" t="n"/>
      <c r="L47" s="1" t="n"/>
      <c r="M47" s="1" t="n"/>
    </row>
    <row r="48" ht="15" customHeight="1">
      <c r="A48" s="1" t="n"/>
      <c r="B48" s="1" t="n"/>
      <c r="C48" s="1" t="n"/>
      <c r="D48" s="1" t="n"/>
      <c r="E48" s="1" t="n"/>
      <c r="F48" s="1" t="n"/>
      <c r="G48" s="1" t="n"/>
      <c r="H48" s="1" t="n"/>
      <c r="I48" s="1" t="n"/>
      <c r="J48" s="1" t="n"/>
      <c r="K48" s="1" t="n"/>
      <c r="L48" s="1" t="n"/>
      <c r="M48" s="1" t="n"/>
    </row>
    <row r="49" ht="15" customHeight="1">
      <c r="A49" s="1" t="n"/>
      <c r="B49" s="1" t="n"/>
      <c r="C49" s="1" t="n"/>
      <c r="D49" s="1" t="n"/>
      <c r="E49" s="1" t="n"/>
      <c r="F49" s="1" t="n"/>
      <c r="G49" s="1" t="n"/>
      <c r="H49" s="1" t="n"/>
      <c r="I49" s="1" t="n"/>
      <c r="J49" s="1" t="n"/>
      <c r="K49" s="1" t="n"/>
      <c r="L49" s="1" t="n"/>
      <c r="M49" s="1" t="n"/>
    </row>
    <row r="50" ht="15" customHeight="1">
      <c r="A50" s="1" t="n"/>
      <c r="B50" s="1" t="n"/>
      <c r="C50" s="1" t="n"/>
      <c r="D50" s="1" t="n"/>
      <c r="E50" s="1" t="n"/>
      <c r="F50" s="1" t="n"/>
      <c r="G50" s="1" t="n"/>
      <c r="H50" s="1" t="n"/>
      <c r="I50" s="1" t="n"/>
      <c r="J50" s="1" t="n"/>
      <c r="K50" s="1" t="n"/>
      <c r="L50" s="1" t="n"/>
      <c r="M50" s="1" t="n"/>
    </row>
    <row r="51" ht="15" customHeight="1">
      <c r="A51" s="1" t="n"/>
      <c r="B51" s="1" t="n"/>
      <c r="C51" s="1" t="n"/>
      <c r="D51" s="1" t="n"/>
      <c r="E51" s="1" t="n"/>
      <c r="F51" s="1" t="n"/>
      <c r="G51" s="1" t="n"/>
      <c r="H51" s="1" t="n"/>
      <c r="I51" s="1" t="n"/>
      <c r="J51" s="1" t="n"/>
      <c r="K51" s="1" t="n"/>
      <c r="L51" s="1" t="n"/>
      <c r="M51" s="1" t="n"/>
    </row>
    <row r="52" ht="15" customHeight="1">
      <c r="A52" s="1" t="n"/>
      <c r="B52" s="1" t="n"/>
      <c r="C52" s="1" t="n"/>
      <c r="D52" s="1" t="n"/>
      <c r="E52" s="1" t="n"/>
      <c r="F52" s="1" t="n"/>
      <c r="G52" s="1" t="n"/>
      <c r="H52" s="1" t="n"/>
      <c r="I52" s="1" t="n"/>
      <c r="J52" s="1" t="n"/>
      <c r="K52" s="1" t="n"/>
      <c r="L52" s="1" t="n"/>
      <c r="M52" s="1" t="n"/>
    </row>
    <row r="53" ht="15" customHeight="1">
      <c r="A53" s="1" t="n"/>
      <c r="B53" s="1" t="n"/>
      <c r="C53" s="1" t="n"/>
      <c r="D53" s="1" t="n"/>
      <c r="E53" s="1" t="n"/>
      <c r="F53" s="1" t="n"/>
      <c r="G53" s="1" t="n"/>
      <c r="H53" s="1" t="n"/>
      <c r="I53" s="1" t="n"/>
      <c r="J53" s="1" t="n"/>
      <c r="K53" s="1" t="n"/>
      <c r="L53" s="1" t="n"/>
      <c r="M53" s="1" t="n"/>
    </row>
    <row r="54" ht="15" customHeight="1">
      <c r="A54" s="1" t="n"/>
      <c r="B54" s="1" t="n"/>
      <c r="C54" s="1" t="n"/>
      <c r="D54" s="1" t="n"/>
      <c r="E54" s="1" t="n"/>
      <c r="F54" s="1" t="n"/>
      <c r="G54" s="1" t="n"/>
      <c r="H54" s="1" t="n"/>
      <c r="I54" s="1" t="n"/>
      <c r="J54" s="1" t="n"/>
      <c r="K54" s="1" t="n"/>
      <c r="L54" s="1" t="n"/>
      <c r="M54" s="1" t="n"/>
    </row>
    <row r="55" ht="15" customHeight="1">
      <c r="A55" s="1" t="n"/>
      <c r="B55" s="1" t="n"/>
      <c r="C55" s="1" t="n"/>
      <c r="D55" s="1" t="n"/>
      <c r="E55" s="1" t="n"/>
      <c r="F55" s="1" t="n"/>
      <c r="G55" s="1" t="n"/>
      <c r="H55" s="1" t="n"/>
      <c r="I55" s="1" t="n"/>
      <c r="J55" s="1" t="n"/>
      <c r="K55" s="1" t="n"/>
      <c r="L55" s="1" t="n"/>
      <c r="M55" s="1" t="n"/>
    </row>
    <row r="56" ht="15" customHeight="1">
      <c r="A56" s="1" t="n"/>
      <c r="B56" s="1" t="n"/>
      <c r="C56" s="1" t="n"/>
      <c r="D56" s="1" t="n"/>
      <c r="E56" s="1" t="n"/>
      <c r="F56" s="1" t="n"/>
      <c r="G56" s="1" t="n"/>
      <c r="H56" s="1" t="n"/>
      <c r="I56" s="1" t="n"/>
      <c r="J56" s="1" t="n"/>
      <c r="K56" s="1" t="n"/>
      <c r="L56" s="1" t="n"/>
      <c r="M56" s="1" t="n"/>
    </row>
    <row r="57" ht="15" customHeight="1">
      <c r="A57" s="1" t="n"/>
      <c r="B57" s="1" t="n"/>
      <c r="C57" s="1" t="n"/>
      <c r="D57" s="1" t="n"/>
      <c r="E57" s="1" t="n"/>
      <c r="F57" s="1" t="n"/>
      <c r="G57" s="1" t="n"/>
      <c r="H57" s="1" t="n"/>
      <c r="I57" s="1" t="n"/>
      <c r="J57" s="1" t="n"/>
      <c r="K57" s="1" t="n"/>
      <c r="L57" s="1" t="n"/>
      <c r="M57" s="1" t="n"/>
    </row>
    <row r="58" ht="15" customHeight="1">
      <c r="A58" s="1" t="n"/>
      <c r="B58" s="1" t="n"/>
      <c r="C58" s="1" t="n"/>
      <c r="D58" s="1" t="n"/>
      <c r="E58" s="1" t="n"/>
      <c r="F58" s="1" t="n"/>
      <c r="G58" s="1" t="n"/>
      <c r="H58" s="1" t="n"/>
      <c r="I58" s="1" t="n"/>
      <c r="J58" s="1" t="n"/>
      <c r="K58" s="1" t="n"/>
      <c r="L58" s="1" t="n"/>
      <c r="M58" s="1" t="n"/>
    </row>
    <row r="59" ht="15" customHeight="1">
      <c r="A59" s="1" t="n"/>
      <c r="B59" s="1" t="n"/>
      <c r="C59" s="1" t="n"/>
      <c r="D59" s="1" t="n"/>
      <c r="E59" s="1" t="n"/>
      <c r="F59" s="1" t="n"/>
      <c r="G59" s="1" t="n"/>
      <c r="H59" s="1" t="n"/>
      <c r="I59" s="1" t="n"/>
      <c r="J59" s="1" t="n"/>
      <c r="K59" s="1" t="n"/>
      <c r="L59" s="1" t="n"/>
      <c r="M59" s="1" t="n"/>
    </row>
    <row r="60" ht="15" customHeight="1">
      <c r="A60" s="1" t="n"/>
      <c r="B60" s="1" t="n"/>
      <c r="C60" s="1" t="n"/>
      <c r="D60" s="1" t="n"/>
      <c r="E60" s="1" t="n"/>
      <c r="F60" s="1" t="n"/>
      <c r="G60" s="1" t="n"/>
      <c r="H60" s="1" t="n"/>
      <c r="I60" s="1" t="n"/>
      <c r="J60" s="1" t="n"/>
      <c r="K60" s="1" t="n"/>
      <c r="L60" s="1" t="n"/>
      <c r="M60" s="1" t="n"/>
    </row>
    <row r="61" ht="15" customHeight="1">
      <c r="A61" s="1" t="n"/>
      <c r="B61" s="1" t="n"/>
      <c r="C61" s="1" t="n"/>
      <c r="D61" s="1" t="n"/>
      <c r="E61" s="1" t="n"/>
      <c r="F61" s="1" t="n"/>
      <c r="G61" s="1" t="n"/>
      <c r="H61" s="1" t="n"/>
      <c r="I61" s="1" t="n"/>
      <c r="J61" s="1" t="n"/>
      <c r="K61" s="1" t="n"/>
      <c r="L61" s="1" t="n"/>
      <c r="M61" s="1" t="n"/>
    </row>
    <row r="62" ht="15" customHeight="1">
      <c r="A62" s="1" t="n"/>
      <c r="B62" s="1" t="n"/>
      <c r="C62" s="1" t="n"/>
      <c r="D62" s="1" t="n"/>
      <c r="E62" s="1" t="n"/>
      <c r="F62" s="1" t="n"/>
      <c r="G62" s="1" t="n"/>
      <c r="H62" s="1" t="n"/>
      <c r="I62" s="1" t="n"/>
      <c r="J62" s="1" t="n"/>
      <c r="K62" s="1" t="n"/>
      <c r="L62" s="1" t="n"/>
      <c r="M62" s="1" t="n"/>
    </row>
    <row r="63" ht="15" customHeight="1">
      <c r="A63" s="1" t="n"/>
      <c r="B63" s="1" t="n"/>
      <c r="C63" s="1" t="n"/>
      <c r="D63" s="1" t="n"/>
      <c r="E63" s="1" t="n"/>
      <c r="F63" s="1" t="n"/>
      <c r="G63" s="1" t="n"/>
      <c r="H63" s="1" t="n"/>
      <c r="I63" s="1" t="n"/>
      <c r="J63" s="1" t="n"/>
      <c r="K63" s="1" t="n"/>
      <c r="L63" s="1" t="n"/>
      <c r="M63" s="1" t="n"/>
    </row>
    <row r="64" ht="15" customHeight="1">
      <c r="A64" s="1" t="n"/>
      <c r="B64" s="1" t="n"/>
      <c r="C64" s="1" t="n"/>
      <c r="D64" s="1" t="n"/>
      <c r="E64" s="1" t="n"/>
      <c r="F64" s="1" t="n"/>
      <c r="G64" s="1" t="n"/>
      <c r="H64" s="1" t="n"/>
      <c r="I64" s="1" t="n"/>
      <c r="J64" s="1" t="n"/>
      <c r="K64" s="1" t="n"/>
      <c r="L64" s="1" t="n"/>
      <c r="M64" s="1" t="n"/>
    </row>
    <row r="65" ht="15" customHeight="1">
      <c r="A65" s="1" t="n"/>
      <c r="B65" s="1" t="n"/>
      <c r="C65" s="1" t="n"/>
      <c r="D65" s="1" t="n"/>
      <c r="E65" s="1" t="n"/>
      <c r="F65" s="1" t="n"/>
      <c r="G65" s="1" t="n"/>
      <c r="H65" s="1" t="n"/>
      <c r="I65" s="1" t="n"/>
      <c r="J65" s="1" t="n"/>
      <c r="K65" s="1" t="n"/>
      <c r="L65" s="1" t="n"/>
      <c r="M65" s="1" t="n"/>
    </row>
    <row r="66" ht="15" customHeight="1">
      <c r="A66" s="1" t="n"/>
      <c r="B66" s="1" t="n"/>
      <c r="C66" s="1" t="n"/>
      <c r="D66" s="1" t="n"/>
      <c r="E66" s="1" t="n"/>
      <c r="F66" s="1" t="n"/>
      <c r="G66" s="1" t="n"/>
      <c r="H66" s="1" t="n"/>
      <c r="I66" s="1" t="n"/>
      <c r="J66" s="1" t="n"/>
      <c r="K66" s="1" t="n"/>
      <c r="L66" s="1" t="n"/>
      <c r="M66" s="1" t="n"/>
    </row>
    <row r="67" ht="15" customHeight="1">
      <c r="A67" s="1" t="n"/>
      <c r="B67" s="1" t="n"/>
      <c r="C67" s="1" t="n"/>
      <c r="D67" s="1" t="n"/>
      <c r="E67" s="1" t="n"/>
      <c r="F67" s="1" t="n"/>
      <c r="G67" s="1" t="n"/>
      <c r="H67" s="1" t="n"/>
      <c r="I67" s="1" t="n"/>
      <c r="J67" s="1" t="n"/>
      <c r="K67" s="1" t="n"/>
      <c r="L67" s="1" t="n"/>
      <c r="M67" s="1" t="n"/>
    </row>
    <row r="68" ht="15" customHeight="1">
      <c r="A68" s="1" t="n"/>
      <c r="B68" s="1" t="n"/>
      <c r="C68" s="1" t="n"/>
      <c r="D68" s="1" t="n"/>
      <c r="E68" s="1" t="n"/>
      <c r="F68" s="1" t="n"/>
      <c r="G68" s="1" t="n"/>
      <c r="H68" s="1" t="n"/>
      <c r="I68" s="1" t="n"/>
      <c r="J68" s="1" t="n"/>
      <c r="K68" s="1" t="n"/>
      <c r="L68" s="1" t="n"/>
      <c r="M68" s="1" t="n"/>
    </row>
    <row r="69" ht="15" customHeight="1">
      <c r="A69" s="1" t="n"/>
      <c r="B69" s="1" t="n"/>
      <c r="C69" s="1" t="n"/>
      <c r="D69" s="1" t="n"/>
      <c r="E69" s="1" t="n"/>
      <c r="F69" s="1" t="n"/>
      <c r="G69" s="1" t="n"/>
      <c r="H69" s="1" t="n"/>
      <c r="I69" s="1" t="n"/>
      <c r="J69" s="1" t="n"/>
      <c r="K69" s="1" t="n"/>
      <c r="L69" s="1" t="n"/>
      <c r="M69" s="1" t="n"/>
    </row>
    <row r="70" ht="15" customHeight="1">
      <c r="A70" s="1" t="n"/>
      <c r="B70" s="1" t="n"/>
      <c r="C70" s="1" t="n"/>
      <c r="D70" s="1" t="n"/>
      <c r="E70" s="1" t="n"/>
      <c r="F70" s="1" t="n"/>
      <c r="G70" s="1" t="n"/>
      <c r="H70" s="1" t="n"/>
      <c r="I70" s="1" t="n"/>
      <c r="J70" s="1" t="n"/>
      <c r="K70" s="1" t="n"/>
      <c r="L70" s="1" t="n"/>
      <c r="M70" s="1" t="n"/>
    </row>
    <row r="71" ht="15" customHeight="1">
      <c r="A71" s="1" t="n"/>
      <c r="B71" s="1" t="n"/>
      <c r="C71" s="1" t="n"/>
      <c r="D71" s="1" t="n"/>
      <c r="E71" s="1" t="n"/>
      <c r="F71" s="1" t="n"/>
      <c r="G71" s="1" t="n"/>
      <c r="H71" s="1" t="n"/>
      <c r="I71" s="1" t="n"/>
      <c r="J71" s="1" t="n"/>
      <c r="K71" s="1" t="n"/>
      <c r="L71" s="1" t="n"/>
      <c r="M71" s="1" t="n"/>
    </row>
    <row r="72" ht="15" customHeight="1">
      <c r="A72" s="1" t="n"/>
      <c r="B72" s="1" t="n"/>
      <c r="C72" s="1" t="n"/>
      <c r="D72" s="1" t="n"/>
      <c r="E72" s="1" t="n"/>
      <c r="F72" s="1" t="n"/>
      <c r="G72" s="1" t="n"/>
      <c r="H72" s="1" t="n"/>
      <c r="I72" s="1" t="n"/>
      <c r="J72" s="1" t="n"/>
      <c r="K72" s="1" t="n"/>
      <c r="L72" s="1" t="n"/>
      <c r="M72" s="1" t="n"/>
    </row>
    <row r="73" ht="15" customHeight="1">
      <c r="A73" s="1" t="n"/>
      <c r="B73" s="1" t="n"/>
      <c r="C73" s="1" t="n"/>
      <c r="D73" s="1" t="n"/>
      <c r="E73" s="1" t="n"/>
      <c r="F73" s="1" t="n"/>
      <c r="G73" s="1" t="n"/>
      <c r="H73" s="1" t="n"/>
      <c r="I73" s="1" t="n"/>
      <c r="J73" s="1" t="n"/>
      <c r="K73" s="1" t="n"/>
      <c r="L73" s="1" t="n"/>
      <c r="M73" s="1" t="n"/>
    </row>
    <row r="74" ht="15" customHeight="1">
      <c r="A74" s="1" t="n"/>
      <c r="B74" s="1" t="n"/>
      <c r="C74" s="1" t="n"/>
      <c r="D74" s="1" t="n"/>
      <c r="E74" s="1" t="n"/>
      <c r="F74" s="1" t="n"/>
      <c r="G74" s="1" t="n"/>
      <c r="H74" s="1" t="n"/>
      <c r="I74" s="1" t="n"/>
      <c r="J74" s="1" t="n"/>
      <c r="K74" s="1" t="n"/>
      <c r="L74" s="1" t="n"/>
      <c r="M74" s="1" t="n"/>
    </row>
    <row r="75" ht="15" customHeight="1">
      <c r="A75" s="1" t="n"/>
      <c r="B75" s="1" t="n"/>
      <c r="C75" s="1" t="n"/>
      <c r="D75" s="1" t="n"/>
      <c r="E75" s="1" t="n"/>
      <c r="F75" s="1" t="n"/>
      <c r="G75" s="1" t="n"/>
      <c r="H75" s="1" t="n"/>
      <c r="I75" s="1" t="n"/>
      <c r="J75" s="1" t="n"/>
      <c r="K75" s="1" t="n"/>
      <c r="L75" s="1" t="n"/>
      <c r="M75" s="1" t="n"/>
    </row>
    <row r="76" ht="15" customHeight="1">
      <c r="A76" s="1" t="n"/>
      <c r="B76" s="1" t="n"/>
      <c r="C76" s="1" t="n"/>
      <c r="D76" s="1" t="n"/>
      <c r="E76" s="1" t="n"/>
      <c r="F76" s="1" t="n"/>
      <c r="G76" s="1" t="n"/>
      <c r="H76" s="1" t="n"/>
      <c r="I76" s="1" t="n"/>
      <c r="J76" s="1" t="n"/>
      <c r="K76" s="1" t="n"/>
      <c r="L76" s="1" t="n"/>
      <c r="M76" s="1" t="n"/>
    </row>
    <row r="77" ht="15" customHeight="1">
      <c r="A77" s="1" t="n"/>
      <c r="B77" s="1" t="n"/>
      <c r="C77" s="1" t="n"/>
      <c r="D77" s="1" t="n"/>
      <c r="E77" s="1" t="n"/>
      <c r="F77" s="1" t="n"/>
      <c r="G77" s="1" t="n"/>
      <c r="H77" s="1" t="n"/>
      <c r="I77" s="1" t="n"/>
      <c r="J77" s="1" t="n"/>
      <c r="K77" s="1" t="n"/>
      <c r="L77" s="1" t="n"/>
      <c r="M77" s="1" t="n"/>
    </row>
    <row r="78" ht="15" customHeight="1">
      <c r="A78" s="1" t="n"/>
      <c r="B78" s="1" t="n"/>
      <c r="C78" s="1" t="n"/>
      <c r="D78" s="1" t="n"/>
      <c r="E78" s="1" t="n"/>
      <c r="F78" s="1" t="n"/>
      <c r="G78" s="1" t="n"/>
      <c r="H78" s="1" t="n"/>
      <c r="I78" s="1" t="n"/>
      <c r="J78" s="1" t="n"/>
      <c r="K78" s="1" t="n"/>
      <c r="L78" s="1" t="n"/>
      <c r="M78" s="1" t="n"/>
    </row>
    <row r="79" ht="15" customHeight="1">
      <c r="A79" s="1" t="n"/>
      <c r="B79" s="1" t="n"/>
      <c r="C79" s="1" t="n"/>
      <c r="D79" s="1" t="n"/>
      <c r="E79" s="1" t="n"/>
      <c r="F79" s="1" t="n"/>
      <c r="G79" s="1" t="n"/>
      <c r="H79" s="1" t="n"/>
      <c r="I79" s="1" t="n"/>
      <c r="J79" s="1" t="n"/>
      <c r="K79" s="1" t="n"/>
      <c r="L79" s="1" t="n"/>
      <c r="M79" s="1" t="n"/>
    </row>
    <row r="80" ht="15" customHeight="1">
      <c r="A80" s="1" t="n"/>
      <c r="B80" s="1" t="n"/>
      <c r="C80" s="1" t="n"/>
      <c r="D80" s="1" t="n"/>
      <c r="E80" s="1" t="n"/>
      <c r="F80" s="1" t="n"/>
      <c r="G80" s="1" t="n"/>
      <c r="H80" s="1" t="n"/>
      <c r="I80" s="1" t="n"/>
      <c r="J80" s="1" t="n"/>
      <c r="K80" s="1" t="n"/>
      <c r="L80" s="1" t="n"/>
      <c r="M80" s="1" t="n"/>
    </row>
    <row r="81" ht="15" customHeight="1">
      <c r="A81" s="1" t="n"/>
      <c r="B81" s="1" t="n"/>
      <c r="C81" s="1" t="n"/>
      <c r="D81" s="1" t="n"/>
      <c r="E81" s="1" t="n"/>
      <c r="F81" s="1" t="n"/>
      <c r="G81" s="1" t="n"/>
      <c r="H81" s="1" t="n"/>
      <c r="I81" s="1" t="n"/>
      <c r="J81" s="1" t="n"/>
      <c r="K81" s="1" t="n"/>
      <c r="L81" s="1" t="n"/>
      <c r="M81" s="1" t="n"/>
    </row>
    <row r="82" ht="15" customHeight="1">
      <c r="A82" s="1" t="n"/>
      <c r="B82" s="1" t="n"/>
      <c r="C82" s="1" t="n"/>
      <c r="D82" s="1" t="n"/>
      <c r="E82" s="1" t="n"/>
      <c r="F82" s="1" t="n"/>
      <c r="G82" s="1" t="n"/>
      <c r="H82" s="1" t="n"/>
      <c r="I82" s="1" t="n"/>
      <c r="J82" s="1" t="n"/>
      <c r="K82" s="1" t="n"/>
      <c r="L82" s="1" t="n"/>
      <c r="M82" s="1" t="n"/>
    </row>
    <row r="83" ht="15" customHeight="1">
      <c r="A83" s="1" t="n"/>
      <c r="B83" s="1" t="n"/>
      <c r="C83" s="1" t="n"/>
      <c r="D83" s="1" t="n"/>
      <c r="E83" s="1" t="n"/>
      <c r="F83" s="1" t="n"/>
      <c r="G83" s="1" t="n"/>
      <c r="H83" s="1" t="n"/>
      <c r="I83" s="1" t="n"/>
      <c r="J83" s="1" t="n"/>
      <c r="K83" s="1" t="n"/>
      <c r="L83" s="1" t="n"/>
      <c r="M83" s="1" t="n"/>
    </row>
    <row r="84" ht="15" customHeight="1">
      <c r="A84" s="1" t="n"/>
      <c r="B84" s="1" t="n"/>
      <c r="C84" s="1" t="n"/>
      <c r="D84" s="1" t="n"/>
      <c r="E84" s="1" t="n"/>
      <c r="F84" s="1" t="n"/>
      <c r="G84" s="1" t="n"/>
      <c r="H84" s="1" t="n"/>
      <c r="I84" s="1" t="n"/>
      <c r="J84" s="1" t="n"/>
      <c r="K84" s="1" t="n"/>
      <c r="L84" s="1" t="n"/>
      <c r="M84" s="1" t="n"/>
    </row>
    <row r="85" ht="15" customHeight="1">
      <c r="A85" s="1" t="n"/>
      <c r="B85" s="1" t="n"/>
      <c r="C85" s="1" t="n"/>
      <c r="D85" s="1" t="n"/>
      <c r="E85" s="1" t="n"/>
      <c r="F85" s="1" t="n"/>
      <c r="G85" s="1" t="n"/>
      <c r="H85" s="1" t="n"/>
      <c r="I85" s="1" t="n"/>
      <c r="J85" s="1" t="n"/>
      <c r="K85" s="1" t="n"/>
      <c r="L85" s="1" t="n"/>
      <c r="M85" s="1" t="n"/>
    </row>
    <row r="86" ht="15" customHeight="1">
      <c r="A86" s="1" t="n"/>
      <c r="B86" s="1" t="n"/>
      <c r="C86" s="1" t="n"/>
      <c r="D86" s="1" t="n"/>
      <c r="E86" s="1" t="n"/>
      <c r="F86" s="1" t="n"/>
      <c r="G86" s="1" t="n"/>
      <c r="H86" s="1" t="n"/>
      <c r="I86" s="1" t="n"/>
      <c r="J86" s="1" t="n"/>
      <c r="K86" s="1" t="n"/>
      <c r="L86" s="1" t="n"/>
      <c r="M86" s="1" t="n"/>
    </row>
    <row r="87" ht="15" customHeight="1">
      <c r="A87" s="1" t="n"/>
      <c r="B87" s="1" t="n"/>
      <c r="C87" s="1" t="n"/>
      <c r="D87" s="1" t="n"/>
      <c r="E87" s="1" t="n"/>
      <c r="F87" s="1" t="n"/>
      <c r="G87" s="1" t="n"/>
      <c r="H87" s="1" t="n"/>
      <c r="I87" s="1" t="n"/>
      <c r="J87" s="1" t="n"/>
      <c r="K87" s="1" t="n"/>
      <c r="L87" s="1" t="n"/>
      <c r="M87" s="1" t="n"/>
    </row>
    <row r="88" ht="15" customHeight="1">
      <c r="A88" s="1" t="n"/>
      <c r="B88" s="1" t="n"/>
      <c r="C88" s="1" t="n"/>
      <c r="D88" s="1" t="n"/>
      <c r="E88" s="1" t="n"/>
      <c r="F88" s="1" t="n"/>
      <c r="G88" s="1" t="n"/>
      <c r="H88" s="1" t="n"/>
      <c r="I88" s="1" t="n"/>
      <c r="J88" s="1" t="n"/>
      <c r="K88" s="1" t="n"/>
      <c r="L88" s="1" t="n"/>
      <c r="M88" s="1" t="n"/>
    </row>
    <row r="89" ht="15" customHeight="1">
      <c r="A89" s="1" t="n"/>
      <c r="B89" s="1" t="n"/>
      <c r="C89" s="1" t="n"/>
      <c r="D89" s="1" t="n"/>
      <c r="E89" s="1" t="n"/>
      <c r="F89" s="1" t="n"/>
      <c r="G89" s="1" t="n"/>
      <c r="H89" s="1" t="n"/>
      <c r="I89" s="1" t="n"/>
      <c r="J89" s="1" t="n"/>
      <c r="K89" s="1" t="n"/>
      <c r="L89" s="1" t="n"/>
      <c r="M89" s="1" t="n"/>
    </row>
    <row r="90" ht="15" customHeight="1">
      <c r="A90" s="1" t="n"/>
      <c r="B90" s="1" t="n"/>
      <c r="C90" s="1" t="n"/>
      <c r="D90" s="1" t="n"/>
      <c r="E90" s="1" t="n"/>
      <c r="F90" s="1" t="n"/>
      <c r="G90" s="1" t="n"/>
      <c r="H90" s="1" t="n"/>
      <c r="I90" s="1" t="n"/>
      <c r="J90" s="1" t="n"/>
      <c r="K90" s="1" t="n"/>
      <c r="L90" s="1" t="n"/>
      <c r="M90" s="1" t="n"/>
    </row>
    <row r="91" ht="15" customHeight="1">
      <c r="A91" s="1" t="n"/>
      <c r="B91" s="1" t="n"/>
      <c r="C91" s="1" t="n"/>
      <c r="D91" s="1" t="n"/>
      <c r="E91" s="1" t="n"/>
      <c r="F91" s="1" t="n"/>
      <c r="G91" s="1" t="n"/>
      <c r="H91" s="1" t="n"/>
      <c r="I91" s="1" t="n"/>
      <c r="J91" s="1" t="n"/>
      <c r="K91" s="1" t="n"/>
      <c r="L91" s="1" t="n"/>
      <c r="M91" s="1" t="n"/>
    </row>
    <row r="92" ht="15" customHeight="1">
      <c r="A92" s="1" t="n"/>
      <c r="B92" s="1" t="n"/>
      <c r="C92" s="1" t="n"/>
      <c r="D92" s="1" t="n"/>
      <c r="E92" s="1" t="n"/>
      <c r="F92" s="1" t="n"/>
      <c r="G92" s="1" t="n"/>
      <c r="H92" s="1" t="n"/>
      <c r="I92" s="1" t="n"/>
      <c r="J92" s="1" t="n"/>
      <c r="K92" s="1" t="n"/>
      <c r="L92" s="1" t="n"/>
      <c r="M92" s="1" t="n"/>
    </row>
    <row r="93" ht="15" customHeight="1">
      <c r="A93" s="1" t="n"/>
      <c r="B93" s="1" t="n"/>
      <c r="C93" s="1" t="n"/>
      <c r="D93" s="1" t="n"/>
      <c r="E93" s="1" t="n"/>
      <c r="F93" s="1" t="n"/>
      <c r="G93" s="1" t="n"/>
      <c r="H93" s="1" t="n"/>
      <c r="I93" s="1" t="n"/>
      <c r="J93" s="1" t="n"/>
      <c r="K93" s="1" t="n"/>
      <c r="L93" s="1" t="n"/>
      <c r="M93" s="1" t="n"/>
    </row>
    <row r="94" ht="15" customHeight="1">
      <c r="A94" s="1" t="n"/>
      <c r="B94" s="1" t="n"/>
      <c r="C94" s="1" t="n"/>
      <c r="D94" s="1" t="n"/>
      <c r="E94" s="1" t="n"/>
      <c r="F94" s="1" t="n"/>
      <c r="G94" s="1" t="n"/>
      <c r="H94" s="1" t="n"/>
      <c r="I94" s="1" t="n"/>
      <c r="J94" s="1" t="n"/>
      <c r="K94" s="1" t="n"/>
      <c r="L94" s="1" t="n"/>
      <c r="M94" s="1" t="n"/>
    </row>
    <row r="95" ht="15" customHeight="1">
      <c r="A95" s="1" t="n"/>
      <c r="B95" s="1" t="n"/>
      <c r="C95" s="1" t="n"/>
      <c r="D95" s="1" t="n"/>
      <c r="E95" s="1" t="n"/>
      <c r="F95" s="1" t="n"/>
      <c r="G95" s="1" t="n"/>
      <c r="H95" s="1" t="n"/>
      <c r="I95" s="1" t="n"/>
      <c r="J95" s="1" t="n"/>
      <c r="K95" s="1" t="n"/>
      <c r="L95" s="1" t="n"/>
      <c r="M95" s="1" t="n"/>
    </row>
    <row r="96" ht="15" customHeight="1">
      <c r="A96" s="1" t="n"/>
      <c r="B96" s="1" t="n"/>
      <c r="C96" s="1" t="n"/>
      <c r="D96" s="1" t="n"/>
      <c r="E96" s="1" t="n"/>
      <c r="F96" s="1" t="n"/>
      <c r="G96" s="1" t="n"/>
      <c r="H96" s="1" t="n"/>
      <c r="I96" s="1" t="n"/>
      <c r="J96" s="1" t="n"/>
      <c r="K96" s="1" t="n"/>
      <c r="L96" s="1" t="n"/>
      <c r="M96" s="1" t="n"/>
    </row>
    <row r="97" ht="15" customHeight="1">
      <c r="A97" s="1" t="n"/>
      <c r="B97" s="1" t="n"/>
      <c r="C97" s="1" t="n"/>
      <c r="D97" s="1" t="n"/>
      <c r="E97" s="1" t="n"/>
      <c r="F97" s="1" t="n"/>
      <c r="G97" s="1" t="n"/>
      <c r="H97" s="1" t="n"/>
      <c r="I97" s="1" t="n"/>
      <c r="J97" s="1" t="n"/>
      <c r="K97" s="1" t="n"/>
      <c r="L97" s="1" t="n"/>
      <c r="M97" s="1" t="n"/>
    </row>
    <row r="98" ht="15" customHeight="1">
      <c r="A98" s="1" t="n"/>
      <c r="B98" s="1" t="n"/>
      <c r="C98" s="1" t="n"/>
      <c r="D98" s="1" t="n"/>
      <c r="E98" s="1" t="n"/>
      <c r="F98" s="1" t="n"/>
      <c r="G98" s="1" t="n"/>
      <c r="H98" s="1" t="n"/>
      <c r="I98" s="1" t="n"/>
      <c r="J98" s="1" t="n"/>
      <c r="K98" s="1" t="n"/>
      <c r="L98" s="1" t="n"/>
      <c r="M98" s="1" t="n"/>
    </row>
    <row r="99" ht="15" customHeight="1">
      <c r="A99" s="1" t="n"/>
      <c r="B99" s="1" t="n"/>
      <c r="C99" s="1" t="n"/>
      <c r="D99" s="1" t="n"/>
      <c r="E99" s="1" t="n"/>
      <c r="F99" s="1" t="n"/>
      <c r="G99" s="1" t="n"/>
      <c r="H99" s="1" t="n"/>
      <c r="I99" s="1" t="n"/>
      <c r="J99" s="1" t="n"/>
      <c r="K99" s="1" t="n"/>
      <c r="L99" s="1" t="n"/>
      <c r="M99" s="1" t="n"/>
    </row>
    <row r="100" ht="15" customHeight="1">
      <c r="A100" s="1" t="n"/>
      <c r="B100" s="1" t="n"/>
      <c r="C100" s="1" t="n"/>
      <c r="D100" s="1" t="n"/>
      <c r="E100" s="1" t="n"/>
      <c r="F100" s="1" t="n"/>
      <c r="G100" s="1" t="n"/>
      <c r="H100" s="1" t="n"/>
      <c r="I100" s="1" t="n"/>
      <c r="J100" s="1" t="n"/>
      <c r="K100" s="1" t="n"/>
      <c r="L100" s="1" t="n"/>
      <c r="M100" s="1" t="n"/>
    </row>
    <row r="101" ht="15" customHeight="1">
      <c r="A101" s="1" t="n"/>
      <c r="B101" s="1" t="n"/>
      <c r="C101" s="1" t="n"/>
      <c r="D101" s="1" t="n"/>
      <c r="E101" s="1" t="n"/>
      <c r="F101" s="1" t="n"/>
      <c r="G101" s="1" t="n"/>
      <c r="H101" s="1" t="n"/>
      <c r="I101" s="1" t="n"/>
      <c r="J101" s="1" t="n"/>
      <c r="K101" s="1" t="n"/>
      <c r="L101" s="1" t="n"/>
      <c r="M101" s="1" t="n"/>
    </row>
    <row r="102" ht="15" customHeight="1">
      <c r="A102" s="1" t="n"/>
      <c r="B102" s="1" t="n"/>
      <c r="C102" s="1" t="n"/>
      <c r="D102" s="1" t="n"/>
      <c r="E102" s="1" t="n"/>
      <c r="F102" s="1" t="n"/>
      <c r="G102" s="1" t="n"/>
      <c r="H102" s="1" t="n"/>
      <c r="I102" s="1" t="n"/>
      <c r="J102" s="1" t="n"/>
      <c r="K102" s="1" t="n"/>
      <c r="L102" s="1" t="n"/>
      <c r="M102" s="1" t="n"/>
    </row>
    <row r="103" ht="15" customHeight="1">
      <c r="A103" s="1" t="n"/>
      <c r="B103" s="1" t="n"/>
      <c r="C103" s="1" t="n"/>
      <c r="D103" s="1" t="n"/>
      <c r="E103" s="1" t="n"/>
      <c r="F103" s="1" t="n"/>
      <c r="G103" s="1" t="n"/>
      <c r="H103" s="1" t="n"/>
      <c r="I103" s="1" t="n"/>
      <c r="J103" s="1" t="n"/>
      <c r="K103" s="1" t="n"/>
      <c r="L103" s="1" t="n"/>
      <c r="M103" s="1" t="n"/>
    </row>
    <row r="104" ht="15" customHeight="1">
      <c r="A104" s="1" t="n"/>
      <c r="B104" s="1" t="n"/>
      <c r="C104" s="1" t="n"/>
      <c r="D104" s="1" t="n"/>
      <c r="E104" s="1" t="n"/>
      <c r="F104" s="1" t="n"/>
      <c r="G104" s="1" t="n"/>
      <c r="H104" s="1" t="n"/>
      <c r="I104" s="1" t="n"/>
      <c r="J104" s="1" t="n"/>
      <c r="K104" s="1" t="n"/>
      <c r="L104" s="1" t="n"/>
      <c r="M104" s="1" t="n"/>
    </row>
    <row r="105" ht="15" customHeight="1">
      <c r="A105" s="1" t="n"/>
      <c r="B105" s="1" t="n"/>
      <c r="C105" s="1" t="n"/>
      <c r="D105" s="1" t="n"/>
      <c r="E105" s="1" t="n"/>
      <c r="F105" s="1" t="n"/>
      <c r="G105" s="1" t="n"/>
      <c r="H105" s="1" t="n"/>
      <c r="I105" s="1" t="n"/>
      <c r="J105" s="1" t="n"/>
      <c r="K105" s="1" t="n"/>
      <c r="L105" s="1" t="n"/>
      <c r="M105" s="1" t="n"/>
    </row>
    <row r="106" ht="15" customHeight="1">
      <c r="A106" s="1" t="n"/>
      <c r="B106" s="1" t="n"/>
      <c r="C106" s="1" t="n"/>
      <c r="D106" s="1" t="n"/>
      <c r="E106" s="1" t="n"/>
      <c r="F106" s="1" t="n"/>
      <c r="G106" s="1" t="n"/>
      <c r="H106" s="1" t="n"/>
      <c r="I106" s="1" t="n"/>
      <c r="J106" s="1" t="n"/>
      <c r="K106" s="1" t="n"/>
      <c r="L106" s="1" t="n"/>
      <c r="M106" s="1" t="n"/>
    </row>
    <row r="107" ht="15" customHeight="1">
      <c r="A107" s="1" t="n"/>
      <c r="B107" s="1" t="n"/>
      <c r="C107" s="1" t="n"/>
      <c r="D107" s="1" t="n"/>
      <c r="E107" s="1" t="n"/>
      <c r="F107" s="1" t="n"/>
      <c r="G107" s="1" t="n"/>
      <c r="H107" s="1" t="n"/>
      <c r="I107" s="1" t="n"/>
      <c r="J107" s="1" t="n"/>
      <c r="K107" s="1" t="n"/>
      <c r="L107" s="1" t="n"/>
      <c r="M107" s="1" t="n"/>
    </row>
    <row r="108" ht="15" customHeight="1">
      <c r="A108" s="1" t="n"/>
      <c r="B108" s="1" t="n"/>
      <c r="C108" s="1" t="n"/>
      <c r="D108" s="1" t="n"/>
      <c r="E108" s="1" t="n"/>
      <c r="F108" s="1" t="n"/>
      <c r="G108" s="1" t="n"/>
      <c r="H108" s="1" t="n"/>
      <c r="I108" s="1" t="n"/>
      <c r="J108" s="1" t="n"/>
      <c r="K108" s="1" t="n"/>
      <c r="L108" s="1" t="n"/>
      <c r="M108" s="1" t="n"/>
    </row>
    <row r="109" ht="15" customHeight="1">
      <c r="A109" s="1" t="n"/>
      <c r="B109" s="1" t="n"/>
      <c r="C109" s="1" t="n"/>
      <c r="D109" s="1" t="n"/>
      <c r="E109" s="1" t="n"/>
      <c r="F109" s="1" t="n"/>
      <c r="G109" s="1" t="n"/>
      <c r="H109" s="1" t="n"/>
      <c r="I109" s="1" t="n"/>
      <c r="J109" s="1" t="n"/>
      <c r="K109" s="1" t="n"/>
      <c r="L109" s="1" t="n"/>
      <c r="M109" s="1" t="n"/>
    </row>
    <row r="110" ht="15" customHeight="1">
      <c r="A110" s="1" t="n"/>
      <c r="B110" s="1" t="n"/>
      <c r="C110" s="1" t="n"/>
      <c r="D110" s="1" t="n"/>
      <c r="E110" s="1" t="n"/>
      <c r="F110" s="1" t="n"/>
      <c r="G110" s="1" t="n"/>
      <c r="H110" s="1" t="n"/>
      <c r="I110" s="1" t="n"/>
      <c r="J110" s="1" t="n"/>
      <c r="K110" s="1" t="n"/>
      <c r="L110" s="1" t="n"/>
      <c r="M110" s="1" t="n"/>
    </row>
    <row r="111" ht="15" customHeight="1">
      <c r="A111" s="1" t="n"/>
      <c r="B111" s="1" t="n"/>
      <c r="C111" s="1" t="n"/>
      <c r="D111" s="1" t="n"/>
      <c r="E111" s="1" t="n"/>
      <c r="F111" s="1" t="n"/>
      <c r="G111" s="1" t="n"/>
      <c r="H111" s="1" t="n"/>
      <c r="I111" s="1" t="n"/>
      <c r="J111" s="1" t="n"/>
      <c r="K111" s="1" t="n"/>
      <c r="L111" s="1" t="n"/>
      <c r="M111" s="1" t="n"/>
    </row>
    <row r="112" ht="15" customHeight="1">
      <c r="A112" s="1" t="n"/>
      <c r="B112" s="1" t="n"/>
      <c r="C112" s="1" t="n"/>
      <c r="D112" s="1" t="n"/>
      <c r="E112" s="1" t="n"/>
      <c r="F112" s="1" t="n"/>
      <c r="G112" s="1" t="n"/>
      <c r="H112" s="1" t="n"/>
      <c r="I112" s="1" t="n"/>
      <c r="J112" s="1" t="n"/>
      <c r="K112" s="1" t="n"/>
      <c r="L112" s="1" t="n"/>
      <c r="M112" s="1" t="n"/>
    </row>
    <row r="113" ht="15" customHeight="1">
      <c r="A113" s="1" t="n"/>
      <c r="B113" s="1" t="n"/>
      <c r="C113" s="1" t="n"/>
      <c r="D113" s="1" t="n"/>
      <c r="E113" s="1" t="n"/>
      <c r="F113" s="1" t="n"/>
      <c r="G113" s="1" t="n"/>
      <c r="H113" s="1" t="n"/>
      <c r="I113" s="1" t="n"/>
      <c r="J113" s="1" t="n"/>
      <c r="K113" s="1" t="n"/>
      <c r="L113" s="1" t="n"/>
      <c r="M113" s="1" t="n"/>
    </row>
    <row r="114" ht="15" customHeight="1">
      <c r="A114" s="1" t="n"/>
      <c r="B114" s="1" t="n"/>
      <c r="C114" s="1" t="n"/>
      <c r="D114" s="1" t="n"/>
      <c r="E114" s="1" t="n"/>
      <c r="F114" s="1" t="n"/>
      <c r="G114" s="1" t="n"/>
      <c r="H114" s="1" t="n"/>
      <c r="I114" s="1" t="n"/>
      <c r="J114" s="1" t="n"/>
      <c r="K114" s="1" t="n"/>
      <c r="L114" s="1" t="n"/>
      <c r="M114" s="1" t="n"/>
    </row>
    <row r="115" ht="15" customHeight="1">
      <c r="A115" s="1" t="n"/>
      <c r="B115" s="1" t="n"/>
      <c r="C115" s="1" t="n"/>
      <c r="D115" s="1" t="n"/>
      <c r="E115" s="1" t="n"/>
      <c r="F115" s="1" t="n"/>
      <c r="G115" s="1" t="n"/>
      <c r="H115" s="1" t="n"/>
      <c r="I115" s="1" t="n"/>
      <c r="J115" s="1" t="n"/>
      <c r="K115" s="1" t="n"/>
      <c r="L115" s="1" t="n"/>
      <c r="M115" s="1" t="n"/>
    </row>
    <row r="116" ht="15" customHeight="1">
      <c r="A116" s="1" t="n"/>
      <c r="B116" s="1" t="n"/>
      <c r="C116" s="1" t="n"/>
      <c r="D116" s="1" t="n"/>
      <c r="E116" s="1" t="n"/>
      <c r="F116" s="1" t="n"/>
      <c r="G116" s="1" t="n"/>
      <c r="H116" s="1" t="n"/>
      <c r="I116" s="1" t="n"/>
      <c r="J116" s="1" t="n"/>
      <c r="K116" s="1" t="n"/>
      <c r="L116" s="1" t="n"/>
      <c r="M116" s="1" t="n"/>
    </row>
    <row r="117" ht="15" customHeight="1">
      <c r="A117" s="1" t="n"/>
      <c r="B117" s="1" t="n"/>
      <c r="C117" s="1" t="n"/>
      <c r="D117" s="1" t="n"/>
      <c r="E117" s="1" t="n"/>
      <c r="F117" s="1" t="n"/>
      <c r="G117" s="1" t="n"/>
      <c r="H117" s="1" t="n"/>
      <c r="I117" s="1" t="n"/>
      <c r="J117" s="1" t="n"/>
      <c r="K117" s="1" t="n"/>
      <c r="L117" s="1" t="n"/>
      <c r="M117" s="1" t="n"/>
    </row>
    <row r="118" ht="15" customHeight="1">
      <c r="A118" s="1" t="n"/>
      <c r="B118" s="1" t="n"/>
      <c r="C118" s="1" t="n"/>
      <c r="D118" s="1" t="n"/>
      <c r="E118" s="1" t="n"/>
      <c r="F118" s="1" t="n"/>
      <c r="G118" s="1" t="n"/>
      <c r="H118" s="1" t="n"/>
      <c r="I118" s="1" t="n"/>
      <c r="J118" s="1" t="n"/>
      <c r="K118" s="1" t="n"/>
      <c r="L118" s="1" t="n"/>
      <c r="M118" s="1" t="n"/>
    </row>
    <row r="119" ht="15" customHeight="1">
      <c r="A119" s="1" t="n"/>
      <c r="B119" s="1" t="n"/>
      <c r="C119" s="1" t="n"/>
      <c r="D119" s="1" t="n"/>
      <c r="E119" s="1" t="n"/>
      <c r="F119" s="1" t="n"/>
      <c r="G119" s="1" t="n"/>
      <c r="H119" s="1" t="n"/>
      <c r="I119" s="1" t="n"/>
      <c r="J119" s="1" t="n"/>
      <c r="K119" s="1" t="n"/>
      <c r="L119" s="1" t="n"/>
      <c r="M119" s="1" t="n"/>
    </row>
    <row r="120" ht="15" customHeight="1">
      <c r="A120" s="1" t="n"/>
      <c r="B120" s="1" t="n"/>
      <c r="C120" s="1" t="n"/>
      <c r="D120" s="1" t="n"/>
      <c r="E120" s="1" t="n"/>
      <c r="F120" s="1" t="n"/>
      <c r="G120" s="1" t="n"/>
      <c r="H120" s="1" t="n"/>
      <c r="I120" s="1" t="n"/>
      <c r="J120" s="1" t="n"/>
      <c r="K120" s="1" t="n"/>
      <c r="L120" s="1" t="n"/>
      <c r="M120" s="1" t="n"/>
    </row>
    <row r="121" ht="15" customHeight="1">
      <c r="A121" s="1" t="n"/>
      <c r="B121" s="1" t="n"/>
      <c r="C121" s="1" t="n"/>
      <c r="D121" s="1" t="n"/>
      <c r="E121" s="1" t="n"/>
      <c r="F121" s="1" t="n"/>
      <c r="G121" s="1" t="n"/>
      <c r="H121" s="1" t="n"/>
      <c r="I121" s="1" t="n"/>
      <c r="J121" s="1" t="n"/>
      <c r="K121" s="1" t="n"/>
      <c r="L121" s="1" t="n"/>
      <c r="M121" s="1" t="n"/>
    </row>
    <row r="122" ht="15" customHeight="1">
      <c r="A122" s="1" t="n"/>
      <c r="B122" s="1" t="n"/>
      <c r="C122" s="1" t="n"/>
      <c r="D122" s="1" t="n"/>
      <c r="E122" s="1" t="n"/>
      <c r="F122" s="1" t="n"/>
      <c r="G122" s="1" t="n"/>
      <c r="H122" s="1" t="n"/>
      <c r="I122" s="1" t="n"/>
      <c r="J122" s="1" t="n"/>
      <c r="K122" s="1" t="n"/>
      <c r="L122" s="1" t="n"/>
      <c r="M122" s="1" t="n"/>
    </row>
    <row r="123" ht="15" customHeight="1">
      <c r="A123" s="1" t="n"/>
      <c r="B123" s="1" t="n"/>
      <c r="C123" s="1" t="n"/>
      <c r="D123" s="1" t="n"/>
      <c r="E123" s="1" t="n"/>
      <c r="F123" s="1" t="n"/>
      <c r="G123" s="1" t="n"/>
      <c r="H123" s="1" t="n"/>
      <c r="I123" s="1" t="n"/>
      <c r="J123" s="1" t="n"/>
      <c r="K123" s="1" t="n"/>
      <c r="L123" s="1" t="n"/>
      <c r="M123" s="1" t="n"/>
    </row>
    <row r="124" ht="15" customHeight="1">
      <c r="A124" s="1" t="n"/>
      <c r="B124" s="1" t="n"/>
      <c r="C124" s="1" t="n"/>
      <c r="D124" s="1" t="n"/>
      <c r="E124" s="1" t="n"/>
      <c r="F124" s="1" t="n"/>
      <c r="G124" s="1" t="n"/>
      <c r="H124" s="1" t="n"/>
      <c r="I124" s="1" t="n"/>
      <c r="J124" s="1" t="n"/>
      <c r="K124" s="1" t="n"/>
      <c r="L124" s="1" t="n"/>
      <c r="M124" s="1" t="n"/>
    </row>
    <row r="125" ht="15" customHeight="1">
      <c r="A125" s="1" t="n"/>
      <c r="B125" s="1" t="n"/>
      <c r="C125" s="1" t="n"/>
      <c r="D125" s="1" t="n"/>
      <c r="E125" s="1" t="n"/>
      <c r="F125" s="1" t="n"/>
      <c r="G125" s="1" t="n"/>
      <c r="H125" s="1" t="n"/>
      <c r="I125" s="1" t="n"/>
      <c r="J125" s="1" t="n"/>
      <c r="K125" s="1" t="n"/>
      <c r="L125" s="1" t="n"/>
      <c r="M125" s="1" t="n"/>
    </row>
    <row r="126" ht="15" customHeight="1">
      <c r="A126" s="1" t="n"/>
      <c r="B126" s="1" t="n"/>
      <c r="C126" s="1" t="n"/>
      <c r="D126" s="1" t="n"/>
      <c r="E126" s="1" t="n"/>
      <c r="F126" s="1" t="n"/>
      <c r="G126" s="1" t="n"/>
      <c r="H126" s="1" t="n"/>
      <c r="I126" s="1" t="n"/>
      <c r="J126" s="1" t="n"/>
      <c r="K126" s="1" t="n"/>
      <c r="L126" s="1" t="n"/>
      <c r="M126" s="1" t="n"/>
    </row>
    <row r="127" ht="15" customHeight="1">
      <c r="A127" s="1" t="n"/>
      <c r="B127" s="1" t="n"/>
      <c r="C127" s="1" t="n"/>
      <c r="D127" s="1" t="n"/>
      <c r="E127" s="1" t="n"/>
      <c r="F127" s="1" t="n"/>
      <c r="G127" s="1" t="n"/>
      <c r="H127" s="1" t="n"/>
      <c r="I127" s="1" t="n"/>
      <c r="J127" s="1" t="n"/>
      <c r="K127" s="1" t="n"/>
      <c r="L127" s="1" t="n"/>
      <c r="M127" s="1" t="n"/>
    </row>
    <row r="128" ht="15" customHeight="1">
      <c r="A128" s="1" t="n"/>
      <c r="B128" s="1" t="n"/>
      <c r="C128" s="1" t="n"/>
      <c r="D128" s="1" t="n"/>
      <c r="E128" s="1" t="n"/>
      <c r="F128" s="1" t="n"/>
      <c r="G128" s="1" t="n"/>
      <c r="H128" s="1" t="n"/>
      <c r="I128" s="1" t="n"/>
      <c r="J128" s="1" t="n"/>
      <c r="K128" s="1" t="n"/>
      <c r="L128" s="1" t="n"/>
      <c r="M128" s="1" t="n"/>
    </row>
    <row r="129" ht="15" customHeight="1">
      <c r="A129" s="1" t="n"/>
      <c r="B129" s="1" t="n"/>
      <c r="C129" s="1" t="n"/>
      <c r="D129" s="1" t="n"/>
      <c r="E129" s="1" t="n"/>
      <c r="F129" s="1" t="n"/>
      <c r="G129" s="1" t="n"/>
      <c r="H129" s="1" t="n"/>
      <c r="I129" s="1" t="n"/>
      <c r="J129" s="1" t="n"/>
      <c r="K129" s="1" t="n"/>
      <c r="L129" s="1" t="n"/>
      <c r="M129" s="1" t="n"/>
    </row>
    <row r="130" ht="15" customHeight="1">
      <c r="A130" s="1" t="n"/>
      <c r="B130" s="1" t="n"/>
      <c r="C130" s="1" t="n"/>
      <c r="D130" s="1" t="n"/>
      <c r="E130" s="1" t="n"/>
      <c r="F130" s="1" t="n"/>
      <c r="G130" s="1" t="n"/>
      <c r="H130" s="1" t="n"/>
      <c r="I130" s="1" t="n"/>
      <c r="J130" s="1" t="n"/>
      <c r="K130" s="1" t="n"/>
      <c r="L130" s="1" t="n"/>
      <c r="M130" s="1" t="n"/>
    </row>
    <row r="131" ht="15" customHeight="1">
      <c r="A131" s="1" t="n"/>
      <c r="B131" s="1" t="n"/>
      <c r="C131" s="1" t="n"/>
      <c r="D131" s="1" t="n"/>
      <c r="E131" s="1" t="n"/>
      <c r="F131" s="1" t="n"/>
      <c r="G131" s="1" t="n"/>
      <c r="H131" s="1" t="n"/>
      <c r="I131" s="1" t="n"/>
      <c r="J131" s="1" t="n"/>
      <c r="K131" s="1" t="n"/>
      <c r="L131" s="1" t="n"/>
      <c r="M131" s="1" t="n"/>
    </row>
    <row r="132" ht="15" customHeight="1">
      <c r="A132" s="1" t="n"/>
      <c r="B132" s="1" t="n"/>
      <c r="C132" s="1" t="n"/>
      <c r="D132" s="1" t="n"/>
      <c r="E132" s="1" t="n"/>
      <c r="F132" s="1" t="n"/>
      <c r="G132" s="1" t="n"/>
      <c r="H132" s="1" t="n"/>
      <c r="I132" s="1" t="n"/>
      <c r="J132" s="1" t="n"/>
      <c r="K132" s="1" t="n"/>
      <c r="L132" s="1" t="n"/>
      <c r="M132" s="1" t="n"/>
    </row>
    <row r="133" ht="15" customHeight="1">
      <c r="A133" s="1" t="n"/>
      <c r="B133" s="1" t="n"/>
      <c r="C133" s="1" t="n"/>
      <c r="D133" s="1" t="n"/>
      <c r="E133" s="1" t="n"/>
      <c r="F133" s="1" t="n"/>
      <c r="G133" s="1" t="n"/>
      <c r="H133" s="1" t="n"/>
      <c r="I133" s="1" t="n"/>
      <c r="J133" s="1" t="n"/>
      <c r="K133" s="1" t="n"/>
      <c r="L133" s="1" t="n"/>
      <c r="M133" s="1" t="n"/>
    </row>
    <row r="134" ht="15" customHeight="1">
      <c r="A134" s="1" t="n"/>
      <c r="B134" s="1" t="n"/>
      <c r="C134" s="1" t="n"/>
      <c r="D134" s="1" t="n"/>
      <c r="E134" s="1" t="n"/>
      <c r="F134" s="1" t="n"/>
      <c r="G134" s="1" t="n"/>
      <c r="H134" s="1" t="n"/>
      <c r="I134" s="1" t="n"/>
      <c r="J134" s="1" t="n"/>
      <c r="K134" s="1" t="n"/>
      <c r="L134" s="1" t="n"/>
      <c r="M134" s="1" t="n"/>
    </row>
    <row r="135" ht="15" customHeight="1">
      <c r="A135" s="1" t="n"/>
      <c r="B135" s="1" t="n"/>
      <c r="C135" s="1" t="n"/>
      <c r="D135" s="1" t="n"/>
      <c r="E135" s="1" t="n"/>
      <c r="F135" s="1" t="n"/>
      <c r="G135" s="1" t="n"/>
      <c r="H135" s="1" t="n"/>
      <c r="I135" s="1" t="n"/>
      <c r="J135" s="1" t="n"/>
      <c r="K135" s="1" t="n"/>
      <c r="L135" s="1" t="n"/>
      <c r="M135" s="1" t="n"/>
    </row>
    <row r="136" ht="15" customHeight="1">
      <c r="A136" s="1" t="n"/>
      <c r="B136" s="1" t="n"/>
      <c r="C136" s="1" t="n"/>
      <c r="D136" s="1" t="n"/>
      <c r="E136" s="1" t="n"/>
      <c r="F136" s="1" t="n"/>
      <c r="G136" s="1" t="n"/>
      <c r="H136" s="1" t="n"/>
      <c r="I136" s="1" t="n"/>
      <c r="J136" s="1" t="n"/>
      <c r="K136" s="1" t="n"/>
      <c r="L136" s="1" t="n"/>
      <c r="M136" s="1" t="n"/>
    </row>
    <row r="137" ht="15" customHeight="1">
      <c r="A137" s="1" t="n"/>
      <c r="B137" s="1" t="n"/>
      <c r="C137" s="1" t="n"/>
      <c r="D137" s="1" t="n"/>
      <c r="E137" s="1" t="n"/>
      <c r="F137" s="1" t="n"/>
      <c r="G137" s="1" t="n"/>
      <c r="H137" s="1" t="n"/>
      <c r="I137" s="1" t="n"/>
      <c r="J137" s="1" t="n"/>
      <c r="K137" s="1" t="n"/>
      <c r="L137" s="1" t="n"/>
      <c r="M137" s="1" t="n"/>
    </row>
    <row r="138" ht="15" customHeight="1">
      <c r="A138" s="1" t="n"/>
      <c r="B138" s="1" t="n"/>
      <c r="C138" s="1" t="n"/>
      <c r="D138" s="1" t="n"/>
      <c r="E138" s="1" t="n"/>
      <c r="F138" s="1" t="n"/>
      <c r="G138" s="1" t="n"/>
      <c r="H138" s="1" t="n"/>
      <c r="I138" s="1" t="n"/>
      <c r="J138" s="1" t="n"/>
      <c r="K138" s="1" t="n"/>
      <c r="L138" s="1" t="n"/>
      <c r="M138" s="1" t="n"/>
    </row>
    <row r="139" ht="15" customHeight="1">
      <c r="A139" s="1" t="n"/>
      <c r="B139" s="1" t="n"/>
      <c r="C139" s="1" t="n"/>
      <c r="D139" s="1" t="n"/>
      <c r="E139" s="1" t="n"/>
      <c r="F139" s="1" t="n"/>
      <c r="G139" s="1" t="n"/>
      <c r="H139" s="1" t="n"/>
      <c r="I139" s="1" t="n"/>
      <c r="J139" s="1" t="n"/>
      <c r="K139" s="1" t="n"/>
      <c r="L139" s="1" t="n"/>
      <c r="M139" s="1" t="n"/>
    </row>
    <row r="140" ht="15" customHeight="1">
      <c r="A140" s="1" t="n"/>
      <c r="B140" s="1" t="n"/>
      <c r="C140" s="1" t="n"/>
      <c r="D140" s="1" t="n"/>
      <c r="E140" s="1" t="n"/>
      <c r="F140" s="1" t="n"/>
      <c r="G140" s="1" t="n"/>
      <c r="H140" s="1" t="n"/>
      <c r="I140" s="1" t="n"/>
      <c r="J140" s="1" t="n"/>
      <c r="K140" s="1" t="n"/>
      <c r="L140" s="1" t="n"/>
      <c r="M140" s="1" t="n"/>
    </row>
    <row r="141" ht="15" customHeight="1">
      <c r="A141" s="1" t="n"/>
      <c r="B141" s="1" t="n"/>
      <c r="C141" s="1" t="n"/>
      <c r="D141" s="1" t="n"/>
      <c r="E141" s="1" t="n"/>
      <c r="F141" s="1" t="n"/>
      <c r="G141" s="1" t="n"/>
      <c r="H141" s="1" t="n"/>
      <c r="I141" s="1" t="n"/>
      <c r="J141" s="1" t="n"/>
      <c r="K141" s="1" t="n"/>
      <c r="L141" s="1" t="n"/>
      <c r="M141" s="1" t="n"/>
    </row>
    <row r="142" ht="15" customHeight="1">
      <c r="A142" s="1" t="n"/>
      <c r="B142" s="1" t="n"/>
      <c r="C142" s="1" t="n"/>
      <c r="D142" s="1" t="n"/>
      <c r="E142" s="1" t="n"/>
      <c r="F142" s="1" t="n"/>
      <c r="G142" s="1" t="n"/>
      <c r="H142" s="1" t="n"/>
      <c r="I142" s="1" t="n"/>
      <c r="J142" s="1" t="n"/>
      <c r="K142" s="1" t="n"/>
      <c r="L142" s="1" t="n"/>
      <c r="M142" s="1" t="n"/>
    </row>
    <row r="143" ht="15" customHeight="1">
      <c r="A143" s="1" t="n"/>
      <c r="B143" s="1" t="n"/>
      <c r="C143" s="1" t="n"/>
      <c r="D143" s="1" t="n"/>
      <c r="E143" s="1" t="n"/>
      <c r="F143" s="1" t="n"/>
      <c r="G143" s="1" t="n"/>
      <c r="H143" s="1" t="n"/>
      <c r="I143" s="1" t="n"/>
      <c r="J143" s="1" t="n"/>
      <c r="K143" s="1" t="n"/>
      <c r="L143" s="1" t="n"/>
      <c r="M143" s="1" t="n"/>
    </row>
    <row r="144" ht="15" customHeight="1">
      <c r="A144" s="1" t="n"/>
      <c r="B144" s="1" t="n"/>
      <c r="C144" s="1" t="n"/>
      <c r="D144" s="1" t="n"/>
      <c r="E144" s="1" t="n"/>
      <c r="F144" s="1" t="n"/>
      <c r="G144" s="1" t="n"/>
      <c r="H144" s="1" t="n"/>
      <c r="I144" s="1" t="n"/>
      <c r="J144" s="1" t="n"/>
      <c r="K144" s="1" t="n"/>
      <c r="L144" s="1" t="n"/>
      <c r="M144" s="1" t="n"/>
    </row>
    <row r="145" ht="15" customHeight="1">
      <c r="A145" s="1" t="n"/>
      <c r="B145" s="1" t="n"/>
      <c r="C145" s="1" t="n"/>
      <c r="D145" s="1" t="n"/>
      <c r="E145" s="1" t="n"/>
      <c r="F145" s="1" t="n"/>
      <c r="G145" s="1" t="n"/>
      <c r="H145" s="1" t="n"/>
      <c r="I145" s="1" t="n"/>
      <c r="J145" s="1" t="n"/>
      <c r="K145" s="1" t="n"/>
      <c r="L145" s="1" t="n"/>
      <c r="M145" s="1" t="n"/>
    </row>
    <row r="146" ht="15" customHeight="1">
      <c r="A146" s="1" t="n"/>
      <c r="B146" s="1" t="n"/>
      <c r="C146" s="1" t="n"/>
      <c r="D146" s="1" t="n"/>
      <c r="E146" s="1" t="n"/>
      <c r="F146" s="1" t="n"/>
      <c r="G146" s="1" t="n"/>
      <c r="H146" s="1" t="n"/>
      <c r="I146" s="1" t="n"/>
      <c r="J146" s="1" t="n"/>
      <c r="K146" s="1" t="n"/>
      <c r="L146" s="1" t="n"/>
      <c r="M146" s="1" t="n"/>
    </row>
    <row r="147" ht="15" customHeight="1">
      <c r="A147" s="1" t="n"/>
      <c r="B147" s="1" t="n"/>
      <c r="C147" s="1" t="n"/>
      <c r="D147" s="1" t="n"/>
      <c r="E147" s="1" t="n"/>
      <c r="F147" s="1" t="n"/>
      <c r="G147" s="1" t="n"/>
      <c r="H147" s="1" t="n"/>
      <c r="I147" s="1" t="n"/>
      <c r="J147" s="1" t="n"/>
      <c r="K147" s="1" t="n"/>
      <c r="L147" s="1" t="n"/>
      <c r="M147" s="1" t="n"/>
    </row>
    <row r="148" ht="15" customHeight="1">
      <c r="A148" s="1" t="n"/>
      <c r="B148" s="1" t="n"/>
      <c r="C148" s="1" t="n"/>
      <c r="D148" s="1" t="n"/>
      <c r="E148" s="1" t="n"/>
      <c r="F148" s="1" t="n"/>
      <c r="G148" s="1" t="n"/>
      <c r="H148" s="1" t="n"/>
      <c r="I148" s="1" t="n"/>
      <c r="J148" s="1" t="n"/>
      <c r="K148" s="1" t="n"/>
      <c r="L148" s="1" t="n"/>
      <c r="M148" s="1" t="n"/>
    </row>
    <row r="149" ht="15" customHeight="1">
      <c r="A149" s="1" t="n"/>
      <c r="B149" s="1" t="n"/>
      <c r="C149" s="1" t="n"/>
      <c r="D149" s="1" t="n"/>
      <c r="E149" s="1" t="n"/>
      <c r="F149" s="1" t="n"/>
      <c r="G149" s="1" t="n"/>
      <c r="H149" s="1" t="n"/>
      <c r="I149" s="1" t="n"/>
      <c r="J149" s="1" t="n"/>
      <c r="K149" s="1" t="n"/>
      <c r="L149" s="1" t="n"/>
      <c r="M149" s="1" t="n"/>
    </row>
    <row r="150" ht="15" customHeight="1">
      <c r="A150" s="1" t="n"/>
      <c r="B150" s="1" t="n"/>
      <c r="C150" s="1" t="n"/>
      <c r="D150" s="1" t="n"/>
      <c r="E150" s="1" t="n"/>
      <c r="F150" s="1" t="n"/>
      <c r="G150" s="1" t="n"/>
      <c r="H150" s="1" t="n"/>
      <c r="I150" s="1" t="n"/>
      <c r="J150" s="1" t="n"/>
      <c r="K150" s="1" t="n"/>
      <c r="L150" s="1" t="n"/>
      <c r="M150" s="1" t="n"/>
    </row>
    <row r="151" ht="15" customHeight="1">
      <c r="A151" s="1" t="n"/>
      <c r="B151" s="1" t="n"/>
      <c r="C151" s="1" t="n"/>
      <c r="D151" s="1" t="n"/>
      <c r="E151" s="1" t="n"/>
      <c r="F151" s="1" t="n"/>
      <c r="G151" s="1" t="n"/>
      <c r="H151" s="1" t="n"/>
      <c r="I151" s="1" t="n"/>
      <c r="J151" s="1" t="n"/>
      <c r="K151" s="1" t="n"/>
      <c r="L151" s="1" t="n"/>
      <c r="M151" s="1" t="n"/>
    </row>
    <row r="152" ht="15" customHeight="1">
      <c r="A152" s="1" t="n"/>
      <c r="B152" s="1" t="n"/>
      <c r="C152" s="1" t="n"/>
      <c r="D152" s="1" t="n"/>
      <c r="E152" s="1" t="n"/>
      <c r="F152" s="1" t="n"/>
      <c r="G152" s="1" t="n"/>
      <c r="H152" s="1" t="n"/>
      <c r="I152" s="1" t="n"/>
      <c r="J152" s="1" t="n"/>
      <c r="K152" s="1" t="n"/>
      <c r="L152" s="1" t="n"/>
      <c r="M152" s="1" t="n"/>
    </row>
    <row r="153" ht="15" customHeight="1">
      <c r="A153" s="1" t="n"/>
      <c r="B153" s="1" t="n"/>
      <c r="C153" s="1" t="n"/>
      <c r="D153" s="1" t="n"/>
      <c r="E153" s="1" t="n"/>
      <c r="F153" s="1" t="n"/>
      <c r="G153" s="1" t="n"/>
      <c r="H153" s="1" t="n"/>
      <c r="I153" s="1" t="n"/>
      <c r="J153" s="1" t="n"/>
      <c r="K153" s="1" t="n"/>
      <c r="L153" s="1" t="n"/>
      <c r="M153" s="1" t="n"/>
    </row>
    <row r="154" ht="15" customHeight="1">
      <c r="A154" s="1" t="n"/>
      <c r="B154" s="1" t="n"/>
      <c r="C154" s="1" t="n"/>
      <c r="D154" s="1" t="n"/>
      <c r="E154" s="1" t="n"/>
      <c r="F154" s="1" t="n"/>
      <c r="G154" s="1" t="n"/>
      <c r="H154" s="1" t="n"/>
      <c r="I154" s="1" t="n"/>
      <c r="J154" s="1" t="n"/>
      <c r="K154" s="1" t="n"/>
      <c r="L154" s="1" t="n"/>
      <c r="M154" s="1" t="n"/>
    </row>
    <row r="155" ht="15" customHeight="1">
      <c r="A155" s="1" t="n"/>
      <c r="B155" s="1" t="n"/>
      <c r="C155" s="1" t="n"/>
      <c r="D155" s="1" t="n"/>
      <c r="E155" s="1" t="n"/>
      <c r="F155" s="1" t="n"/>
      <c r="G155" s="1" t="n"/>
      <c r="H155" s="1" t="n"/>
      <c r="I155" s="1" t="n"/>
      <c r="J155" s="1" t="n"/>
      <c r="K155" s="1" t="n"/>
      <c r="L155" s="1" t="n"/>
      <c r="M155" s="1" t="n"/>
    </row>
    <row r="156" ht="15" customHeight="1">
      <c r="A156" s="1" t="n"/>
      <c r="B156" s="1" t="n"/>
      <c r="C156" s="1" t="n"/>
      <c r="D156" s="1" t="n"/>
      <c r="E156" s="1" t="n"/>
      <c r="F156" s="1" t="n"/>
      <c r="G156" s="1" t="n"/>
      <c r="H156" s="1" t="n"/>
      <c r="I156" s="1" t="n"/>
      <c r="J156" s="1" t="n"/>
      <c r="K156" s="1" t="n"/>
      <c r="L156" s="1" t="n"/>
      <c r="M156" s="1" t="n"/>
    </row>
    <row r="157" ht="15" customHeight="1">
      <c r="A157" s="1" t="n"/>
      <c r="B157" s="1" t="n"/>
      <c r="C157" s="1" t="n"/>
      <c r="D157" s="1" t="n"/>
      <c r="E157" s="1" t="n"/>
      <c r="F157" s="1" t="n"/>
      <c r="G157" s="1" t="n"/>
      <c r="H157" s="1" t="n"/>
      <c r="I157" s="1" t="n"/>
      <c r="J157" s="1" t="n"/>
      <c r="K157" s="1" t="n"/>
      <c r="L157" s="1" t="n"/>
      <c r="M157" s="1" t="n"/>
    </row>
    <row r="158" ht="15" customHeight="1">
      <c r="A158" s="1" t="n"/>
      <c r="B158" s="1" t="n"/>
      <c r="C158" s="1" t="n"/>
      <c r="D158" s="1" t="n"/>
      <c r="E158" s="1" t="n"/>
      <c r="F158" s="1" t="n"/>
      <c r="G158" s="1" t="n"/>
      <c r="H158" s="1" t="n"/>
      <c r="I158" s="1" t="n"/>
      <c r="J158" s="1" t="n"/>
      <c r="K158" s="1" t="n"/>
      <c r="L158" s="1" t="n"/>
      <c r="M158" s="1" t="n"/>
    </row>
    <row r="159" ht="15" customHeight="1">
      <c r="A159" s="1" t="n"/>
      <c r="B159" s="1" t="n"/>
      <c r="C159" s="1" t="n"/>
      <c r="D159" s="1" t="n"/>
      <c r="E159" s="1" t="n"/>
      <c r="F159" s="1" t="n"/>
      <c r="G159" s="1" t="n"/>
      <c r="H159" s="1" t="n"/>
      <c r="I159" s="1" t="n"/>
      <c r="J159" s="1" t="n"/>
      <c r="K159" s="1" t="n"/>
      <c r="L159" s="1" t="n"/>
      <c r="M159" s="1" t="n"/>
    </row>
    <row r="160" ht="15" customHeight="1">
      <c r="A160" s="1" t="n"/>
      <c r="B160" s="1" t="n"/>
      <c r="C160" s="1" t="n"/>
      <c r="D160" s="1" t="n"/>
      <c r="E160" s="1" t="n"/>
      <c r="F160" s="1" t="n"/>
      <c r="G160" s="1" t="n"/>
      <c r="H160" s="1" t="n"/>
      <c r="I160" s="1" t="n"/>
      <c r="J160" s="1" t="n"/>
      <c r="K160" s="1" t="n"/>
      <c r="L160" s="1" t="n"/>
      <c r="M160" s="1" t="n"/>
    </row>
    <row r="161" ht="15" customHeight="1">
      <c r="A161" s="1" t="n"/>
      <c r="B161" s="1" t="n"/>
      <c r="C161" s="1" t="n"/>
      <c r="D161" s="1" t="n"/>
      <c r="E161" s="1" t="n"/>
      <c r="F161" s="1" t="n"/>
      <c r="G161" s="1" t="n"/>
      <c r="H161" s="1" t="n"/>
      <c r="I161" s="1" t="n"/>
      <c r="J161" s="1" t="n"/>
      <c r="K161" s="1" t="n"/>
      <c r="L161" s="1" t="n"/>
      <c r="M161" s="1" t="n"/>
    </row>
    <row r="162" ht="15" customHeight="1">
      <c r="A162" s="1" t="n"/>
      <c r="B162" s="1" t="n"/>
      <c r="C162" s="1" t="n"/>
      <c r="D162" s="1" t="n"/>
      <c r="E162" s="1" t="n"/>
      <c r="F162" s="1" t="n"/>
      <c r="G162" s="1" t="n"/>
      <c r="H162" s="1" t="n"/>
      <c r="I162" s="1" t="n"/>
      <c r="J162" s="1" t="n"/>
      <c r="K162" s="1" t="n"/>
      <c r="L162" s="1" t="n"/>
      <c r="M162" s="1" t="n"/>
    </row>
    <row r="163" ht="15" customHeight="1">
      <c r="A163" s="1" t="n"/>
      <c r="B163" s="1" t="n"/>
      <c r="C163" s="1" t="n"/>
      <c r="D163" s="1" t="n"/>
      <c r="E163" s="1" t="n"/>
      <c r="F163" s="1" t="n"/>
      <c r="G163" s="1" t="n"/>
      <c r="H163" s="1" t="n"/>
      <c r="I163" s="1" t="n"/>
      <c r="J163" s="1" t="n"/>
      <c r="K163" s="1" t="n"/>
      <c r="L163" s="1" t="n"/>
      <c r="M163" s="1" t="n"/>
    </row>
    <row r="164" ht="15" customHeight="1">
      <c r="A164" s="1" t="n"/>
      <c r="B164" s="1" t="n"/>
      <c r="C164" s="1" t="n"/>
      <c r="D164" s="1" t="n"/>
      <c r="E164" s="1" t="n"/>
      <c r="F164" s="1" t="n"/>
      <c r="G164" s="1" t="n"/>
      <c r="H164" s="1" t="n"/>
      <c r="I164" s="1" t="n"/>
      <c r="J164" s="1" t="n"/>
      <c r="K164" s="1" t="n"/>
      <c r="L164" s="1" t="n"/>
      <c r="M164" s="1" t="n"/>
    </row>
    <row r="165" ht="15" customHeight="1">
      <c r="A165" s="1" t="n"/>
      <c r="B165" s="1" t="n"/>
      <c r="C165" s="1" t="n"/>
      <c r="D165" s="1" t="n"/>
      <c r="E165" s="1" t="n"/>
      <c r="F165" s="1" t="n"/>
      <c r="G165" s="1" t="n"/>
      <c r="H165" s="1" t="n"/>
      <c r="I165" s="1" t="n"/>
      <c r="J165" s="1" t="n"/>
      <c r="K165" s="1" t="n"/>
      <c r="L165" s="1" t="n"/>
      <c r="M165" s="1" t="n"/>
    </row>
    <row r="166" ht="15" customHeight="1">
      <c r="A166" s="1" t="n"/>
      <c r="B166" s="1" t="n"/>
      <c r="C166" s="1" t="n"/>
      <c r="D166" s="1" t="n"/>
      <c r="E166" s="1" t="n"/>
      <c r="F166" s="1" t="n"/>
      <c r="G166" s="1" t="n"/>
      <c r="H166" s="1" t="n"/>
      <c r="I166" s="1" t="n"/>
      <c r="J166" s="1" t="n"/>
      <c r="K166" s="1" t="n"/>
      <c r="L166" s="1" t="n"/>
      <c r="M166" s="1" t="n"/>
    </row>
    <row r="167" ht="15" customHeight="1">
      <c r="A167" s="1" t="n"/>
      <c r="B167" s="1" t="n"/>
      <c r="C167" s="1" t="n"/>
      <c r="D167" s="1" t="n"/>
      <c r="E167" s="1" t="n"/>
      <c r="F167" s="1" t="n"/>
      <c r="G167" s="1" t="n"/>
      <c r="H167" s="1" t="n"/>
      <c r="I167" s="1" t="n"/>
      <c r="J167" s="1" t="n"/>
      <c r="K167" s="1" t="n"/>
      <c r="L167" s="1" t="n"/>
      <c r="M167" s="1" t="n"/>
    </row>
    <row r="168" ht="15" customHeight="1">
      <c r="A168" s="1" t="n"/>
      <c r="B168" s="1" t="n"/>
      <c r="C168" s="1" t="n"/>
      <c r="D168" s="1" t="n"/>
      <c r="E168" s="1" t="n"/>
      <c r="F168" s="1" t="n"/>
      <c r="G168" s="1" t="n"/>
      <c r="H168" s="1" t="n"/>
      <c r="I168" s="1" t="n"/>
      <c r="J168" s="1" t="n"/>
      <c r="K168" s="1" t="n"/>
      <c r="L168" s="1" t="n"/>
      <c r="M168" s="1" t="n"/>
    </row>
    <row r="169" ht="15" customHeight="1">
      <c r="A169" s="1" t="n"/>
      <c r="B169" s="1" t="n"/>
      <c r="C169" s="1" t="n"/>
      <c r="D169" s="1" t="n"/>
      <c r="E169" s="1" t="n"/>
      <c r="F169" s="1" t="n"/>
      <c r="G169" s="1" t="n"/>
      <c r="H169" s="1" t="n"/>
      <c r="I169" s="1" t="n"/>
      <c r="J169" s="1" t="n"/>
      <c r="K169" s="1" t="n"/>
      <c r="L169" s="1" t="n"/>
      <c r="M169" s="1" t="n"/>
    </row>
    <row r="170" ht="15" customHeight="1">
      <c r="A170" s="1" t="n"/>
      <c r="B170" s="1" t="n"/>
      <c r="C170" s="1" t="n"/>
      <c r="D170" s="1" t="n"/>
      <c r="E170" s="1" t="n"/>
      <c r="F170" s="1" t="n"/>
      <c r="G170" s="1" t="n"/>
      <c r="H170" s="1" t="n"/>
      <c r="I170" s="1" t="n"/>
      <c r="J170" s="1" t="n"/>
      <c r="K170" s="1" t="n"/>
      <c r="L170" s="1" t="n"/>
      <c r="M170" s="1" t="n"/>
    </row>
    <row r="171" ht="15" customHeight="1">
      <c r="A171" s="1" t="n"/>
      <c r="B171" s="1" t="n"/>
      <c r="C171" s="1" t="n"/>
      <c r="D171" s="1" t="n"/>
      <c r="E171" s="1" t="n"/>
      <c r="F171" s="1" t="n"/>
      <c r="G171" s="1" t="n"/>
      <c r="H171" s="1" t="n"/>
      <c r="I171" s="1" t="n"/>
      <c r="J171" s="1" t="n"/>
      <c r="K171" s="1" t="n"/>
      <c r="L171" s="1" t="n"/>
      <c r="M171" s="1" t="n"/>
    </row>
    <row r="172" ht="15" customHeight="1">
      <c r="A172" s="1" t="n"/>
      <c r="B172" s="1" t="n"/>
      <c r="C172" s="1" t="n"/>
      <c r="D172" s="1" t="n"/>
      <c r="E172" s="1" t="n"/>
      <c r="F172" s="1" t="n"/>
      <c r="G172" s="1" t="n"/>
      <c r="H172" s="1" t="n"/>
      <c r="I172" s="1" t="n"/>
      <c r="J172" s="1" t="n"/>
      <c r="K172" s="1" t="n"/>
      <c r="L172" s="1" t="n"/>
      <c r="M172" s="1" t="n"/>
    </row>
    <row r="173" ht="15" customHeight="1">
      <c r="A173" s="1" t="n"/>
      <c r="B173" s="1" t="n"/>
      <c r="C173" s="1" t="n"/>
      <c r="D173" s="1" t="n"/>
      <c r="E173" s="1" t="n"/>
      <c r="F173" s="1" t="n"/>
      <c r="G173" s="1" t="n"/>
      <c r="H173" s="1" t="n"/>
      <c r="I173" s="1" t="n"/>
      <c r="J173" s="1" t="n"/>
      <c r="K173" s="1" t="n"/>
      <c r="L173" s="1" t="n"/>
      <c r="M173" s="1" t="n"/>
    </row>
    <row r="174" ht="15" customHeight="1">
      <c r="A174" s="1" t="n"/>
      <c r="B174" s="1" t="n"/>
      <c r="C174" s="1" t="n"/>
      <c r="D174" s="1" t="n"/>
      <c r="E174" s="1" t="n"/>
      <c r="F174" s="1" t="n"/>
      <c r="G174" s="1" t="n"/>
      <c r="H174" s="1" t="n"/>
      <c r="I174" s="1" t="n"/>
      <c r="J174" s="1" t="n"/>
      <c r="K174" s="1" t="n"/>
      <c r="L174" s="1" t="n"/>
      <c r="M174" s="1" t="n"/>
    </row>
    <row r="175" ht="15" customHeight="1">
      <c r="A175" s="1" t="n"/>
      <c r="B175" s="1" t="n"/>
      <c r="C175" s="1" t="n"/>
      <c r="D175" s="1" t="n"/>
      <c r="E175" s="1" t="n"/>
      <c r="F175" s="1" t="n"/>
      <c r="G175" s="1" t="n"/>
      <c r="H175" s="1" t="n"/>
      <c r="I175" s="1" t="n"/>
      <c r="J175" s="1" t="n"/>
      <c r="K175" s="1" t="n"/>
      <c r="L175" s="1" t="n"/>
      <c r="M175" s="1" t="n"/>
    </row>
    <row r="176" ht="15" customHeight="1">
      <c r="A176" s="1" t="n"/>
      <c r="B176" s="1" t="n"/>
      <c r="C176" s="1" t="n"/>
      <c r="D176" s="1" t="n"/>
      <c r="E176" s="1" t="n"/>
      <c r="F176" s="1" t="n"/>
      <c r="G176" s="1" t="n"/>
      <c r="H176" s="1" t="n"/>
      <c r="I176" s="1" t="n"/>
      <c r="J176" s="1" t="n"/>
      <c r="K176" s="1" t="n"/>
      <c r="L176" s="1" t="n"/>
      <c r="M176" s="1" t="n"/>
    </row>
    <row r="177" ht="15" customHeight="1">
      <c r="A177" s="1" t="n"/>
      <c r="B177" s="1" t="n"/>
      <c r="C177" s="1" t="n"/>
      <c r="D177" s="1" t="n"/>
      <c r="E177" s="1" t="n"/>
      <c r="F177" s="1" t="n"/>
      <c r="G177" s="1" t="n"/>
      <c r="H177" s="1" t="n"/>
      <c r="I177" s="1" t="n"/>
      <c r="J177" s="1" t="n"/>
      <c r="K177" s="1" t="n"/>
      <c r="L177" s="1" t="n"/>
      <c r="M177" s="1" t="n"/>
    </row>
    <row r="178" ht="15" customHeight="1">
      <c r="A178" s="1" t="n"/>
      <c r="B178" s="1" t="n"/>
      <c r="C178" s="1" t="n"/>
      <c r="D178" s="1" t="n"/>
      <c r="E178" s="1" t="n"/>
      <c r="F178" s="1" t="n"/>
      <c r="G178" s="1" t="n"/>
      <c r="H178" s="1" t="n"/>
      <c r="I178" s="1" t="n"/>
      <c r="J178" s="1" t="n"/>
      <c r="K178" s="1" t="n"/>
      <c r="L178" s="1" t="n"/>
      <c r="M178" s="1" t="n"/>
    </row>
    <row r="179" ht="15" customHeight="1">
      <c r="A179" s="1" t="n"/>
      <c r="B179" s="1" t="n"/>
      <c r="C179" s="1" t="n"/>
      <c r="D179" s="1" t="n"/>
      <c r="E179" s="1" t="n"/>
      <c r="F179" s="1" t="n"/>
      <c r="G179" s="1" t="n"/>
      <c r="H179" s="1" t="n"/>
      <c r="I179" s="1" t="n"/>
      <c r="J179" s="1" t="n"/>
      <c r="K179" s="1" t="n"/>
      <c r="L179" s="1" t="n"/>
      <c r="M179" s="1" t="n"/>
    </row>
    <row r="180" ht="15" customHeight="1">
      <c r="A180" s="1" t="n"/>
      <c r="B180" s="1" t="n"/>
      <c r="C180" s="1" t="n"/>
      <c r="D180" s="1" t="n"/>
      <c r="E180" s="1" t="n"/>
      <c r="F180" s="1" t="n"/>
      <c r="G180" s="1" t="n"/>
      <c r="H180" s="1" t="n"/>
      <c r="I180" s="1" t="n"/>
      <c r="J180" s="1" t="n"/>
      <c r="K180" s="1" t="n"/>
      <c r="L180" s="1" t="n"/>
      <c r="M180" s="1" t="n"/>
    </row>
    <row r="181" ht="15" customHeight="1">
      <c r="A181" s="1" t="n"/>
      <c r="B181" s="1" t="n"/>
      <c r="C181" s="1" t="n"/>
      <c r="D181" s="1" t="n"/>
      <c r="E181" s="1" t="n"/>
      <c r="F181" s="1" t="n"/>
      <c r="G181" s="1" t="n"/>
      <c r="H181" s="1" t="n"/>
      <c r="I181" s="1" t="n"/>
      <c r="J181" s="1" t="n"/>
      <c r="K181" s="1" t="n"/>
      <c r="L181" s="1" t="n"/>
      <c r="M181" s="1" t="n"/>
    </row>
    <row r="182" ht="15" customHeight="1">
      <c r="A182" s="1" t="n"/>
      <c r="B182" s="1" t="n"/>
      <c r="C182" s="1" t="n"/>
      <c r="D182" s="1" t="n"/>
      <c r="E182" s="1" t="n"/>
      <c r="F182" s="1" t="n"/>
      <c r="G182" s="1" t="n"/>
      <c r="H182" s="1" t="n"/>
      <c r="I182" s="1" t="n"/>
      <c r="J182" s="1" t="n"/>
      <c r="K182" s="1" t="n"/>
      <c r="L182" s="1" t="n"/>
      <c r="M182" s="1" t="n"/>
    </row>
    <row r="183" ht="15" customHeight="1">
      <c r="A183" s="1" t="n"/>
      <c r="B183" s="1" t="n"/>
      <c r="C183" s="1" t="n"/>
      <c r="D183" s="1" t="n"/>
      <c r="E183" s="1" t="n"/>
      <c r="F183" s="1" t="n"/>
      <c r="G183" s="1" t="n"/>
      <c r="H183" s="1" t="n"/>
      <c r="I183" s="1" t="n"/>
      <c r="J183" s="1" t="n"/>
      <c r="K183" s="1" t="n"/>
      <c r="L183" s="1" t="n"/>
      <c r="M183" s="1" t="n"/>
    </row>
    <row r="184" ht="15" customHeight="1">
      <c r="A184" s="1" t="n"/>
      <c r="B184" s="1" t="n"/>
      <c r="C184" s="1" t="n"/>
      <c r="D184" s="1" t="n"/>
      <c r="E184" s="1" t="n"/>
      <c r="F184" s="1" t="n"/>
      <c r="G184" s="1" t="n"/>
      <c r="H184" s="1" t="n"/>
      <c r="I184" s="1" t="n"/>
      <c r="J184" s="1" t="n"/>
      <c r="K184" s="1" t="n"/>
      <c r="L184" s="1" t="n"/>
      <c r="M184" s="1" t="n"/>
    </row>
    <row r="185" ht="15" customHeight="1">
      <c r="A185" s="1" t="n"/>
      <c r="B185" s="1" t="n"/>
      <c r="C185" s="1" t="n"/>
      <c r="D185" s="1" t="n"/>
      <c r="E185" s="1" t="n"/>
      <c r="F185" s="1" t="n"/>
      <c r="G185" s="1" t="n"/>
      <c r="H185" s="1" t="n"/>
      <c r="I185" s="1" t="n"/>
      <c r="J185" s="1" t="n"/>
      <c r="K185" s="1" t="n"/>
      <c r="L185" s="1" t="n"/>
      <c r="M185" s="1" t="n"/>
    </row>
    <row r="186" ht="15" customHeight="1">
      <c r="A186" s="1" t="n"/>
      <c r="B186" s="1" t="n"/>
      <c r="C186" s="1" t="n"/>
      <c r="D186" s="1" t="n"/>
      <c r="E186" s="1" t="n"/>
      <c r="F186" s="1" t="n"/>
      <c r="G186" s="1" t="n"/>
      <c r="H186" s="1" t="n"/>
      <c r="I186" s="1" t="n"/>
      <c r="J186" s="1" t="n"/>
      <c r="K186" s="1" t="n"/>
      <c r="L186" s="1" t="n"/>
      <c r="M186" s="1" t="n"/>
    </row>
    <row r="187" ht="15" customHeight="1">
      <c r="A187" s="1" t="n"/>
      <c r="B187" s="1" t="n"/>
      <c r="C187" s="1" t="n"/>
      <c r="D187" s="1" t="n"/>
      <c r="E187" s="1" t="n"/>
      <c r="F187" s="1" t="n"/>
      <c r="G187" s="1" t="n"/>
      <c r="H187" s="1" t="n"/>
      <c r="I187" s="1" t="n"/>
      <c r="J187" s="1" t="n"/>
      <c r="K187" s="1" t="n"/>
      <c r="L187" s="1" t="n"/>
      <c r="M187" s="1" t="n"/>
    </row>
    <row r="188" ht="15" customHeight="1">
      <c r="A188" s="1" t="n"/>
      <c r="B188" s="1" t="n"/>
      <c r="C188" s="1" t="n"/>
      <c r="D188" s="1" t="n"/>
      <c r="E188" s="1" t="n"/>
      <c r="F188" s="1" t="n"/>
      <c r="G188" s="1" t="n"/>
      <c r="H188" s="1" t="n"/>
      <c r="I188" s="1" t="n"/>
      <c r="J188" s="1" t="n"/>
      <c r="K188" s="1" t="n"/>
      <c r="L188" s="1" t="n"/>
      <c r="M188" s="1" t="n"/>
    </row>
    <row r="189" ht="15" customHeight="1">
      <c r="A189" s="1" t="n"/>
      <c r="B189" s="1" t="n"/>
      <c r="C189" s="1" t="n"/>
      <c r="D189" s="1" t="n"/>
      <c r="E189" s="1" t="n"/>
      <c r="F189" s="1" t="n"/>
      <c r="G189" s="1" t="n"/>
      <c r="H189" s="1" t="n"/>
      <c r="I189" s="1" t="n"/>
      <c r="J189" s="1" t="n"/>
      <c r="K189" s="1" t="n"/>
      <c r="L189" s="1" t="n"/>
      <c r="M189" s="1" t="n"/>
    </row>
    <row r="190" ht="15" customHeight="1">
      <c r="A190" s="1" t="n"/>
      <c r="B190" s="1" t="n"/>
      <c r="C190" s="1" t="n"/>
      <c r="D190" s="1" t="n"/>
      <c r="E190" s="1" t="n"/>
      <c r="F190" s="1" t="n"/>
      <c r="G190" s="1" t="n"/>
      <c r="H190" s="1" t="n"/>
      <c r="I190" s="1" t="n"/>
      <c r="J190" s="1" t="n"/>
      <c r="K190" s="1" t="n"/>
      <c r="L190" s="1" t="n"/>
      <c r="M190" s="1" t="n"/>
    </row>
    <row r="191" ht="15" customHeight="1">
      <c r="A191" s="1" t="n"/>
      <c r="B191" s="1" t="n"/>
      <c r="C191" s="1" t="n"/>
      <c r="D191" s="1" t="n"/>
      <c r="E191" s="1" t="n"/>
      <c r="F191" s="1" t="n"/>
      <c r="G191" s="1" t="n"/>
      <c r="H191" s="1" t="n"/>
      <c r="I191" s="1" t="n"/>
      <c r="J191" s="1" t="n"/>
      <c r="K191" s="1" t="n"/>
      <c r="L191" s="1" t="n"/>
      <c r="M191" s="1" t="n"/>
    </row>
    <row r="192" ht="15" customHeight="1">
      <c r="A192" s="1" t="n"/>
      <c r="B192" s="1" t="n"/>
      <c r="C192" s="1" t="n"/>
      <c r="D192" s="1" t="n"/>
      <c r="E192" s="1" t="n"/>
      <c r="F192" s="1" t="n"/>
      <c r="G192" s="1" t="n"/>
      <c r="H192" s="1" t="n"/>
      <c r="I192" s="1" t="n"/>
      <c r="J192" s="1" t="n"/>
      <c r="K192" s="1" t="n"/>
      <c r="L192" s="1" t="n"/>
      <c r="M192" s="1" t="n"/>
    </row>
    <row r="193" ht="15" customHeight="1">
      <c r="A193" s="1" t="n"/>
      <c r="B193" s="1" t="n"/>
      <c r="C193" s="1" t="n"/>
      <c r="D193" s="1" t="n"/>
      <c r="E193" s="1" t="n"/>
      <c r="F193" s="1" t="n"/>
      <c r="G193" s="1" t="n"/>
      <c r="H193" s="1" t="n"/>
      <c r="I193" s="1" t="n"/>
      <c r="J193" s="1" t="n"/>
      <c r="K193" s="1" t="n"/>
      <c r="L193" s="1" t="n"/>
      <c r="M193" s="1" t="n"/>
    </row>
    <row r="194" ht="15" customHeight="1">
      <c r="A194" s="1" t="n"/>
      <c r="B194" s="1" t="n"/>
      <c r="C194" s="1" t="n"/>
      <c r="D194" s="1" t="n"/>
      <c r="E194" s="1" t="n"/>
      <c r="F194" s="1" t="n"/>
      <c r="G194" s="1" t="n"/>
      <c r="H194" s="1" t="n"/>
      <c r="I194" s="1" t="n"/>
      <c r="J194" s="1" t="n"/>
      <c r="K194" s="1" t="n"/>
      <c r="L194" s="1" t="n"/>
      <c r="M194" s="1" t="n"/>
    </row>
    <row r="195" ht="15" customHeight="1">
      <c r="A195" s="1" t="n"/>
      <c r="B195" s="1" t="n"/>
      <c r="C195" s="1" t="n"/>
      <c r="D195" s="1" t="n"/>
      <c r="E195" s="1" t="n"/>
      <c r="F195" s="1" t="n"/>
      <c r="G195" s="1" t="n"/>
      <c r="H195" s="1" t="n"/>
      <c r="I195" s="1" t="n"/>
      <c r="J195" s="1" t="n"/>
      <c r="K195" s="1" t="n"/>
      <c r="L195" s="1" t="n"/>
      <c r="M195" s="1" t="n"/>
    </row>
    <row r="196" ht="15" customHeight="1">
      <c r="A196" s="1" t="n"/>
      <c r="B196" s="1" t="n"/>
      <c r="C196" s="1" t="n"/>
      <c r="D196" s="1" t="n"/>
      <c r="E196" s="1" t="n"/>
      <c r="F196" s="1" t="n"/>
      <c r="G196" s="1" t="n"/>
      <c r="H196" s="1" t="n"/>
      <c r="I196" s="1" t="n"/>
      <c r="J196" s="1" t="n"/>
      <c r="K196" s="1" t="n"/>
      <c r="L196" s="1" t="n"/>
      <c r="M196" s="1" t="n"/>
    </row>
    <row r="197" ht="15" customHeight="1">
      <c r="A197" s="1" t="n"/>
      <c r="B197" s="1" t="n"/>
      <c r="C197" s="1" t="n"/>
      <c r="D197" s="1" t="n"/>
      <c r="E197" s="1" t="n"/>
      <c r="F197" s="1" t="n"/>
      <c r="G197" s="1" t="n"/>
      <c r="H197" s="1" t="n"/>
      <c r="I197" s="1" t="n"/>
      <c r="J197" s="1" t="n"/>
      <c r="K197" s="1" t="n"/>
      <c r="L197" s="1" t="n"/>
      <c r="M197" s="1" t="n"/>
    </row>
    <row r="198" ht="15" customHeight="1">
      <c r="A198" s="1" t="n"/>
      <c r="B198" s="1" t="n"/>
      <c r="C198" s="1" t="n"/>
      <c r="D198" s="1" t="n"/>
      <c r="E198" s="1" t="n"/>
      <c r="F198" s="1" t="n"/>
      <c r="G198" s="1" t="n"/>
      <c r="H198" s="1" t="n"/>
      <c r="I198" s="1" t="n"/>
      <c r="J198" s="1" t="n"/>
      <c r="K198" s="1" t="n"/>
      <c r="L198" s="1" t="n"/>
      <c r="M198" s="1" t="n"/>
    </row>
    <row r="199" ht="15" customHeight="1">
      <c r="A199" s="1" t="n"/>
      <c r="B199" s="1" t="n"/>
      <c r="C199" s="1" t="n"/>
      <c r="D199" s="1" t="n"/>
      <c r="E199" s="1" t="n"/>
      <c r="F199" s="1" t="n"/>
      <c r="G199" s="1" t="n"/>
      <c r="H199" s="1" t="n"/>
      <c r="I199" s="1" t="n"/>
      <c r="J199" s="1" t="n"/>
      <c r="K199" s="1" t="n"/>
      <c r="L199" s="1" t="n"/>
      <c r="M199" s="1" t="n"/>
    </row>
    <row r="200" ht="15" customHeight="1">
      <c r="A200" s="1" t="n"/>
      <c r="B200" s="1" t="n"/>
      <c r="C200" s="1" t="n"/>
      <c r="D200" s="1" t="n"/>
      <c r="E200" s="1" t="n"/>
      <c r="F200" s="1" t="n"/>
      <c r="G200" s="1" t="n"/>
      <c r="H200" s="1" t="n"/>
      <c r="I200" s="1" t="n"/>
      <c r="J200" s="1" t="n"/>
      <c r="K200" s="1" t="n"/>
      <c r="L200" s="1" t="n"/>
      <c r="M200" s="1" t="n"/>
    </row>
  </sheetData>
  <mergeCells count="2">
    <mergeCell ref="A2:K2"/>
    <mergeCell ref="A1:K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M200"/>
  <sheetViews>
    <sheetView tabSelected="1" workbookViewId="0">
      <selection activeCell="A1" sqref="A1:I1"/>
    </sheetView>
  </sheetViews>
  <sheetFormatPr baseColWidth="10" defaultColWidth="8.83203125" defaultRowHeight="14"/>
  <cols>
    <col width="22" customWidth="1" min="1" max="1"/>
    <col width="58" customWidth="1" min="2" max="2"/>
    <col width="42" customWidth="1" min="3" max="3"/>
    <col width="34" customWidth="1" min="4" max="4"/>
    <col width="16" customWidth="1" min="5" max="5"/>
    <col width="18" customWidth="1" min="6" max="7"/>
    <col width="44" customWidth="1" min="8" max="8"/>
    <col width="20" customWidth="1" min="9" max="9"/>
  </cols>
  <sheetData>
    <row r="1" ht="42.75" customHeight="1">
      <c r="A1" s="16" t="inlineStr">
        <is>
          <t>Methodology and Build Validation Checklist</t>
        </is>
      </c>
      <c r="J1" s="1" t="n"/>
      <c r="K1" s="1" t="n"/>
      <c r="L1" s="1" t="n"/>
      <c r="M1" s="1" t="n"/>
    </row>
    <row r="2" ht="40" customHeight="1">
      <c r="A2" s="17" t="inlineStr">
        <is>
          <t>Use this sheet as the prompt/checklist for Claude or another reviewer before Codex implements the web app.</t>
        </is>
      </c>
      <c r="J2" s="1" t="n"/>
      <c r="K2" s="1" t="n"/>
      <c r="L2" s="1" t="n"/>
      <c r="M2" s="1" t="n"/>
    </row>
    <row r="3" ht="15" customHeight="1">
      <c r="A3" s="1" t="n"/>
      <c r="B3" s="1" t="n"/>
      <c r="C3" s="1" t="n"/>
      <c r="D3" s="1" t="n"/>
      <c r="E3" s="1" t="n"/>
      <c r="F3" s="1" t="n"/>
      <c r="G3" s="1" t="n"/>
      <c r="H3" s="1" t="n"/>
      <c r="I3" s="1" t="n"/>
      <c r="J3" s="1" t="n"/>
      <c r="K3" s="1" t="n"/>
      <c r="L3" s="1" t="n"/>
      <c r="M3" s="1" t="n"/>
    </row>
    <row r="4" ht="15" customHeight="1">
      <c r="A4" s="4" t="inlineStr">
        <is>
          <t>Area</t>
        </is>
      </c>
      <c r="B4" s="4" t="inlineStr">
        <is>
          <t>Validation Question</t>
        </is>
      </c>
      <c r="C4" s="4" t="inlineStr">
        <is>
          <t>Why It Matters</t>
        </is>
      </c>
      <c r="D4" s="4" t="inlineStr">
        <is>
          <t>Evidence Required</t>
        </is>
      </c>
      <c r="E4" s="4" t="inlineStr">
        <is>
          <t>Severity</t>
        </is>
      </c>
      <c r="F4" s="4" t="inlineStr">
        <is>
          <t>Owner</t>
        </is>
      </c>
      <c r="G4" s="4" t="inlineStr">
        <is>
          <t>Status</t>
        </is>
      </c>
      <c r="H4" s="4" t="inlineStr">
        <is>
          <t>Resolution</t>
        </is>
      </c>
      <c r="I4" s="4" t="inlineStr">
        <is>
          <t>Sign-off</t>
        </is>
      </c>
      <c r="J4" s="1" t="n"/>
      <c r="K4" s="1" t="n"/>
      <c r="L4" s="1" t="n"/>
      <c r="M4" s="1" t="n"/>
    </row>
    <row r="5" ht="30" customHeight="1">
      <c r="A5" s="3" t="inlineStr">
        <is>
          <t>Market baseline</t>
        </is>
      </c>
      <c r="B5" s="3" t="inlineStr">
        <is>
          <t>Do our standard cost categories match reputable turnover calculators without omitting expected basics?</t>
        </is>
      </c>
      <c r="C5" s="3" t="inlineStr">
        <is>
          <t>Earn trust before adding differentiated categories</t>
        </is>
      </c>
      <c r="D5" s="3" t="inlineStr">
        <is>
          <t>Competitor comparison</t>
        </is>
      </c>
      <c r="E5" s="3" t="inlineStr">
        <is>
          <t>High</t>
        </is>
      </c>
      <c r="F5" s="3" t="n"/>
      <c r="G5" s="3" t="inlineStr">
        <is>
          <t>Not reviewed</t>
        </is>
      </c>
      <c r="H5" s="3" t="n"/>
      <c r="I5" s="3" t="n"/>
      <c r="J5" s="1" t="n"/>
      <c r="K5" s="1" t="n"/>
      <c r="L5" s="1" t="n"/>
      <c r="M5" s="1" t="n"/>
    </row>
    <row r="6" ht="30" customHeight="1">
      <c r="A6" s="3" t="inlineStr">
        <is>
          <t>Cost per hire</t>
        </is>
      </c>
      <c r="B6" s="3" t="inlineStr">
        <is>
          <t>Does selected SHRM benchmark include internal interview/admin labor, and are we avoiding double-counting?</t>
        </is>
      </c>
      <c r="C6" s="3" t="inlineStr">
        <is>
          <t>Could materially overstate cost</t>
        </is>
      </c>
      <c r="D6" s="3" t="inlineStr">
        <is>
          <t>SHRM methodology/report</t>
        </is>
      </c>
      <c r="E6" s="3" t="inlineStr">
        <is>
          <t>Critical</t>
        </is>
      </c>
      <c r="F6" s="3" t="n"/>
      <c r="G6" s="3" t="inlineStr">
        <is>
          <t>Open</t>
        </is>
      </c>
      <c r="H6" s="3" t="n"/>
      <c r="I6" s="3" t="n"/>
      <c r="J6" s="1" t="n"/>
      <c r="K6" s="1" t="n"/>
      <c r="L6" s="1" t="n"/>
      <c r="M6" s="1" t="n"/>
    </row>
    <row r="7" ht="30" customHeight="1">
      <c r="A7" s="3" t="inlineStr">
        <is>
          <t>Time to fill</t>
        </is>
      </c>
      <c r="B7" s="3" t="inlineStr">
        <is>
          <t>Should executive and nonexecutive values differ, and do we have licensed/public exact values?</t>
        </is>
      </c>
      <c r="C7" s="3" t="inlineStr">
        <is>
          <t>Vacancy cost sensitivity</t>
        </is>
      </c>
      <c r="D7" s="3" t="inlineStr">
        <is>
          <t>SHRM current data</t>
        </is>
      </c>
      <c r="E7" s="3" t="inlineStr">
        <is>
          <t>High</t>
        </is>
      </c>
      <c r="F7" s="3" t="n"/>
      <c r="G7" s="3" t="inlineStr">
        <is>
          <t>Open</t>
        </is>
      </c>
      <c r="H7" s="3" t="n"/>
      <c r="I7" s="3" t="n"/>
      <c r="J7" s="1" t="n"/>
      <c r="K7" s="1" t="n"/>
      <c r="L7" s="1" t="n"/>
      <c r="M7" s="1" t="n"/>
    </row>
    <row r="8" ht="30" customHeight="1">
      <c r="A8" s="3" t="inlineStr">
        <is>
          <t>Salary lookup</t>
        </is>
      </c>
      <c r="B8" s="3" t="inlineStr">
        <is>
          <t>Can BLS OEWS support role category + level defaults without forcing exact job title selection?</t>
        </is>
      </c>
      <c r="C8" s="3" t="inlineStr">
        <is>
          <t>Core Zillow-like prepopulation</t>
        </is>
      </c>
      <c r="D8" s="3" t="inlineStr">
        <is>
          <t>OEWS mapping design</t>
        </is>
      </c>
      <c r="E8" s="3" t="inlineStr">
        <is>
          <t>Critical</t>
        </is>
      </c>
      <c r="F8" s="3" t="n"/>
      <c r="G8" s="3" t="inlineStr">
        <is>
          <t>Open</t>
        </is>
      </c>
      <c r="H8" s="3" t="n"/>
      <c r="I8" s="3" t="n"/>
      <c r="J8" s="1" t="n"/>
      <c r="K8" s="1" t="n"/>
      <c r="L8" s="1" t="n"/>
      <c r="M8" s="1" t="n"/>
    </row>
    <row r="9" ht="30" customHeight="1">
      <c r="A9" s="3" t="inlineStr">
        <is>
          <t>Industry optionality</t>
        </is>
      </c>
      <c r="B9" s="3" t="inlineStr">
        <is>
          <t>Does optional industry materially improve turnover or wage defaults enough to keep?</t>
        </is>
      </c>
      <c r="C9" s="3" t="inlineStr">
        <is>
          <t>Avoid unnecessary friction</t>
        </is>
      </c>
      <c r="D9" s="3" t="inlineStr">
        <is>
          <t>A/B design + data review</t>
        </is>
      </c>
      <c r="E9" s="3" t="inlineStr">
        <is>
          <t>Medium</t>
        </is>
      </c>
      <c r="F9" s="3" t="n"/>
      <c r="G9" s="3" t="inlineStr">
        <is>
          <t>Open</t>
        </is>
      </c>
      <c r="H9" s="3" t="n"/>
      <c r="I9" s="3" t="n"/>
      <c r="J9" s="1" t="n"/>
      <c r="K9" s="1" t="n"/>
      <c r="L9" s="1" t="n"/>
      <c r="M9" s="1" t="n"/>
    </row>
    <row r="10" ht="30" customHeight="1">
      <c r="A10" s="3" t="inlineStr">
        <is>
          <t>JOLTS use</t>
        </is>
      </c>
      <c r="B10" s="3" t="inlineStr">
        <is>
          <t>Are we using quits rates correctly and clearly distinguishing monthly annual-average rates from annual turnover?</t>
        </is>
      </c>
      <c r="C10" s="3" t="inlineStr">
        <is>
          <t>Prevents misleading benchmark</t>
        </is>
      </c>
      <c r="D10" s="3" t="inlineStr">
        <is>
          <t>BLS methodology</t>
        </is>
      </c>
      <c r="E10" s="3" t="inlineStr">
        <is>
          <t>Critical</t>
        </is>
      </c>
      <c r="F10" s="3" t="n"/>
      <c r="G10" s="3" t="inlineStr">
        <is>
          <t>Open</t>
        </is>
      </c>
      <c r="H10" s="3" t="n"/>
      <c r="I10" s="3" t="n"/>
      <c r="J10" s="1" t="n"/>
      <c r="K10" s="1" t="n"/>
      <c r="L10" s="1" t="n"/>
      <c r="M10" s="1" t="n"/>
    </row>
    <row r="11" ht="30" customHeight="1">
      <c r="A11" s="3" t="inlineStr">
        <is>
          <t>Fully loaded cost</t>
        </is>
      </c>
      <c r="B11" s="3" t="inlineStr">
        <is>
          <t>Is the national BLS ECEC multiplier suitable as default and can it be refined by industry/region later?</t>
        </is>
      </c>
      <c r="C11" s="3" t="inlineStr">
        <is>
          <t>Labor cost basis</t>
        </is>
      </c>
      <c r="D11" s="3" t="inlineStr">
        <is>
          <t>BLS ECEC</t>
        </is>
      </c>
      <c r="E11" s="3" t="inlineStr">
        <is>
          <t>High</t>
        </is>
      </c>
      <c r="F11" s="3" t="n"/>
      <c r="G11" s="3" t="inlineStr">
        <is>
          <t>Open</t>
        </is>
      </c>
      <c r="H11" s="3" t="n"/>
      <c r="I11" s="3" t="n"/>
      <c r="J11" s="1" t="n"/>
      <c r="K11" s="1" t="n"/>
      <c r="L11" s="1" t="n"/>
      <c r="M11" s="1" t="n"/>
    </row>
    <row r="12" ht="30" customHeight="1">
      <c r="A12" s="3" t="inlineStr">
        <is>
          <t>Vacancy model</t>
        </is>
      </c>
      <c r="B12" s="3" t="inlineStr">
        <is>
          <t>Is uncovered-work percentage the right way to avoid treating the full salary as lost capacity?</t>
        </is>
      </c>
      <c r="C12" s="3" t="inlineStr">
        <is>
          <t>Material model assumption</t>
        </is>
      </c>
      <c r="D12" s="3" t="inlineStr">
        <is>
          <t>Expert validation</t>
        </is>
      </c>
      <c r="E12" s="3" t="inlineStr">
        <is>
          <t>Critical</t>
        </is>
      </c>
      <c r="F12" s="3" t="n"/>
      <c r="G12" s="3" t="inlineStr">
        <is>
          <t>Open</t>
        </is>
      </c>
      <c r="H12" s="3" t="n"/>
      <c r="I12" s="3" t="n"/>
      <c r="J12" s="1" t="n"/>
      <c r="K12" s="1" t="n"/>
      <c r="L12" s="1" t="n"/>
      <c r="M12" s="1" t="n"/>
    </row>
    <row r="13" ht="15" customHeight="1">
      <c r="A13" s="3" t="inlineStr">
        <is>
          <t>Ramp-up model</t>
        </is>
      </c>
      <c r="B13" s="3" t="inlineStr">
        <is>
          <t>Can ramp period and productivity curve be calibrated by role category/level?</t>
        </is>
      </c>
      <c r="C13" s="3" t="inlineStr">
        <is>
          <t>Major output driver</t>
        </is>
      </c>
      <c r="D13" s="3" t="inlineStr">
        <is>
          <t>Research or customer data</t>
        </is>
      </c>
      <c r="E13" s="3" t="inlineStr">
        <is>
          <t>Critical</t>
        </is>
      </c>
      <c r="F13" s="3" t="n"/>
      <c r="G13" s="3" t="inlineStr">
        <is>
          <t>Open</t>
        </is>
      </c>
      <c r="H13" s="3" t="n"/>
      <c r="I13" s="3" t="n"/>
      <c r="J13" s="1" t="n"/>
      <c r="K13" s="1" t="n"/>
      <c r="L13" s="1" t="n"/>
      <c r="M13" s="1" t="n"/>
    </row>
    <row r="14" ht="15" customHeight="1">
      <c r="A14" s="3" t="inlineStr">
        <is>
          <t>Knowledge transfer</t>
        </is>
      </c>
      <c r="B14" s="3" t="inlineStr">
        <is>
          <t>Are transfer hours separate from onboarding and ramp-up labor?</t>
        </is>
      </c>
      <c r="C14" s="3" t="inlineStr">
        <is>
          <t>Double-counting control</t>
        </is>
      </c>
      <c r="D14" s="3" t="inlineStr">
        <is>
          <t>Formula walkthrough</t>
        </is>
      </c>
      <c r="E14" s="3" t="inlineStr">
        <is>
          <t>Critical</t>
        </is>
      </c>
      <c r="F14" s="3" t="n"/>
      <c r="G14" s="3" t="inlineStr">
        <is>
          <t>Open</t>
        </is>
      </c>
      <c r="H14" s="3" t="n"/>
      <c r="I14" s="3" t="n"/>
      <c r="J14" s="1" t="n"/>
      <c r="K14" s="1" t="n"/>
      <c r="L14" s="1" t="n"/>
      <c r="M14" s="1" t="n"/>
    </row>
    <row r="15" ht="15" customHeight="1">
      <c r="A15" s="3" t="inlineStr">
        <is>
          <t>Context rediscovery</t>
        </is>
      </c>
      <c r="B15" s="3" t="inlineStr">
        <is>
          <t>Is the definition narrow enough to avoid duplicating ramp-up productivity?</t>
        </is>
      </c>
      <c r="C15" s="3" t="inlineStr">
        <is>
          <t>Core differentiator must be credible</t>
        </is>
      </c>
      <c r="D15" s="3" t="inlineStr">
        <is>
          <t>User testing + expert review</t>
        </is>
      </c>
      <c r="E15" s="3" t="inlineStr">
        <is>
          <t>Critical</t>
        </is>
      </c>
      <c r="F15" s="3" t="n"/>
      <c r="G15" s="3" t="inlineStr">
        <is>
          <t>Open</t>
        </is>
      </c>
      <c r="H15" s="3" t="n"/>
      <c r="I15" s="3" t="n"/>
      <c r="J15" s="1" t="n"/>
      <c r="K15" s="1" t="n"/>
      <c r="L15" s="1" t="n"/>
      <c r="M15" s="1" t="n"/>
    </row>
    <row r="16" ht="30" customHeight="1">
      <c r="A16" s="3" t="inlineStr">
        <is>
          <t>Institutional memory</t>
        </is>
      </c>
      <c r="B16" s="3" t="inlineStr">
        <is>
          <t>Can coworker/leader reconstruction hours be estimated through a short user question or benchmark?</t>
        </is>
      </c>
      <c r="C16" s="3" t="inlineStr">
        <is>
          <t>Quantifies quiet knowledge loss</t>
        </is>
      </c>
      <c r="D16" s="3" t="inlineStr">
        <is>
          <t>Research + interviews</t>
        </is>
      </c>
      <c r="E16" s="3" t="inlineStr">
        <is>
          <t>High</t>
        </is>
      </c>
      <c r="F16" s="3" t="n"/>
      <c r="G16" s="3" t="inlineStr">
        <is>
          <t>Open</t>
        </is>
      </c>
      <c r="H16" s="3" t="n"/>
      <c r="I16" s="3" t="n"/>
      <c r="J16" s="1" t="n"/>
      <c r="K16" s="1" t="n"/>
      <c r="L16" s="1" t="n"/>
      <c r="M16" s="1" t="n"/>
    </row>
    <row r="17" ht="30" customHeight="1">
      <c r="A17" s="3" t="inlineStr">
        <is>
          <t>Project disruption</t>
        </is>
      </c>
      <c r="B17" s="3" t="inlineStr">
        <is>
          <t>Does labor-only impact provide value without pretending to predict project failure or project value?</t>
        </is>
      </c>
      <c r="C17" s="3" t="inlineStr">
        <is>
          <t>Trust boundary</t>
        </is>
      </c>
      <c r="D17" s="3" t="inlineStr">
        <is>
          <t>Scenario testing</t>
        </is>
      </c>
      <c r="E17" s="3" t="inlineStr">
        <is>
          <t>High</t>
        </is>
      </c>
      <c r="F17" s="3" t="n"/>
      <c r="G17" s="3" t="inlineStr">
        <is>
          <t>Open</t>
        </is>
      </c>
      <c r="H17" s="3" t="n"/>
      <c r="I17" s="3" t="n"/>
      <c r="J17" s="1" t="n"/>
      <c r="K17" s="1" t="n"/>
      <c r="L17" s="1" t="n"/>
      <c r="M17" s="1" t="n"/>
    </row>
    <row r="18" ht="30" customHeight="1">
      <c r="A18" s="3" t="inlineStr">
        <is>
          <t>Relationship module</t>
        </is>
      </c>
      <c r="B18" s="3" t="inlineStr">
        <is>
          <t>Should customer/supplier continuity be excluded from v1 unless user supplies exact economics?</t>
        </is>
      </c>
      <c r="C18" s="3" t="inlineStr">
        <is>
          <t>Avoid weak CAC/churn formula</t>
        </is>
      </c>
      <c r="D18" s="3" t="inlineStr">
        <is>
          <t>Expert review</t>
        </is>
      </c>
      <c r="E18" s="3" t="inlineStr">
        <is>
          <t>High</t>
        </is>
      </c>
      <c r="F18" s="3" t="n"/>
      <c r="G18" s="3" t="inlineStr">
        <is>
          <t>Open</t>
        </is>
      </c>
      <c r="H18" s="3" t="n"/>
      <c r="I18" s="3" t="n"/>
      <c r="J18" s="1" t="n"/>
      <c r="K18" s="1" t="n"/>
      <c r="L18" s="1" t="n"/>
      <c r="M18" s="1" t="n"/>
    </row>
    <row r="19" ht="30" customHeight="1">
      <c r="A19" s="3" t="inlineStr">
        <is>
          <t>Range methodology</t>
        </is>
      </c>
      <c r="B19" s="3" t="inlineStr">
        <is>
          <t>Are low/high factors based on defensible sensitivity ranges rather than arbitrary percentages?</t>
        </is>
      </c>
      <c r="C19" s="3" t="inlineStr">
        <is>
          <t>Avoid decorative uncertainty</t>
        </is>
      </c>
      <c r="D19" s="3" t="inlineStr">
        <is>
          <t>Sensitivity analysis</t>
        </is>
      </c>
      <c r="E19" s="3" t="inlineStr">
        <is>
          <t>Critical</t>
        </is>
      </c>
      <c r="F19" s="3" t="n"/>
      <c r="G19" s="3" t="inlineStr">
        <is>
          <t>Open</t>
        </is>
      </c>
      <c r="H19" s="3" t="n"/>
      <c r="I19" s="3" t="n"/>
      <c r="J19" s="1" t="n"/>
      <c r="K19" s="1" t="n"/>
      <c r="L19" s="1" t="n"/>
      <c r="M19" s="1" t="n"/>
    </row>
    <row r="20" ht="30" customHeight="1">
      <c r="A20" s="3" t="inlineStr">
        <is>
          <t>Built Using</t>
        </is>
      </c>
      <c r="B20" s="3" t="inlineStr">
        <is>
          <t>Does composition weight provenance by cost contribution and handle mixed-source components correctly?</t>
        </is>
      </c>
      <c r="C20" s="3" t="inlineStr">
        <is>
          <t>Transparency feature must be truthful</t>
        </is>
      </c>
      <c r="D20" s="3" t="inlineStr">
        <is>
          <t>Formula audit</t>
        </is>
      </c>
      <c r="E20" s="3" t="inlineStr">
        <is>
          <t>High</t>
        </is>
      </c>
      <c r="F20" s="3" t="n"/>
      <c r="G20" s="3" t="inlineStr">
        <is>
          <t>Open</t>
        </is>
      </c>
      <c r="H20" s="3" t="n"/>
      <c r="I20" s="3" t="n"/>
      <c r="J20" s="1" t="n"/>
      <c r="K20" s="1" t="n"/>
      <c r="L20" s="1" t="n"/>
      <c r="M20" s="1" t="n"/>
    </row>
    <row r="21" ht="15" customHeight="1">
      <c r="A21" s="3" t="inlineStr">
        <is>
          <t>Lead flow</t>
        </is>
      </c>
      <c r="B21" s="3" t="inlineStr">
        <is>
          <t>Should email be requested after a useful preview rather than before results?</t>
        </is>
      </c>
      <c r="C21" s="3" t="inlineStr">
        <is>
          <t>Completion and trust</t>
        </is>
      </c>
      <c r="D21" s="3" t="inlineStr">
        <is>
          <t>Conversion test</t>
        </is>
      </c>
      <c r="E21" s="3" t="inlineStr">
        <is>
          <t>Medium</t>
        </is>
      </c>
      <c r="F21" s="3" t="n"/>
      <c r="G21" s="3" t="inlineStr">
        <is>
          <t>Open</t>
        </is>
      </c>
      <c r="H21" s="3" t="n"/>
      <c r="I21" s="3" t="n"/>
      <c r="J21" s="1" t="n"/>
      <c r="K21" s="1" t="n"/>
      <c r="L21" s="1" t="n"/>
      <c r="M21" s="1" t="n"/>
    </row>
    <row r="22" ht="30" customHeight="1">
      <c r="A22" s="3" t="inlineStr">
        <is>
          <t>Jaspen copy</t>
        </is>
      </c>
      <c r="B22" s="3" t="inlineStr">
        <is>
          <t>Does CTA accurately describe institutional-memory value without claiming Jaspen solves recruiting, vacancy, or turnover?</t>
        </is>
      </c>
      <c r="C22" s="3" t="inlineStr">
        <is>
          <t>Brand credibility</t>
        </is>
      </c>
      <c r="D22" s="3" t="inlineStr">
        <is>
          <t>Copy review</t>
        </is>
      </c>
      <c r="E22" s="3" t="inlineStr">
        <is>
          <t>Critical</t>
        </is>
      </c>
      <c r="F22" s="3" t="n"/>
      <c r="G22" s="3" t="inlineStr">
        <is>
          <t>Open</t>
        </is>
      </c>
      <c r="H22" s="3" t="n"/>
      <c r="I22" s="3" t="n"/>
      <c r="J22" s="1" t="n"/>
      <c r="K22" s="1" t="n"/>
      <c r="L22" s="1" t="n"/>
      <c r="M22" s="1" t="n"/>
    </row>
    <row r="23" ht="15" customHeight="1">
      <c r="A23" s="3" t="inlineStr">
        <is>
          <t>Data freshness</t>
        </is>
      </c>
      <c r="B23" s="3" t="inlineStr">
        <is>
          <t>Can benchmarks be versioned and updated independently of code?</t>
        </is>
      </c>
      <c r="C23" s="3" t="inlineStr">
        <is>
          <t>Long-term integrity</t>
        </is>
      </c>
      <c r="D23" s="3" t="inlineStr">
        <is>
          <t>Technical design</t>
        </is>
      </c>
      <c r="E23" s="3" t="inlineStr">
        <is>
          <t>High</t>
        </is>
      </c>
      <c r="F23" s="3" t="n"/>
      <c r="G23" s="3" t="inlineStr">
        <is>
          <t>Open</t>
        </is>
      </c>
      <c r="H23" s="3" t="n"/>
      <c r="I23" s="3" t="n"/>
      <c r="J23" s="1" t="n"/>
      <c r="K23" s="1" t="n"/>
      <c r="L23" s="1" t="n"/>
      <c r="M23" s="1" t="n"/>
    </row>
    <row r="24" ht="30" customHeight="1">
      <c r="A24" s="3" t="inlineStr">
        <is>
          <t>Legal/disclaimer</t>
        </is>
      </c>
      <c r="B24" s="3" t="inlineStr">
        <is>
          <t>Does the utility clearly say estimates are directional and should be validated with HR/Finance?</t>
        </is>
      </c>
      <c r="C24" s="3" t="inlineStr">
        <is>
          <t>Risk management</t>
        </is>
      </c>
      <c r="D24" s="3" t="inlineStr">
        <is>
          <t>Legal review</t>
        </is>
      </c>
      <c r="E24" s="3" t="inlineStr">
        <is>
          <t>Critical</t>
        </is>
      </c>
      <c r="F24" s="3" t="n"/>
      <c r="G24" s="3" t="inlineStr">
        <is>
          <t>Open</t>
        </is>
      </c>
      <c r="H24" s="3" t="n"/>
      <c r="I24" s="3" t="n"/>
      <c r="J24" s="1" t="n"/>
      <c r="K24" s="1" t="n"/>
      <c r="L24" s="1" t="n"/>
      <c r="M24" s="1" t="n"/>
    </row>
    <row r="25" ht="15" customHeight="1">
      <c r="A25" s="1" t="n"/>
      <c r="B25" s="1" t="n"/>
      <c r="C25" s="1" t="n"/>
      <c r="D25" s="1" t="n"/>
      <c r="E25" s="1" t="n"/>
      <c r="F25" s="1" t="n"/>
      <c r="G25" s="1" t="n"/>
      <c r="H25" s="1" t="n"/>
      <c r="I25" s="1" t="n"/>
      <c r="J25" s="1" t="n"/>
      <c r="K25" s="1" t="n"/>
      <c r="L25" s="1" t="n"/>
      <c r="M25" s="1" t="n"/>
    </row>
    <row r="26" ht="15" customHeight="1">
      <c r="A26" s="1" t="n"/>
      <c r="B26" s="1" t="n"/>
      <c r="C26" s="1" t="n"/>
      <c r="D26" s="1" t="n"/>
      <c r="E26" s="1" t="n"/>
      <c r="F26" s="1" t="n"/>
      <c r="G26" s="1" t="n"/>
      <c r="H26" s="1" t="n"/>
      <c r="I26" s="1" t="n"/>
      <c r="J26" s="1" t="n"/>
      <c r="K26" s="1" t="n"/>
      <c r="L26" s="1" t="n"/>
      <c r="M26" s="1" t="n"/>
    </row>
    <row r="27" ht="15" customHeight="1">
      <c r="A27" s="1" t="n"/>
      <c r="B27" s="1" t="n"/>
      <c r="C27" s="1" t="n"/>
      <c r="D27" s="1" t="n"/>
      <c r="E27" s="1" t="n"/>
      <c r="F27" s="1" t="n"/>
      <c r="G27" s="1" t="n"/>
      <c r="H27" s="1" t="n"/>
      <c r="I27" s="1" t="n"/>
      <c r="J27" s="1" t="n"/>
      <c r="K27" s="1" t="n"/>
      <c r="L27" s="1" t="n"/>
      <c r="M27" s="1" t="n"/>
    </row>
    <row r="28" ht="15" customHeight="1">
      <c r="A28" s="1" t="n"/>
      <c r="B28" s="1" t="n"/>
      <c r="C28" s="1" t="n"/>
      <c r="D28" s="1" t="n"/>
      <c r="E28" s="1" t="n"/>
      <c r="F28" s="1" t="n"/>
      <c r="G28" s="1" t="n"/>
      <c r="H28" s="1" t="n"/>
      <c r="I28" s="1" t="n"/>
      <c r="J28" s="1" t="n"/>
      <c r="K28" s="1" t="n"/>
      <c r="L28" s="1" t="n"/>
      <c r="M28" s="1" t="n"/>
    </row>
    <row r="29" ht="15" customHeight="1">
      <c r="A29" s="1" t="n"/>
      <c r="B29" s="1" t="n"/>
      <c r="C29" s="1" t="n"/>
      <c r="D29" s="1" t="n"/>
      <c r="E29" s="1" t="n"/>
      <c r="F29" s="1" t="n"/>
      <c r="G29" s="1" t="n"/>
      <c r="H29" s="1" t="n"/>
      <c r="I29" s="1" t="n"/>
      <c r="J29" s="1" t="n"/>
      <c r="K29" s="1" t="n"/>
      <c r="L29" s="1" t="n"/>
      <c r="M29" s="1" t="n"/>
    </row>
    <row r="30" ht="15" customHeight="1">
      <c r="A30" s="1" t="n"/>
      <c r="B30" s="1" t="n"/>
      <c r="C30" s="1" t="n"/>
      <c r="D30" s="1" t="n"/>
      <c r="E30" s="1" t="n"/>
      <c r="F30" s="1" t="n"/>
      <c r="G30" s="1" t="n"/>
      <c r="H30" s="1" t="n"/>
      <c r="I30" s="1" t="n"/>
      <c r="J30" s="1" t="n"/>
      <c r="K30" s="1" t="n"/>
      <c r="L30" s="1" t="n"/>
      <c r="M30" s="1" t="n"/>
    </row>
    <row r="31" ht="15" customHeight="1">
      <c r="A31" s="1" t="n"/>
      <c r="B31" s="1" t="n"/>
      <c r="C31" s="1" t="n"/>
      <c r="D31" s="1" t="n"/>
      <c r="E31" s="1" t="n"/>
      <c r="F31" s="1" t="n"/>
      <c r="G31" s="1" t="n"/>
      <c r="H31" s="1" t="n"/>
      <c r="I31" s="1" t="n"/>
      <c r="J31" s="1" t="n"/>
      <c r="K31" s="1" t="n"/>
      <c r="L31" s="1" t="n"/>
      <c r="M31" s="1" t="n"/>
    </row>
    <row r="32" ht="15" customHeight="1">
      <c r="A32" s="1" t="n"/>
      <c r="B32" s="1" t="n"/>
      <c r="C32" s="1" t="n"/>
      <c r="D32" s="1" t="n"/>
      <c r="E32" s="1" t="n"/>
      <c r="F32" s="1" t="n"/>
      <c r="G32" s="1" t="n"/>
      <c r="H32" s="1" t="n"/>
      <c r="I32" s="1" t="n"/>
      <c r="J32" s="1" t="n"/>
      <c r="K32" s="1" t="n"/>
      <c r="L32" s="1" t="n"/>
      <c r="M32" s="1" t="n"/>
    </row>
    <row r="33" ht="15" customHeight="1">
      <c r="A33" s="1" t="n"/>
      <c r="B33" s="1" t="n"/>
      <c r="C33" s="1" t="n"/>
      <c r="D33" s="1" t="n"/>
      <c r="E33" s="1" t="n"/>
      <c r="F33" s="1" t="n"/>
      <c r="G33" s="1" t="n"/>
      <c r="H33" s="1" t="n"/>
      <c r="I33" s="1" t="n"/>
      <c r="J33" s="1" t="n"/>
      <c r="K33" s="1" t="n"/>
      <c r="L33" s="1" t="n"/>
      <c r="M33" s="1" t="n"/>
    </row>
    <row r="34" ht="15" customHeight="1">
      <c r="A34" s="1" t="n"/>
      <c r="B34" s="1" t="n"/>
      <c r="C34" s="1" t="n"/>
      <c r="D34" s="1" t="n"/>
      <c r="E34" s="1" t="n"/>
      <c r="F34" s="1" t="n"/>
      <c r="G34" s="1" t="n"/>
      <c r="H34" s="1" t="n"/>
      <c r="I34" s="1" t="n"/>
      <c r="J34" s="1" t="n"/>
      <c r="K34" s="1" t="n"/>
      <c r="L34" s="1" t="n"/>
      <c r="M34" s="1" t="n"/>
    </row>
    <row r="35" ht="15" customHeight="1">
      <c r="A35" s="1" t="n"/>
      <c r="B35" s="1" t="n"/>
      <c r="C35" s="1" t="n"/>
      <c r="D35" s="1" t="n"/>
      <c r="E35" s="1" t="n"/>
      <c r="F35" s="1" t="n"/>
      <c r="G35" s="1" t="n"/>
      <c r="H35" s="1" t="n"/>
      <c r="I35" s="1" t="n"/>
      <c r="J35" s="1" t="n"/>
      <c r="K35" s="1" t="n"/>
      <c r="L35" s="1" t="n"/>
      <c r="M35" s="1" t="n"/>
    </row>
    <row r="36" ht="15" customHeight="1">
      <c r="A36" s="1" t="n"/>
      <c r="B36" s="1" t="n"/>
      <c r="C36" s="1" t="n"/>
      <c r="D36" s="1" t="n"/>
      <c r="E36" s="1" t="n"/>
      <c r="F36" s="1" t="n"/>
      <c r="G36" s="1" t="n"/>
      <c r="H36" s="1" t="n"/>
      <c r="I36" s="1" t="n"/>
      <c r="J36" s="1" t="n"/>
      <c r="K36" s="1" t="n"/>
      <c r="L36" s="1" t="n"/>
      <c r="M36" s="1" t="n"/>
    </row>
    <row r="37" ht="15" customHeight="1">
      <c r="A37" s="1" t="n"/>
      <c r="B37" s="1" t="n"/>
      <c r="C37" s="1" t="n"/>
      <c r="D37" s="1" t="n"/>
      <c r="E37" s="1" t="n"/>
      <c r="F37" s="1" t="n"/>
      <c r="G37" s="1" t="n"/>
      <c r="H37" s="1" t="n"/>
      <c r="I37" s="1" t="n"/>
      <c r="J37" s="1" t="n"/>
      <c r="K37" s="1" t="n"/>
      <c r="L37" s="1" t="n"/>
      <c r="M37" s="1" t="n"/>
    </row>
    <row r="38" ht="15" customHeight="1">
      <c r="A38" s="1" t="n"/>
      <c r="B38" s="1" t="n"/>
      <c r="C38" s="1" t="n"/>
      <c r="D38" s="1" t="n"/>
      <c r="E38" s="1" t="n"/>
      <c r="F38" s="1" t="n"/>
      <c r="G38" s="1" t="n"/>
      <c r="H38" s="1" t="n"/>
      <c r="I38" s="1" t="n"/>
      <c r="J38" s="1" t="n"/>
      <c r="K38" s="1" t="n"/>
      <c r="L38" s="1" t="n"/>
      <c r="M38" s="1" t="n"/>
    </row>
    <row r="39" ht="15" customHeight="1">
      <c r="A39" s="1" t="n"/>
      <c r="B39" s="1" t="n"/>
      <c r="C39" s="1" t="n"/>
      <c r="D39" s="1" t="n"/>
      <c r="E39" s="1" t="n"/>
      <c r="F39" s="1" t="n"/>
      <c r="G39" s="1" t="n"/>
      <c r="H39" s="1" t="n"/>
      <c r="I39" s="1" t="n"/>
      <c r="J39" s="1" t="n"/>
      <c r="K39" s="1" t="n"/>
      <c r="L39" s="1" t="n"/>
      <c r="M39" s="1" t="n"/>
    </row>
    <row r="40" ht="15" customHeight="1">
      <c r="A40" s="1" t="n"/>
      <c r="B40" s="1" t="n"/>
      <c r="C40" s="1" t="n"/>
      <c r="D40" s="1" t="n"/>
      <c r="E40" s="1" t="n"/>
      <c r="F40" s="1" t="n"/>
      <c r="G40" s="1" t="n"/>
      <c r="H40" s="1" t="n"/>
      <c r="I40" s="1" t="n"/>
      <c r="J40" s="1" t="n"/>
      <c r="K40" s="1" t="n"/>
      <c r="L40" s="1" t="n"/>
      <c r="M40" s="1" t="n"/>
    </row>
    <row r="41" ht="15" customHeight="1">
      <c r="A41" s="1" t="n"/>
      <c r="B41" s="1" t="n"/>
      <c r="C41" s="1" t="n"/>
      <c r="D41" s="1" t="n"/>
      <c r="E41" s="1" t="n"/>
      <c r="F41" s="1" t="n"/>
      <c r="G41" s="1" t="n"/>
      <c r="H41" s="1" t="n"/>
      <c r="I41" s="1" t="n"/>
      <c r="J41" s="1" t="n"/>
      <c r="K41" s="1" t="n"/>
      <c r="L41" s="1" t="n"/>
      <c r="M41" s="1" t="n"/>
    </row>
    <row r="42" ht="15" customHeight="1">
      <c r="A42" s="1" t="n"/>
      <c r="B42" s="1" t="n"/>
      <c r="C42" s="1" t="n"/>
      <c r="D42" s="1" t="n"/>
      <c r="E42" s="1" t="n"/>
      <c r="F42" s="1" t="n"/>
      <c r="G42" s="1" t="n"/>
      <c r="H42" s="1" t="n"/>
      <c r="I42" s="1" t="n"/>
      <c r="J42" s="1" t="n"/>
      <c r="K42" s="1" t="n"/>
      <c r="L42" s="1" t="n"/>
      <c r="M42" s="1" t="n"/>
    </row>
    <row r="43" ht="15" customHeight="1">
      <c r="A43" s="1" t="n"/>
      <c r="B43" s="1" t="n"/>
      <c r="C43" s="1" t="n"/>
      <c r="D43" s="1" t="n"/>
      <c r="E43" s="1" t="n"/>
      <c r="F43" s="1" t="n"/>
      <c r="G43" s="1" t="n"/>
      <c r="H43" s="1" t="n"/>
      <c r="I43" s="1" t="n"/>
      <c r="J43" s="1" t="n"/>
      <c r="K43" s="1" t="n"/>
      <c r="L43" s="1" t="n"/>
      <c r="M43" s="1" t="n"/>
    </row>
    <row r="44" ht="15" customHeight="1">
      <c r="A44" s="1" t="n"/>
      <c r="B44" s="1" t="n"/>
      <c r="C44" s="1" t="n"/>
      <c r="D44" s="1" t="n"/>
      <c r="E44" s="1" t="n"/>
      <c r="F44" s="1" t="n"/>
      <c r="G44" s="1" t="n"/>
      <c r="H44" s="1" t="n"/>
      <c r="I44" s="1" t="n"/>
      <c r="J44" s="1" t="n"/>
      <c r="K44" s="1" t="n"/>
      <c r="L44" s="1" t="n"/>
      <c r="M44" s="1" t="n"/>
    </row>
    <row r="45" ht="15" customHeight="1">
      <c r="A45" s="1" t="n"/>
      <c r="B45" s="1" t="n"/>
      <c r="C45" s="1" t="n"/>
      <c r="D45" s="1" t="n"/>
      <c r="E45" s="1" t="n"/>
      <c r="F45" s="1" t="n"/>
      <c r="G45" s="1" t="n"/>
      <c r="H45" s="1" t="n"/>
      <c r="I45" s="1" t="n"/>
      <c r="J45" s="1" t="n"/>
      <c r="K45" s="1" t="n"/>
      <c r="L45" s="1" t="n"/>
      <c r="M45" s="1" t="n"/>
    </row>
    <row r="46" ht="15" customHeight="1">
      <c r="A46" s="1" t="n"/>
      <c r="B46" s="1" t="n"/>
      <c r="C46" s="1" t="n"/>
      <c r="D46" s="1" t="n"/>
      <c r="E46" s="1" t="n"/>
      <c r="F46" s="1" t="n"/>
      <c r="G46" s="1" t="n"/>
      <c r="H46" s="1" t="n"/>
      <c r="I46" s="1" t="n"/>
      <c r="J46" s="1" t="n"/>
      <c r="K46" s="1" t="n"/>
      <c r="L46" s="1" t="n"/>
      <c r="M46" s="1" t="n"/>
    </row>
    <row r="47" ht="15" customHeight="1">
      <c r="A47" s="1" t="n"/>
      <c r="B47" s="1" t="n"/>
      <c r="C47" s="1" t="n"/>
      <c r="D47" s="1" t="n"/>
      <c r="E47" s="1" t="n"/>
      <c r="F47" s="1" t="n"/>
      <c r="G47" s="1" t="n"/>
      <c r="H47" s="1" t="n"/>
      <c r="I47" s="1" t="n"/>
      <c r="J47" s="1" t="n"/>
      <c r="K47" s="1" t="n"/>
      <c r="L47" s="1" t="n"/>
      <c r="M47" s="1" t="n"/>
    </row>
    <row r="48" ht="15" customHeight="1">
      <c r="A48" s="1" t="n"/>
      <c r="B48" s="1" t="n"/>
      <c r="C48" s="1" t="n"/>
      <c r="D48" s="1" t="n"/>
      <c r="E48" s="1" t="n"/>
      <c r="F48" s="1" t="n"/>
      <c r="G48" s="1" t="n"/>
      <c r="H48" s="1" t="n"/>
      <c r="I48" s="1" t="n"/>
      <c r="J48" s="1" t="n"/>
      <c r="K48" s="1" t="n"/>
      <c r="L48" s="1" t="n"/>
      <c r="M48" s="1" t="n"/>
    </row>
    <row r="49" ht="15" customHeight="1">
      <c r="A49" s="1" t="n"/>
      <c r="B49" s="1" t="n"/>
      <c r="C49" s="1" t="n"/>
      <c r="D49" s="1" t="n"/>
      <c r="E49" s="1" t="n"/>
      <c r="F49" s="1" t="n"/>
      <c r="G49" s="1" t="n"/>
      <c r="H49" s="1" t="n"/>
      <c r="I49" s="1" t="n"/>
      <c r="J49" s="1" t="n"/>
      <c r="K49" s="1" t="n"/>
      <c r="L49" s="1" t="n"/>
      <c r="M49" s="1" t="n"/>
    </row>
    <row r="50" ht="15" customHeight="1">
      <c r="A50" s="1" t="n"/>
      <c r="B50" s="1" t="n"/>
      <c r="C50" s="1" t="n"/>
      <c r="D50" s="1" t="n"/>
      <c r="E50" s="1" t="n"/>
      <c r="F50" s="1" t="n"/>
      <c r="G50" s="1" t="n"/>
      <c r="H50" s="1" t="n"/>
      <c r="I50" s="1" t="n"/>
      <c r="J50" s="1" t="n"/>
      <c r="K50" s="1" t="n"/>
      <c r="L50" s="1" t="n"/>
      <c r="M50" s="1" t="n"/>
    </row>
    <row r="51" ht="15" customHeight="1">
      <c r="A51" s="1" t="n"/>
      <c r="B51" s="1" t="n"/>
      <c r="C51" s="1" t="n"/>
      <c r="D51" s="1" t="n"/>
      <c r="E51" s="1" t="n"/>
      <c r="F51" s="1" t="n"/>
      <c r="G51" s="1" t="n"/>
      <c r="H51" s="1" t="n"/>
      <c r="I51" s="1" t="n"/>
      <c r="J51" s="1" t="n"/>
      <c r="K51" s="1" t="n"/>
      <c r="L51" s="1" t="n"/>
      <c r="M51" s="1" t="n"/>
    </row>
    <row r="52" ht="15" customHeight="1">
      <c r="A52" s="1" t="n"/>
      <c r="B52" s="1" t="n"/>
      <c r="C52" s="1" t="n"/>
      <c r="D52" s="1" t="n"/>
      <c r="E52" s="1" t="n"/>
      <c r="F52" s="1" t="n"/>
      <c r="G52" s="1" t="n"/>
      <c r="H52" s="1" t="n"/>
      <c r="I52" s="1" t="n"/>
      <c r="J52" s="1" t="n"/>
      <c r="K52" s="1" t="n"/>
      <c r="L52" s="1" t="n"/>
      <c r="M52" s="1" t="n"/>
    </row>
    <row r="53" ht="15" customHeight="1">
      <c r="A53" s="1" t="n"/>
      <c r="B53" s="1" t="n"/>
      <c r="C53" s="1" t="n"/>
      <c r="D53" s="1" t="n"/>
      <c r="E53" s="1" t="n"/>
      <c r="F53" s="1" t="n"/>
      <c r="G53" s="1" t="n"/>
      <c r="H53" s="1" t="n"/>
      <c r="I53" s="1" t="n"/>
      <c r="J53" s="1" t="n"/>
      <c r="K53" s="1" t="n"/>
      <c r="L53" s="1" t="n"/>
      <c r="M53" s="1" t="n"/>
    </row>
    <row r="54" ht="15" customHeight="1">
      <c r="A54" s="1" t="n"/>
      <c r="B54" s="1" t="n"/>
      <c r="C54" s="1" t="n"/>
      <c r="D54" s="1" t="n"/>
      <c r="E54" s="1" t="n"/>
      <c r="F54" s="1" t="n"/>
      <c r="G54" s="1" t="n"/>
      <c r="H54" s="1" t="n"/>
      <c r="I54" s="1" t="n"/>
      <c r="J54" s="1" t="n"/>
      <c r="K54" s="1" t="n"/>
      <c r="L54" s="1" t="n"/>
      <c r="M54" s="1" t="n"/>
    </row>
    <row r="55" ht="15" customHeight="1">
      <c r="A55" s="1" t="n"/>
      <c r="B55" s="1" t="n"/>
      <c r="C55" s="1" t="n"/>
      <c r="D55" s="1" t="n"/>
      <c r="E55" s="1" t="n"/>
      <c r="F55" s="1" t="n"/>
      <c r="G55" s="1" t="n"/>
      <c r="H55" s="1" t="n"/>
      <c r="I55" s="1" t="n"/>
      <c r="J55" s="1" t="n"/>
      <c r="K55" s="1" t="n"/>
      <c r="L55" s="1" t="n"/>
      <c r="M55" s="1" t="n"/>
    </row>
    <row r="56" ht="15" customHeight="1">
      <c r="A56" s="1" t="n"/>
      <c r="B56" s="1" t="n"/>
      <c r="C56" s="1" t="n"/>
      <c r="D56" s="1" t="n"/>
      <c r="E56" s="1" t="n"/>
      <c r="F56" s="1" t="n"/>
      <c r="G56" s="1" t="n"/>
      <c r="H56" s="1" t="n"/>
      <c r="I56" s="1" t="n"/>
      <c r="J56" s="1" t="n"/>
      <c r="K56" s="1" t="n"/>
      <c r="L56" s="1" t="n"/>
      <c r="M56" s="1" t="n"/>
    </row>
    <row r="57" ht="15" customHeight="1">
      <c r="A57" s="1" t="n"/>
      <c r="B57" s="1" t="n"/>
      <c r="C57" s="1" t="n"/>
      <c r="D57" s="1" t="n"/>
      <c r="E57" s="1" t="n"/>
      <c r="F57" s="1" t="n"/>
      <c r="G57" s="1" t="n"/>
      <c r="H57" s="1" t="n"/>
      <c r="I57" s="1" t="n"/>
      <c r="J57" s="1" t="n"/>
      <c r="K57" s="1" t="n"/>
      <c r="L57" s="1" t="n"/>
      <c r="M57" s="1" t="n"/>
    </row>
    <row r="58" ht="15" customHeight="1">
      <c r="A58" s="1" t="n"/>
      <c r="B58" s="1" t="n"/>
      <c r="C58" s="1" t="n"/>
      <c r="D58" s="1" t="n"/>
      <c r="E58" s="1" t="n"/>
      <c r="F58" s="1" t="n"/>
      <c r="G58" s="1" t="n"/>
      <c r="H58" s="1" t="n"/>
      <c r="I58" s="1" t="n"/>
      <c r="J58" s="1" t="n"/>
      <c r="K58" s="1" t="n"/>
      <c r="L58" s="1" t="n"/>
      <c r="M58" s="1" t="n"/>
    </row>
    <row r="59" ht="15" customHeight="1">
      <c r="A59" s="1" t="n"/>
      <c r="B59" s="1" t="n"/>
      <c r="C59" s="1" t="n"/>
      <c r="D59" s="1" t="n"/>
      <c r="E59" s="1" t="n"/>
      <c r="F59" s="1" t="n"/>
      <c r="G59" s="1" t="n"/>
      <c r="H59" s="1" t="n"/>
      <c r="I59" s="1" t="n"/>
      <c r="J59" s="1" t="n"/>
      <c r="K59" s="1" t="n"/>
      <c r="L59" s="1" t="n"/>
      <c r="M59" s="1" t="n"/>
    </row>
    <row r="60" ht="15" customHeight="1">
      <c r="A60" s="1" t="n"/>
      <c r="B60" s="1" t="n"/>
      <c r="C60" s="1" t="n"/>
      <c r="D60" s="1" t="n"/>
      <c r="E60" s="1" t="n"/>
      <c r="F60" s="1" t="n"/>
      <c r="G60" s="1" t="n"/>
      <c r="H60" s="1" t="n"/>
      <c r="I60" s="1" t="n"/>
      <c r="J60" s="1" t="n"/>
      <c r="K60" s="1" t="n"/>
      <c r="L60" s="1" t="n"/>
      <c r="M60" s="1" t="n"/>
    </row>
    <row r="61" ht="15" customHeight="1">
      <c r="A61" s="1" t="n"/>
      <c r="B61" s="1" t="n"/>
      <c r="C61" s="1" t="n"/>
      <c r="D61" s="1" t="n"/>
      <c r="E61" s="1" t="n"/>
      <c r="F61" s="1" t="n"/>
      <c r="G61" s="1" t="n"/>
      <c r="H61" s="1" t="n"/>
      <c r="I61" s="1" t="n"/>
      <c r="J61" s="1" t="n"/>
      <c r="K61" s="1" t="n"/>
      <c r="L61" s="1" t="n"/>
      <c r="M61" s="1" t="n"/>
    </row>
    <row r="62" ht="15" customHeight="1">
      <c r="A62" s="1" t="n"/>
      <c r="B62" s="1" t="n"/>
      <c r="C62" s="1" t="n"/>
      <c r="D62" s="1" t="n"/>
      <c r="E62" s="1" t="n"/>
      <c r="F62" s="1" t="n"/>
      <c r="G62" s="1" t="n"/>
      <c r="H62" s="1" t="n"/>
      <c r="I62" s="1" t="n"/>
      <c r="J62" s="1" t="n"/>
      <c r="K62" s="1" t="n"/>
      <c r="L62" s="1" t="n"/>
      <c r="M62" s="1" t="n"/>
    </row>
    <row r="63" ht="15" customHeight="1">
      <c r="A63" s="1" t="n"/>
      <c r="B63" s="1" t="n"/>
      <c r="C63" s="1" t="n"/>
      <c r="D63" s="1" t="n"/>
      <c r="E63" s="1" t="n"/>
      <c r="F63" s="1" t="n"/>
      <c r="G63" s="1" t="n"/>
      <c r="H63" s="1" t="n"/>
      <c r="I63" s="1" t="n"/>
      <c r="J63" s="1" t="n"/>
      <c r="K63" s="1" t="n"/>
      <c r="L63" s="1" t="n"/>
      <c r="M63" s="1" t="n"/>
    </row>
    <row r="64" ht="15" customHeight="1">
      <c r="A64" s="1" t="n"/>
      <c r="B64" s="1" t="n"/>
      <c r="C64" s="1" t="n"/>
      <c r="D64" s="1" t="n"/>
      <c r="E64" s="1" t="n"/>
      <c r="F64" s="1" t="n"/>
      <c r="G64" s="1" t="n"/>
      <c r="H64" s="1" t="n"/>
      <c r="I64" s="1" t="n"/>
      <c r="J64" s="1" t="n"/>
      <c r="K64" s="1" t="n"/>
      <c r="L64" s="1" t="n"/>
      <c r="M64" s="1" t="n"/>
    </row>
    <row r="65" ht="15" customHeight="1">
      <c r="A65" s="1" t="n"/>
      <c r="B65" s="1" t="n"/>
      <c r="C65" s="1" t="n"/>
      <c r="D65" s="1" t="n"/>
      <c r="E65" s="1" t="n"/>
      <c r="F65" s="1" t="n"/>
      <c r="G65" s="1" t="n"/>
      <c r="H65" s="1" t="n"/>
      <c r="I65" s="1" t="n"/>
      <c r="J65" s="1" t="n"/>
      <c r="K65" s="1" t="n"/>
      <c r="L65" s="1" t="n"/>
      <c r="M65" s="1" t="n"/>
    </row>
    <row r="66" ht="15" customHeight="1">
      <c r="A66" s="1" t="n"/>
      <c r="B66" s="1" t="n"/>
      <c r="C66" s="1" t="n"/>
      <c r="D66" s="1" t="n"/>
      <c r="E66" s="1" t="n"/>
      <c r="F66" s="1" t="n"/>
      <c r="G66" s="1" t="n"/>
      <c r="H66" s="1" t="n"/>
      <c r="I66" s="1" t="n"/>
      <c r="J66" s="1" t="n"/>
      <c r="K66" s="1" t="n"/>
      <c r="L66" s="1" t="n"/>
      <c r="M66" s="1" t="n"/>
    </row>
    <row r="67" ht="15" customHeight="1">
      <c r="A67" s="1" t="n"/>
      <c r="B67" s="1" t="n"/>
      <c r="C67" s="1" t="n"/>
      <c r="D67" s="1" t="n"/>
      <c r="E67" s="1" t="n"/>
      <c r="F67" s="1" t="n"/>
      <c r="G67" s="1" t="n"/>
      <c r="H67" s="1" t="n"/>
      <c r="I67" s="1" t="n"/>
      <c r="J67" s="1" t="n"/>
      <c r="K67" s="1" t="n"/>
      <c r="L67" s="1" t="n"/>
      <c r="M67" s="1" t="n"/>
    </row>
    <row r="68" ht="15" customHeight="1">
      <c r="A68" s="1" t="n"/>
      <c r="B68" s="1" t="n"/>
      <c r="C68" s="1" t="n"/>
      <c r="D68" s="1" t="n"/>
      <c r="E68" s="1" t="n"/>
      <c r="F68" s="1" t="n"/>
      <c r="G68" s="1" t="n"/>
      <c r="H68" s="1" t="n"/>
      <c r="I68" s="1" t="n"/>
      <c r="J68" s="1" t="n"/>
      <c r="K68" s="1" t="n"/>
      <c r="L68" s="1" t="n"/>
      <c r="M68" s="1" t="n"/>
    </row>
    <row r="69" ht="15" customHeight="1">
      <c r="A69" s="1" t="n"/>
      <c r="B69" s="1" t="n"/>
      <c r="C69" s="1" t="n"/>
      <c r="D69" s="1" t="n"/>
      <c r="E69" s="1" t="n"/>
      <c r="F69" s="1" t="n"/>
      <c r="G69" s="1" t="n"/>
      <c r="H69" s="1" t="n"/>
      <c r="I69" s="1" t="n"/>
      <c r="J69" s="1" t="n"/>
      <c r="K69" s="1" t="n"/>
      <c r="L69" s="1" t="n"/>
      <c r="M69" s="1" t="n"/>
    </row>
    <row r="70" ht="15" customHeight="1">
      <c r="A70" s="1" t="n"/>
      <c r="B70" s="1" t="n"/>
      <c r="C70" s="1" t="n"/>
      <c r="D70" s="1" t="n"/>
      <c r="E70" s="1" t="n"/>
      <c r="F70" s="1" t="n"/>
      <c r="G70" s="1" t="n"/>
      <c r="H70" s="1" t="n"/>
      <c r="I70" s="1" t="n"/>
      <c r="J70" s="1" t="n"/>
      <c r="K70" s="1" t="n"/>
      <c r="L70" s="1" t="n"/>
      <c r="M70" s="1" t="n"/>
    </row>
    <row r="71" ht="15" customHeight="1">
      <c r="A71" s="1" t="n"/>
      <c r="B71" s="1" t="n"/>
      <c r="C71" s="1" t="n"/>
      <c r="D71" s="1" t="n"/>
      <c r="E71" s="1" t="n"/>
      <c r="F71" s="1" t="n"/>
      <c r="G71" s="1" t="n"/>
      <c r="H71" s="1" t="n"/>
      <c r="I71" s="1" t="n"/>
      <c r="J71" s="1" t="n"/>
      <c r="K71" s="1" t="n"/>
      <c r="L71" s="1" t="n"/>
      <c r="M71" s="1" t="n"/>
    </row>
    <row r="72" ht="15" customHeight="1">
      <c r="A72" s="1" t="n"/>
      <c r="B72" s="1" t="n"/>
      <c r="C72" s="1" t="n"/>
      <c r="D72" s="1" t="n"/>
      <c r="E72" s="1" t="n"/>
      <c r="F72" s="1" t="n"/>
      <c r="G72" s="1" t="n"/>
      <c r="H72" s="1" t="n"/>
      <c r="I72" s="1" t="n"/>
      <c r="J72" s="1" t="n"/>
      <c r="K72" s="1" t="n"/>
      <c r="L72" s="1" t="n"/>
      <c r="M72" s="1" t="n"/>
    </row>
    <row r="73" ht="15" customHeight="1">
      <c r="A73" s="1" t="n"/>
      <c r="B73" s="1" t="n"/>
      <c r="C73" s="1" t="n"/>
      <c r="D73" s="1" t="n"/>
      <c r="E73" s="1" t="n"/>
      <c r="F73" s="1" t="n"/>
      <c r="G73" s="1" t="n"/>
      <c r="H73" s="1" t="n"/>
      <c r="I73" s="1" t="n"/>
      <c r="J73" s="1" t="n"/>
      <c r="K73" s="1" t="n"/>
      <c r="L73" s="1" t="n"/>
      <c r="M73" s="1" t="n"/>
    </row>
    <row r="74" ht="15" customHeight="1">
      <c r="A74" s="1" t="n"/>
      <c r="B74" s="1" t="n"/>
      <c r="C74" s="1" t="n"/>
      <c r="D74" s="1" t="n"/>
      <c r="E74" s="1" t="n"/>
      <c r="F74" s="1" t="n"/>
      <c r="G74" s="1" t="n"/>
      <c r="H74" s="1" t="n"/>
      <c r="I74" s="1" t="n"/>
      <c r="J74" s="1" t="n"/>
      <c r="K74" s="1" t="n"/>
      <c r="L74" s="1" t="n"/>
      <c r="M74" s="1" t="n"/>
    </row>
    <row r="75" ht="15" customHeight="1">
      <c r="A75" s="1" t="n"/>
      <c r="B75" s="1" t="n"/>
      <c r="C75" s="1" t="n"/>
      <c r="D75" s="1" t="n"/>
      <c r="E75" s="1" t="n"/>
      <c r="F75" s="1" t="n"/>
      <c r="G75" s="1" t="n"/>
      <c r="H75" s="1" t="n"/>
      <c r="I75" s="1" t="n"/>
      <c r="J75" s="1" t="n"/>
      <c r="K75" s="1" t="n"/>
      <c r="L75" s="1" t="n"/>
      <c r="M75" s="1" t="n"/>
    </row>
    <row r="76" ht="15" customHeight="1">
      <c r="A76" s="1" t="n"/>
      <c r="B76" s="1" t="n"/>
      <c r="C76" s="1" t="n"/>
      <c r="D76" s="1" t="n"/>
      <c r="E76" s="1" t="n"/>
      <c r="F76" s="1" t="n"/>
      <c r="G76" s="1" t="n"/>
      <c r="H76" s="1" t="n"/>
      <c r="I76" s="1" t="n"/>
      <c r="J76" s="1" t="n"/>
      <c r="K76" s="1" t="n"/>
      <c r="L76" s="1" t="n"/>
      <c r="M76" s="1" t="n"/>
    </row>
    <row r="77" ht="15" customHeight="1">
      <c r="A77" s="1" t="n"/>
      <c r="B77" s="1" t="n"/>
      <c r="C77" s="1" t="n"/>
      <c r="D77" s="1" t="n"/>
      <c r="E77" s="1" t="n"/>
      <c r="F77" s="1" t="n"/>
      <c r="G77" s="1" t="n"/>
      <c r="H77" s="1" t="n"/>
      <c r="I77" s="1" t="n"/>
      <c r="J77" s="1" t="n"/>
      <c r="K77" s="1" t="n"/>
      <c r="L77" s="1" t="n"/>
      <c r="M77" s="1" t="n"/>
    </row>
    <row r="78" ht="15" customHeight="1">
      <c r="A78" s="1" t="n"/>
      <c r="B78" s="1" t="n"/>
      <c r="C78" s="1" t="n"/>
      <c r="D78" s="1" t="n"/>
      <c r="E78" s="1" t="n"/>
      <c r="F78" s="1" t="n"/>
      <c r="G78" s="1" t="n"/>
      <c r="H78" s="1" t="n"/>
      <c r="I78" s="1" t="n"/>
      <c r="J78" s="1" t="n"/>
      <c r="K78" s="1" t="n"/>
      <c r="L78" s="1" t="n"/>
      <c r="M78" s="1" t="n"/>
    </row>
    <row r="79" ht="15" customHeight="1">
      <c r="A79" s="1" t="n"/>
      <c r="B79" s="1" t="n"/>
      <c r="C79" s="1" t="n"/>
      <c r="D79" s="1" t="n"/>
      <c r="E79" s="1" t="n"/>
      <c r="F79" s="1" t="n"/>
      <c r="G79" s="1" t="n"/>
      <c r="H79" s="1" t="n"/>
      <c r="I79" s="1" t="n"/>
      <c r="J79" s="1" t="n"/>
      <c r="K79" s="1" t="n"/>
      <c r="L79" s="1" t="n"/>
      <c r="M79" s="1" t="n"/>
    </row>
    <row r="80" ht="15" customHeight="1">
      <c r="A80" s="1" t="n"/>
      <c r="B80" s="1" t="n"/>
      <c r="C80" s="1" t="n"/>
      <c r="D80" s="1" t="n"/>
      <c r="E80" s="1" t="n"/>
      <c r="F80" s="1" t="n"/>
      <c r="G80" s="1" t="n"/>
      <c r="H80" s="1" t="n"/>
      <c r="I80" s="1" t="n"/>
      <c r="J80" s="1" t="n"/>
      <c r="K80" s="1" t="n"/>
      <c r="L80" s="1" t="n"/>
      <c r="M80" s="1" t="n"/>
    </row>
    <row r="81" ht="15" customHeight="1">
      <c r="A81" s="1" t="n"/>
      <c r="B81" s="1" t="n"/>
      <c r="C81" s="1" t="n"/>
      <c r="D81" s="1" t="n"/>
      <c r="E81" s="1" t="n"/>
      <c r="F81" s="1" t="n"/>
      <c r="G81" s="1" t="n"/>
      <c r="H81" s="1" t="n"/>
      <c r="I81" s="1" t="n"/>
      <c r="J81" s="1" t="n"/>
      <c r="K81" s="1" t="n"/>
      <c r="L81" s="1" t="n"/>
      <c r="M81" s="1" t="n"/>
    </row>
    <row r="82" ht="15" customHeight="1">
      <c r="A82" s="1" t="n"/>
      <c r="B82" s="1" t="n"/>
      <c r="C82" s="1" t="n"/>
      <c r="D82" s="1" t="n"/>
      <c r="E82" s="1" t="n"/>
      <c r="F82" s="1" t="n"/>
      <c r="G82" s="1" t="n"/>
      <c r="H82" s="1" t="n"/>
      <c r="I82" s="1" t="n"/>
      <c r="J82" s="1" t="n"/>
      <c r="K82" s="1" t="n"/>
      <c r="L82" s="1" t="n"/>
      <c r="M82" s="1" t="n"/>
    </row>
    <row r="83" ht="15" customHeight="1">
      <c r="A83" s="1" t="n"/>
      <c r="B83" s="1" t="n"/>
      <c r="C83" s="1" t="n"/>
      <c r="D83" s="1" t="n"/>
      <c r="E83" s="1" t="n"/>
      <c r="F83" s="1" t="n"/>
      <c r="G83" s="1" t="n"/>
      <c r="H83" s="1" t="n"/>
      <c r="I83" s="1" t="n"/>
      <c r="J83" s="1" t="n"/>
      <c r="K83" s="1" t="n"/>
      <c r="L83" s="1" t="n"/>
      <c r="M83" s="1" t="n"/>
    </row>
    <row r="84" ht="15" customHeight="1">
      <c r="A84" s="1" t="n"/>
      <c r="B84" s="1" t="n"/>
      <c r="C84" s="1" t="n"/>
      <c r="D84" s="1" t="n"/>
      <c r="E84" s="1" t="n"/>
      <c r="F84" s="1" t="n"/>
      <c r="G84" s="1" t="n"/>
      <c r="H84" s="1" t="n"/>
      <c r="I84" s="1" t="n"/>
      <c r="J84" s="1" t="n"/>
      <c r="K84" s="1" t="n"/>
      <c r="L84" s="1" t="n"/>
      <c r="M84" s="1" t="n"/>
    </row>
    <row r="85" ht="15" customHeight="1">
      <c r="A85" s="1" t="n"/>
      <c r="B85" s="1" t="n"/>
      <c r="C85" s="1" t="n"/>
      <c r="D85" s="1" t="n"/>
      <c r="E85" s="1" t="n"/>
      <c r="F85" s="1" t="n"/>
      <c r="G85" s="1" t="n"/>
      <c r="H85" s="1" t="n"/>
      <c r="I85" s="1" t="n"/>
      <c r="J85" s="1" t="n"/>
      <c r="K85" s="1" t="n"/>
      <c r="L85" s="1" t="n"/>
      <c r="M85" s="1" t="n"/>
    </row>
    <row r="86" ht="15" customHeight="1">
      <c r="A86" s="1" t="n"/>
      <c r="B86" s="1" t="n"/>
      <c r="C86" s="1" t="n"/>
      <c r="D86" s="1" t="n"/>
      <c r="E86" s="1" t="n"/>
      <c r="F86" s="1" t="n"/>
      <c r="G86" s="1" t="n"/>
      <c r="H86" s="1" t="n"/>
      <c r="I86" s="1" t="n"/>
      <c r="J86" s="1" t="n"/>
      <c r="K86" s="1" t="n"/>
      <c r="L86" s="1" t="n"/>
      <c r="M86" s="1" t="n"/>
    </row>
    <row r="87" ht="15" customHeight="1">
      <c r="A87" s="1" t="n"/>
      <c r="B87" s="1" t="n"/>
      <c r="C87" s="1" t="n"/>
      <c r="D87" s="1" t="n"/>
      <c r="E87" s="1" t="n"/>
      <c r="F87" s="1" t="n"/>
      <c r="G87" s="1" t="n"/>
      <c r="H87" s="1" t="n"/>
      <c r="I87" s="1" t="n"/>
      <c r="J87" s="1" t="n"/>
      <c r="K87" s="1" t="n"/>
      <c r="L87" s="1" t="n"/>
      <c r="M87" s="1" t="n"/>
    </row>
    <row r="88" ht="15" customHeight="1">
      <c r="A88" s="1" t="n"/>
      <c r="B88" s="1" t="n"/>
      <c r="C88" s="1" t="n"/>
      <c r="D88" s="1" t="n"/>
      <c r="E88" s="1" t="n"/>
      <c r="F88" s="1" t="n"/>
      <c r="G88" s="1" t="n"/>
      <c r="H88" s="1" t="n"/>
      <c r="I88" s="1" t="n"/>
      <c r="J88" s="1" t="n"/>
      <c r="K88" s="1" t="n"/>
      <c r="L88" s="1" t="n"/>
      <c r="M88" s="1" t="n"/>
    </row>
    <row r="89" ht="15" customHeight="1">
      <c r="A89" s="1" t="n"/>
      <c r="B89" s="1" t="n"/>
      <c r="C89" s="1" t="n"/>
      <c r="D89" s="1" t="n"/>
      <c r="E89" s="1" t="n"/>
      <c r="F89" s="1" t="n"/>
      <c r="G89" s="1" t="n"/>
      <c r="H89" s="1" t="n"/>
      <c r="I89" s="1" t="n"/>
      <c r="J89" s="1" t="n"/>
      <c r="K89" s="1" t="n"/>
      <c r="L89" s="1" t="n"/>
      <c r="M89" s="1" t="n"/>
    </row>
    <row r="90" ht="15" customHeight="1">
      <c r="A90" s="1" t="n"/>
      <c r="B90" s="1" t="n"/>
      <c r="C90" s="1" t="n"/>
      <c r="D90" s="1" t="n"/>
      <c r="E90" s="1" t="n"/>
      <c r="F90" s="1" t="n"/>
      <c r="G90" s="1" t="n"/>
      <c r="H90" s="1" t="n"/>
      <c r="I90" s="1" t="n"/>
      <c r="J90" s="1" t="n"/>
      <c r="K90" s="1" t="n"/>
      <c r="L90" s="1" t="n"/>
      <c r="M90" s="1" t="n"/>
    </row>
    <row r="91" ht="15" customHeight="1">
      <c r="A91" s="1" t="n"/>
      <c r="B91" s="1" t="n"/>
      <c r="C91" s="1" t="n"/>
      <c r="D91" s="1" t="n"/>
      <c r="E91" s="1" t="n"/>
      <c r="F91" s="1" t="n"/>
      <c r="G91" s="1" t="n"/>
      <c r="H91" s="1" t="n"/>
      <c r="I91" s="1" t="n"/>
      <c r="J91" s="1" t="n"/>
      <c r="K91" s="1" t="n"/>
      <c r="L91" s="1" t="n"/>
      <c r="M91" s="1" t="n"/>
    </row>
    <row r="92" ht="15" customHeight="1">
      <c r="A92" s="1" t="n"/>
      <c r="B92" s="1" t="n"/>
      <c r="C92" s="1" t="n"/>
      <c r="D92" s="1" t="n"/>
      <c r="E92" s="1" t="n"/>
      <c r="F92" s="1" t="n"/>
      <c r="G92" s="1" t="n"/>
      <c r="H92" s="1" t="n"/>
      <c r="I92" s="1" t="n"/>
      <c r="J92" s="1" t="n"/>
      <c r="K92" s="1" t="n"/>
      <c r="L92" s="1" t="n"/>
      <c r="M92" s="1" t="n"/>
    </row>
    <row r="93" ht="15" customHeight="1">
      <c r="A93" s="1" t="n"/>
      <c r="B93" s="1" t="n"/>
      <c r="C93" s="1" t="n"/>
      <c r="D93" s="1" t="n"/>
      <c r="E93" s="1" t="n"/>
      <c r="F93" s="1" t="n"/>
      <c r="G93" s="1" t="n"/>
      <c r="H93" s="1" t="n"/>
      <c r="I93" s="1" t="n"/>
      <c r="J93" s="1" t="n"/>
      <c r="K93" s="1" t="n"/>
      <c r="L93" s="1" t="n"/>
      <c r="M93" s="1" t="n"/>
    </row>
    <row r="94" ht="15" customHeight="1">
      <c r="A94" s="1" t="n"/>
      <c r="B94" s="1" t="n"/>
      <c r="C94" s="1" t="n"/>
      <c r="D94" s="1" t="n"/>
      <c r="E94" s="1" t="n"/>
      <c r="F94" s="1" t="n"/>
      <c r="G94" s="1" t="n"/>
      <c r="H94" s="1" t="n"/>
      <c r="I94" s="1" t="n"/>
      <c r="J94" s="1" t="n"/>
      <c r="K94" s="1" t="n"/>
      <c r="L94" s="1" t="n"/>
      <c r="M94" s="1" t="n"/>
    </row>
    <row r="95" ht="15" customHeight="1">
      <c r="A95" s="1" t="n"/>
      <c r="B95" s="1" t="n"/>
      <c r="C95" s="1" t="n"/>
      <c r="D95" s="1" t="n"/>
      <c r="E95" s="1" t="n"/>
      <c r="F95" s="1" t="n"/>
      <c r="G95" s="1" t="n"/>
      <c r="H95" s="1" t="n"/>
      <c r="I95" s="1" t="n"/>
      <c r="J95" s="1" t="n"/>
      <c r="K95" s="1" t="n"/>
      <c r="L95" s="1" t="n"/>
      <c r="M95" s="1" t="n"/>
    </row>
    <row r="96" ht="15" customHeight="1">
      <c r="A96" s="1" t="n"/>
      <c r="B96" s="1" t="n"/>
      <c r="C96" s="1" t="n"/>
      <c r="D96" s="1" t="n"/>
      <c r="E96" s="1" t="n"/>
      <c r="F96" s="1" t="n"/>
      <c r="G96" s="1" t="n"/>
      <c r="H96" s="1" t="n"/>
      <c r="I96" s="1" t="n"/>
      <c r="J96" s="1" t="n"/>
      <c r="K96" s="1" t="n"/>
      <c r="L96" s="1" t="n"/>
      <c r="M96" s="1" t="n"/>
    </row>
    <row r="97" ht="15" customHeight="1">
      <c r="A97" s="1" t="n"/>
      <c r="B97" s="1" t="n"/>
      <c r="C97" s="1" t="n"/>
      <c r="D97" s="1" t="n"/>
      <c r="E97" s="1" t="n"/>
      <c r="F97" s="1" t="n"/>
      <c r="G97" s="1" t="n"/>
      <c r="H97" s="1" t="n"/>
      <c r="I97" s="1" t="n"/>
      <c r="J97" s="1" t="n"/>
      <c r="K97" s="1" t="n"/>
      <c r="L97" s="1" t="n"/>
      <c r="M97" s="1" t="n"/>
    </row>
    <row r="98" ht="15" customHeight="1">
      <c r="A98" s="1" t="n"/>
      <c r="B98" s="1" t="n"/>
      <c r="C98" s="1" t="n"/>
      <c r="D98" s="1" t="n"/>
      <c r="E98" s="1" t="n"/>
      <c r="F98" s="1" t="n"/>
      <c r="G98" s="1" t="n"/>
      <c r="H98" s="1" t="n"/>
      <c r="I98" s="1" t="n"/>
      <c r="J98" s="1" t="n"/>
      <c r="K98" s="1" t="n"/>
      <c r="L98" s="1" t="n"/>
      <c r="M98" s="1" t="n"/>
    </row>
    <row r="99" ht="15" customHeight="1">
      <c r="A99" s="1" t="n"/>
      <c r="B99" s="1" t="n"/>
      <c r="C99" s="1" t="n"/>
      <c r="D99" s="1" t="n"/>
      <c r="E99" s="1" t="n"/>
      <c r="F99" s="1" t="n"/>
      <c r="G99" s="1" t="n"/>
      <c r="H99" s="1" t="n"/>
      <c r="I99" s="1" t="n"/>
      <c r="J99" s="1" t="n"/>
      <c r="K99" s="1" t="n"/>
      <c r="L99" s="1" t="n"/>
      <c r="M99" s="1" t="n"/>
    </row>
    <row r="100" ht="15" customHeight="1">
      <c r="A100" s="1" t="n"/>
      <c r="B100" s="1" t="n"/>
      <c r="C100" s="1" t="n"/>
      <c r="D100" s="1" t="n"/>
      <c r="E100" s="1" t="n"/>
      <c r="F100" s="1" t="n"/>
      <c r="G100" s="1" t="n"/>
      <c r="H100" s="1" t="n"/>
      <c r="I100" s="1" t="n"/>
      <c r="J100" s="1" t="n"/>
      <c r="K100" s="1" t="n"/>
      <c r="L100" s="1" t="n"/>
      <c r="M100" s="1" t="n"/>
    </row>
    <row r="101" ht="15" customHeight="1">
      <c r="A101" s="1" t="n"/>
      <c r="B101" s="1" t="n"/>
      <c r="C101" s="1" t="n"/>
      <c r="D101" s="1" t="n"/>
      <c r="E101" s="1" t="n"/>
      <c r="F101" s="1" t="n"/>
      <c r="G101" s="1" t="n"/>
      <c r="H101" s="1" t="n"/>
      <c r="I101" s="1" t="n"/>
      <c r="J101" s="1" t="n"/>
      <c r="K101" s="1" t="n"/>
      <c r="L101" s="1" t="n"/>
      <c r="M101" s="1" t="n"/>
    </row>
    <row r="102" ht="15" customHeight="1">
      <c r="A102" s="1" t="n"/>
      <c r="B102" s="1" t="n"/>
      <c r="C102" s="1" t="n"/>
      <c r="D102" s="1" t="n"/>
      <c r="E102" s="1" t="n"/>
      <c r="F102" s="1" t="n"/>
      <c r="G102" s="1" t="n"/>
      <c r="H102" s="1" t="n"/>
      <c r="I102" s="1" t="n"/>
      <c r="J102" s="1" t="n"/>
      <c r="K102" s="1" t="n"/>
      <c r="L102" s="1" t="n"/>
      <c r="M102" s="1" t="n"/>
    </row>
    <row r="103" ht="15" customHeight="1">
      <c r="A103" s="1" t="n"/>
      <c r="B103" s="1" t="n"/>
      <c r="C103" s="1" t="n"/>
      <c r="D103" s="1" t="n"/>
      <c r="E103" s="1" t="n"/>
      <c r="F103" s="1" t="n"/>
      <c r="G103" s="1" t="n"/>
      <c r="H103" s="1" t="n"/>
      <c r="I103" s="1" t="n"/>
      <c r="J103" s="1" t="n"/>
      <c r="K103" s="1" t="n"/>
      <c r="L103" s="1" t="n"/>
      <c r="M103" s="1" t="n"/>
    </row>
    <row r="104" ht="15" customHeight="1">
      <c r="A104" s="1" t="n"/>
      <c r="B104" s="1" t="n"/>
      <c r="C104" s="1" t="n"/>
      <c r="D104" s="1" t="n"/>
      <c r="E104" s="1" t="n"/>
      <c r="F104" s="1" t="n"/>
      <c r="G104" s="1" t="n"/>
      <c r="H104" s="1" t="n"/>
      <c r="I104" s="1" t="n"/>
      <c r="J104" s="1" t="n"/>
      <c r="K104" s="1" t="n"/>
      <c r="L104" s="1" t="n"/>
      <c r="M104" s="1" t="n"/>
    </row>
    <row r="105" ht="15" customHeight="1">
      <c r="A105" s="1" t="n"/>
      <c r="B105" s="1" t="n"/>
      <c r="C105" s="1" t="n"/>
      <c r="D105" s="1" t="n"/>
      <c r="E105" s="1" t="n"/>
      <c r="F105" s="1" t="n"/>
      <c r="G105" s="1" t="n"/>
      <c r="H105" s="1" t="n"/>
      <c r="I105" s="1" t="n"/>
      <c r="J105" s="1" t="n"/>
      <c r="K105" s="1" t="n"/>
      <c r="L105" s="1" t="n"/>
      <c r="M105" s="1" t="n"/>
    </row>
    <row r="106" ht="15" customHeight="1">
      <c r="A106" s="1" t="n"/>
      <c r="B106" s="1" t="n"/>
      <c r="C106" s="1" t="n"/>
      <c r="D106" s="1" t="n"/>
      <c r="E106" s="1" t="n"/>
      <c r="F106" s="1" t="n"/>
      <c r="G106" s="1" t="n"/>
      <c r="H106" s="1" t="n"/>
      <c r="I106" s="1" t="n"/>
      <c r="J106" s="1" t="n"/>
      <c r="K106" s="1" t="n"/>
      <c r="L106" s="1" t="n"/>
      <c r="M106" s="1" t="n"/>
    </row>
    <row r="107" ht="15" customHeight="1">
      <c r="A107" s="1" t="n"/>
      <c r="B107" s="1" t="n"/>
      <c r="C107" s="1" t="n"/>
      <c r="D107" s="1" t="n"/>
      <c r="E107" s="1" t="n"/>
      <c r="F107" s="1" t="n"/>
      <c r="G107" s="1" t="n"/>
      <c r="H107" s="1" t="n"/>
      <c r="I107" s="1" t="n"/>
      <c r="J107" s="1" t="n"/>
      <c r="K107" s="1" t="n"/>
      <c r="L107" s="1" t="n"/>
      <c r="M107" s="1" t="n"/>
    </row>
    <row r="108" ht="15" customHeight="1">
      <c r="A108" s="1" t="n"/>
      <c r="B108" s="1" t="n"/>
      <c r="C108" s="1" t="n"/>
      <c r="D108" s="1" t="n"/>
      <c r="E108" s="1" t="n"/>
      <c r="F108" s="1" t="n"/>
      <c r="G108" s="1" t="n"/>
      <c r="H108" s="1" t="n"/>
      <c r="I108" s="1" t="n"/>
      <c r="J108" s="1" t="n"/>
      <c r="K108" s="1" t="n"/>
      <c r="L108" s="1" t="n"/>
      <c r="M108" s="1" t="n"/>
    </row>
    <row r="109" ht="15" customHeight="1">
      <c r="A109" s="1" t="n"/>
      <c r="B109" s="1" t="n"/>
      <c r="C109" s="1" t="n"/>
      <c r="D109" s="1" t="n"/>
      <c r="E109" s="1" t="n"/>
      <c r="F109" s="1" t="n"/>
      <c r="G109" s="1" t="n"/>
      <c r="H109" s="1" t="n"/>
      <c r="I109" s="1" t="n"/>
      <c r="J109" s="1" t="n"/>
      <c r="K109" s="1" t="n"/>
      <c r="L109" s="1" t="n"/>
      <c r="M109" s="1" t="n"/>
    </row>
    <row r="110" ht="15" customHeight="1">
      <c r="A110" s="1" t="n"/>
      <c r="B110" s="1" t="n"/>
      <c r="C110" s="1" t="n"/>
      <c r="D110" s="1" t="n"/>
      <c r="E110" s="1" t="n"/>
      <c r="F110" s="1" t="n"/>
      <c r="G110" s="1" t="n"/>
      <c r="H110" s="1" t="n"/>
      <c r="I110" s="1" t="n"/>
      <c r="J110" s="1" t="n"/>
      <c r="K110" s="1" t="n"/>
      <c r="L110" s="1" t="n"/>
      <c r="M110" s="1" t="n"/>
    </row>
    <row r="111" ht="15" customHeight="1">
      <c r="A111" s="1" t="n"/>
      <c r="B111" s="1" t="n"/>
      <c r="C111" s="1" t="n"/>
      <c r="D111" s="1" t="n"/>
      <c r="E111" s="1" t="n"/>
      <c r="F111" s="1" t="n"/>
      <c r="G111" s="1" t="n"/>
      <c r="H111" s="1" t="n"/>
      <c r="I111" s="1" t="n"/>
      <c r="J111" s="1" t="n"/>
      <c r="K111" s="1" t="n"/>
      <c r="L111" s="1" t="n"/>
      <c r="M111" s="1" t="n"/>
    </row>
    <row r="112" ht="15" customHeight="1">
      <c r="A112" s="1" t="n"/>
      <c r="B112" s="1" t="n"/>
      <c r="C112" s="1" t="n"/>
      <c r="D112" s="1" t="n"/>
      <c r="E112" s="1" t="n"/>
      <c r="F112" s="1" t="n"/>
      <c r="G112" s="1" t="n"/>
      <c r="H112" s="1" t="n"/>
      <c r="I112" s="1" t="n"/>
      <c r="J112" s="1" t="n"/>
      <c r="K112" s="1" t="n"/>
      <c r="L112" s="1" t="n"/>
      <c r="M112" s="1" t="n"/>
    </row>
    <row r="113" ht="15" customHeight="1">
      <c r="A113" s="1" t="n"/>
      <c r="B113" s="1" t="n"/>
      <c r="C113" s="1" t="n"/>
      <c r="D113" s="1" t="n"/>
      <c r="E113" s="1" t="n"/>
      <c r="F113" s="1" t="n"/>
      <c r="G113" s="1" t="n"/>
      <c r="H113" s="1" t="n"/>
      <c r="I113" s="1" t="n"/>
      <c r="J113" s="1" t="n"/>
      <c r="K113" s="1" t="n"/>
      <c r="L113" s="1" t="n"/>
      <c r="M113" s="1" t="n"/>
    </row>
    <row r="114" ht="15" customHeight="1">
      <c r="A114" s="1" t="n"/>
      <c r="B114" s="1" t="n"/>
      <c r="C114" s="1" t="n"/>
      <c r="D114" s="1" t="n"/>
      <c r="E114" s="1" t="n"/>
      <c r="F114" s="1" t="n"/>
      <c r="G114" s="1" t="n"/>
      <c r="H114" s="1" t="n"/>
      <c r="I114" s="1" t="n"/>
      <c r="J114" s="1" t="n"/>
      <c r="K114" s="1" t="n"/>
      <c r="L114" s="1" t="n"/>
      <c r="M114" s="1" t="n"/>
    </row>
    <row r="115" ht="15" customHeight="1">
      <c r="A115" s="1" t="n"/>
      <c r="B115" s="1" t="n"/>
      <c r="C115" s="1" t="n"/>
      <c r="D115" s="1" t="n"/>
      <c r="E115" s="1" t="n"/>
      <c r="F115" s="1" t="n"/>
      <c r="G115" s="1" t="n"/>
      <c r="H115" s="1" t="n"/>
      <c r="I115" s="1" t="n"/>
      <c r="J115" s="1" t="n"/>
      <c r="K115" s="1" t="n"/>
      <c r="L115" s="1" t="n"/>
      <c r="M115" s="1" t="n"/>
    </row>
    <row r="116" ht="15" customHeight="1">
      <c r="A116" s="1" t="n"/>
      <c r="B116" s="1" t="n"/>
      <c r="C116" s="1" t="n"/>
      <c r="D116" s="1" t="n"/>
      <c r="E116" s="1" t="n"/>
      <c r="F116" s="1" t="n"/>
      <c r="G116" s="1" t="n"/>
      <c r="H116" s="1" t="n"/>
      <c r="I116" s="1" t="n"/>
      <c r="J116" s="1" t="n"/>
      <c r="K116" s="1" t="n"/>
      <c r="L116" s="1" t="n"/>
      <c r="M116" s="1" t="n"/>
    </row>
    <row r="117" ht="15" customHeight="1">
      <c r="A117" s="1" t="n"/>
      <c r="B117" s="1" t="n"/>
      <c r="C117" s="1" t="n"/>
      <c r="D117" s="1" t="n"/>
      <c r="E117" s="1" t="n"/>
      <c r="F117" s="1" t="n"/>
      <c r="G117" s="1" t="n"/>
      <c r="H117" s="1" t="n"/>
      <c r="I117" s="1" t="n"/>
      <c r="J117" s="1" t="n"/>
      <c r="K117" s="1" t="n"/>
      <c r="L117" s="1" t="n"/>
      <c r="M117" s="1" t="n"/>
    </row>
    <row r="118" ht="15" customHeight="1">
      <c r="A118" s="1" t="n"/>
      <c r="B118" s="1" t="n"/>
      <c r="C118" s="1" t="n"/>
      <c r="D118" s="1" t="n"/>
      <c r="E118" s="1" t="n"/>
      <c r="F118" s="1" t="n"/>
      <c r="G118" s="1" t="n"/>
      <c r="H118" s="1" t="n"/>
      <c r="I118" s="1" t="n"/>
      <c r="J118" s="1" t="n"/>
      <c r="K118" s="1" t="n"/>
      <c r="L118" s="1" t="n"/>
      <c r="M118" s="1" t="n"/>
    </row>
    <row r="119" ht="15" customHeight="1">
      <c r="A119" s="1" t="n"/>
      <c r="B119" s="1" t="n"/>
      <c r="C119" s="1" t="n"/>
      <c r="D119" s="1" t="n"/>
      <c r="E119" s="1" t="n"/>
      <c r="F119" s="1" t="n"/>
      <c r="G119" s="1" t="n"/>
      <c r="H119" s="1" t="n"/>
      <c r="I119" s="1" t="n"/>
      <c r="J119" s="1" t="n"/>
      <c r="K119" s="1" t="n"/>
      <c r="L119" s="1" t="n"/>
      <c r="M119" s="1" t="n"/>
    </row>
    <row r="120" ht="15" customHeight="1">
      <c r="A120" s="1" t="n"/>
      <c r="B120" s="1" t="n"/>
      <c r="C120" s="1" t="n"/>
      <c r="D120" s="1" t="n"/>
      <c r="E120" s="1" t="n"/>
      <c r="F120" s="1" t="n"/>
      <c r="G120" s="1" t="n"/>
      <c r="H120" s="1" t="n"/>
      <c r="I120" s="1" t="n"/>
      <c r="J120" s="1" t="n"/>
      <c r="K120" s="1" t="n"/>
      <c r="L120" s="1" t="n"/>
      <c r="M120" s="1" t="n"/>
    </row>
    <row r="121" ht="15" customHeight="1">
      <c r="A121" s="1" t="n"/>
      <c r="B121" s="1" t="n"/>
      <c r="C121" s="1" t="n"/>
      <c r="D121" s="1" t="n"/>
      <c r="E121" s="1" t="n"/>
      <c r="F121" s="1" t="n"/>
      <c r="G121" s="1" t="n"/>
      <c r="H121" s="1" t="n"/>
      <c r="I121" s="1" t="n"/>
      <c r="J121" s="1" t="n"/>
      <c r="K121" s="1" t="n"/>
      <c r="L121" s="1" t="n"/>
      <c r="M121" s="1" t="n"/>
    </row>
    <row r="122" ht="15" customHeight="1">
      <c r="A122" s="1" t="n"/>
      <c r="B122" s="1" t="n"/>
      <c r="C122" s="1" t="n"/>
      <c r="D122" s="1" t="n"/>
      <c r="E122" s="1" t="n"/>
      <c r="F122" s="1" t="n"/>
      <c r="G122" s="1" t="n"/>
      <c r="H122" s="1" t="n"/>
      <c r="I122" s="1" t="n"/>
      <c r="J122" s="1" t="n"/>
      <c r="K122" s="1" t="n"/>
      <c r="L122" s="1" t="n"/>
      <c r="M122" s="1" t="n"/>
    </row>
    <row r="123" ht="15" customHeight="1">
      <c r="A123" s="1" t="n"/>
      <c r="B123" s="1" t="n"/>
      <c r="C123" s="1" t="n"/>
      <c r="D123" s="1" t="n"/>
      <c r="E123" s="1" t="n"/>
      <c r="F123" s="1" t="n"/>
      <c r="G123" s="1" t="n"/>
      <c r="H123" s="1" t="n"/>
      <c r="I123" s="1" t="n"/>
      <c r="J123" s="1" t="n"/>
      <c r="K123" s="1" t="n"/>
      <c r="L123" s="1" t="n"/>
      <c r="M123" s="1" t="n"/>
    </row>
    <row r="124" ht="15" customHeight="1">
      <c r="A124" s="1" t="n"/>
      <c r="B124" s="1" t="n"/>
      <c r="C124" s="1" t="n"/>
      <c r="D124" s="1" t="n"/>
      <c r="E124" s="1" t="n"/>
      <c r="F124" s="1" t="n"/>
      <c r="G124" s="1" t="n"/>
      <c r="H124" s="1" t="n"/>
      <c r="I124" s="1" t="n"/>
      <c r="J124" s="1" t="n"/>
      <c r="K124" s="1" t="n"/>
      <c r="L124" s="1" t="n"/>
      <c r="M124" s="1" t="n"/>
    </row>
    <row r="125" ht="15" customHeight="1">
      <c r="A125" s="1" t="n"/>
      <c r="B125" s="1" t="n"/>
      <c r="C125" s="1" t="n"/>
      <c r="D125" s="1" t="n"/>
      <c r="E125" s="1" t="n"/>
      <c r="F125" s="1" t="n"/>
      <c r="G125" s="1" t="n"/>
      <c r="H125" s="1" t="n"/>
      <c r="I125" s="1" t="n"/>
      <c r="J125" s="1" t="n"/>
      <c r="K125" s="1" t="n"/>
      <c r="L125" s="1" t="n"/>
      <c r="M125" s="1" t="n"/>
    </row>
    <row r="126" ht="15" customHeight="1">
      <c r="A126" s="1" t="n"/>
      <c r="B126" s="1" t="n"/>
      <c r="C126" s="1" t="n"/>
      <c r="D126" s="1" t="n"/>
      <c r="E126" s="1" t="n"/>
      <c r="F126" s="1" t="n"/>
      <c r="G126" s="1" t="n"/>
      <c r="H126" s="1" t="n"/>
      <c r="I126" s="1" t="n"/>
      <c r="J126" s="1" t="n"/>
      <c r="K126" s="1" t="n"/>
      <c r="L126" s="1" t="n"/>
      <c r="M126" s="1" t="n"/>
    </row>
    <row r="127" ht="15" customHeight="1">
      <c r="A127" s="1" t="n"/>
      <c r="B127" s="1" t="n"/>
      <c r="C127" s="1" t="n"/>
      <c r="D127" s="1" t="n"/>
      <c r="E127" s="1" t="n"/>
      <c r="F127" s="1" t="n"/>
      <c r="G127" s="1" t="n"/>
      <c r="H127" s="1" t="n"/>
      <c r="I127" s="1" t="n"/>
      <c r="J127" s="1" t="n"/>
      <c r="K127" s="1" t="n"/>
      <c r="L127" s="1" t="n"/>
      <c r="M127" s="1" t="n"/>
    </row>
    <row r="128" ht="15" customHeight="1">
      <c r="A128" s="1" t="n"/>
      <c r="B128" s="1" t="n"/>
      <c r="C128" s="1" t="n"/>
      <c r="D128" s="1" t="n"/>
      <c r="E128" s="1" t="n"/>
      <c r="F128" s="1" t="n"/>
      <c r="G128" s="1" t="n"/>
      <c r="H128" s="1" t="n"/>
      <c r="I128" s="1" t="n"/>
      <c r="J128" s="1" t="n"/>
      <c r="K128" s="1" t="n"/>
      <c r="L128" s="1" t="n"/>
      <c r="M128" s="1" t="n"/>
    </row>
    <row r="129" ht="15" customHeight="1">
      <c r="A129" s="1" t="n"/>
      <c r="B129" s="1" t="n"/>
      <c r="C129" s="1" t="n"/>
      <c r="D129" s="1" t="n"/>
      <c r="E129" s="1" t="n"/>
      <c r="F129" s="1" t="n"/>
      <c r="G129" s="1" t="n"/>
      <c r="H129" s="1" t="n"/>
      <c r="I129" s="1" t="n"/>
      <c r="J129" s="1" t="n"/>
      <c r="K129" s="1" t="n"/>
      <c r="L129" s="1" t="n"/>
      <c r="M129" s="1" t="n"/>
    </row>
    <row r="130" ht="15" customHeight="1">
      <c r="A130" s="1" t="n"/>
      <c r="B130" s="1" t="n"/>
      <c r="C130" s="1" t="n"/>
      <c r="D130" s="1" t="n"/>
      <c r="E130" s="1" t="n"/>
      <c r="F130" s="1" t="n"/>
      <c r="G130" s="1" t="n"/>
      <c r="H130" s="1" t="n"/>
      <c r="I130" s="1" t="n"/>
      <c r="J130" s="1" t="n"/>
      <c r="K130" s="1" t="n"/>
      <c r="L130" s="1" t="n"/>
      <c r="M130" s="1" t="n"/>
    </row>
    <row r="131" ht="15" customHeight="1">
      <c r="A131" s="1" t="n"/>
      <c r="B131" s="1" t="n"/>
      <c r="C131" s="1" t="n"/>
      <c r="D131" s="1" t="n"/>
      <c r="E131" s="1" t="n"/>
      <c r="F131" s="1" t="n"/>
      <c r="G131" s="1" t="n"/>
      <c r="H131" s="1" t="n"/>
      <c r="I131" s="1" t="n"/>
      <c r="J131" s="1" t="n"/>
      <c r="K131" s="1" t="n"/>
      <c r="L131" s="1" t="n"/>
      <c r="M131" s="1" t="n"/>
    </row>
    <row r="132" ht="15" customHeight="1">
      <c r="A132" s="1" t="n"/>
      <c r="B132" s="1" t="n"/>
      <c r="C132" s="1" t="n"/>
      <c r="D132" s="1" t="n"/>
      <c r="E132" s="1" t="n"/>
      <c r="F132" s="1" t="n"/>
      <c r="G132" s="1" t="n"/>
      <c r="H132" s="1" t="n"/>
      <c r="I132" s="1" t="n"/>
      <c r="J132" s="1" t="n"/>
      <c r="K132" s="1" t="n"/>
      <c r="L132" s="1" t="n"/>
      <c r="M132" s="1" t="n"/>
    </row>
    <row r="133" ht="15" customHeight="1">
      <c r="A133" s="1" t="n"/>
      <c r="B133" s="1" t="n"/>
      <c r="C133" s="1" t="n"/>
      <c r="D133" s="1" t="n"/>
      <c r="E133" s="1" t="n"/>
      <c r="F133" s="1" t="n"/>
      <c r="G133" s="1" t="n"/>
      <c r="H133" s="1" t="n"/>
      <c r="I133" s="1" t="n"/>
      <c r="J133" s="1" t="n"/>
      <c r="K133" s="1" t="n"/>
      <c r="L133" s="1" t="n"/>
      <c r="M133" s="1" t="n"/>
    </row>
    <row r="134" ht="15" customHeight="1">
      <c r="A134" s="1" t="n"/>
      <c r="B134" s="1" t="n"/>
      <c r="C134" s="1" t="n"/>
      <c r="D134" s="1" t="n"/>
      <c r="E134" s="1" t="n"/>
      <c r="F134" s="1" t="n"/>
      <c r="G134" s="1" t="n"/>
      <c r="H134" s="1" t="n"/>
      <c r="I134" s="1" t="n"/>
      <c r="J134" s="1" t="n"/>
      <c r="K134" s="1" t="n"/>
      <c r="L134" s="1" t="n"/>
      <c r="M134" s="1" t="n"/>
    </row>
    <row r="135" ht="15" customHeight="1">
      <c r="A135" s="1" t="n"/>
      <c r="B135" s="1" t="n"/>
      <c r="C135" s="1" t="n"/>
      <c r="D135" s="1" t="n"/>
      <c r="E135" s="1" t="n"/>
      <c r="F135" s="1" t="n"/>
      <c r="G135" s="1" t="n"/>
      <c r="H135" s="1" t="n"/>
      <c r="I135" s="1" t="n"/>
      <c r="J135" s="1" t="n"/>
      <c r="K135" s="1" t="n"/>
      <c r="L135" s="1" t="n"/>
      <c r="M135" s="1" t="n"/>
    </row>
    <row r="136" ht="15" customHeight="1">
      <c r="A136" s="1" t="n"/>
      <c r="B136" s="1" t="n"/>
      <c r="C136" s="1" t="n"/>
      <c r="D136" s="1" t="n"/>
      <c r="E136" s="1" t="n"/>
      <c r="F136" s="1" t="n"/>
      <c r="G136" s="1" t="n"/>
      <c r="H136" s="1" t="n"/>
      <c r="I136" s="1" t="n"/>
      <c r="J136" s="1" t="n"/>
      <c r="K136" s="1" t="n"/>
      <c r="L136" s="1" t="n"/>
      <c r="M136" s="1" t="n"/>
    </row>
    <row r="137" ht="15" customHeight="1">
      <c r="A137" s="1" t="n"/>
      <c r="B137" s="1" t="n"/>
      <c r="C137" s="1" t="n"/>
      <c r="D137" s="1" t="n"/>
      <c r="E137" s="1" t="n"/>
      <c r="F137" s="1" t="n"/>
      <c r="G137" s="1" t="n"/>
      <c r="H137" s="1" t="n"/>
      <c r="I137" s="1" t="n"/>
      <c r="J137" s="1" t="n"/>
      <c r="K137" s="1" t="n"/>
      <c r="L137" s="1" t="n"/>
      <c r="M137" s="1" t="n"/>
    </row>
    <row r="138" ht="15" customHeight="1">
      <c r="A138" s="1" t="n"/>
      <c r="B138" s="1" t="n"/>
      <c r="C138" s="1" t="n"/>
      <c r="D138" s="1" t="n"/>
      <c r="E138" s="1" t="n"/>
      <c r="F138" s="1" t="n"/>
      <c r="G138" s="1" t="n"/>
      <c r="H138" s="1" t="n"/>
      <c r="I138" s="1" t="n"/>
      <c r="J138" s="1" t="n"/>
      <c r="K138" s="1" t="n"/>
      <c r="L138" s="1" t="n"/>
      <c r="M138" s="1" t="n"/>
    </row>
    <row r="139" ht="15" customHeight="1">
      <c r="A139" s="1" t="n"/>
      <c r="B139" s="1" t="n"/>
      <c r="C139" s="1" t="n"/>
      <c r="D139" s="1" t="n"/>
      <c r="E139" s="1" t="n"/>
      <c r="F139" s="1" t="n"/>
      <c r="G139" s="1" t="n"/>
      <c r="H139" s="1" t="n"/>
      <c r="I139" s="1" t="n"/>
      <c r="J139" s="1" t="n"/>
      <c r="K139" s="1" t="n"/>
      <c r="L139" s="1" t="n"/>
      <c r="M139" s="1" t="n"/>
    </row>
    <row r="140" ht="15" customHeight="1">
      <c r="A140" s="1" t="n"/>
      <c r="B140" s="1" t="n"/>
      <c r="C140" s="1" t="n"/>
      <c r="D140" s="1" t="n"/>
      <c r="E140" s="1" t="n"/>
      <c r="F140" s="1" t="n"/>
      <c r="G140" s="1" t="n"/>
      <c r="H140" s="1" t="n"/>
      <c r="I140" s="1" t="n"/>
      <c r="J140" s="1" t="n"/>
      <c r="K140" s="1" t="n"/>
      <c r="L140" s="1" t="n"/>
      <c r="M140" s="1" t="n"/>
    </row>
    <row r="141" ht="15" customHeight="1">
      <c r="A141" s="1" t="n"/>
      <c r="B141" s="1" t="n"/>
      <c r="C141" s="1" t="n"/>
      <c r="D141" s="1" t="n"/>
      <c r="E141" s="1" t="n"/>
      <c r="F141" s="1" t="n"/>
      <c r="G141" s="1" t="n"/>
      <c r="H141" s="1" t="n"/>
      <c r="I141" s="1" t="n"/>
      <c r="J141" s="1" t="n"/>
      <c r="K141" s="1" t="n"/>
      <c r="L141" s="1" t="n"/>
      <c r="M141" s="1" t="n"/>
    </row>
    <row r="142" ht="15" customHeight="1">
      <c r="A142" s="1" t="n"/>
      <c r="B142" s="1" t="n"/>
      <c r="C142" s="1" t="n"/>
      <c r="D142" s="1" t="n"/>
      <c r="E142" s="1" t="n"/>
      <c r="F142" s="1" t="n"/>
      <c r="G142" s="1" t="n"/>
      <c r="H142" s="1" t="n"/>
      <c r="I142" s="1" t="n"/>
      <c r="J142" s="1" t="n"/>
      <c r="K142" s="1" t="n"/>
      <c r="L142" s="1" t="n"/>
      <c r="M142" s="1" t="n"/>
    </row>
    <row r="143" ht="15" customHeight="1">
      <c r="A143" s="1" t="n"/>
      <c r="B143" s="1" t="n"/>
      <c r="C143" s="1" t="n"/>
      <c r="D143" s="1" t="n"/>
      <c r="E143" s="1" t="n"/>
      <c r="F143" s="1" t="n"/>
      <c r="G143" s="1" t="n"/>
      <c r="H143" s="1" t="n"/>
      <c r="I143" s="1" t="n"/>
      <c r="J143" s="1" t="n"/>
      <c r="K143" s="1" t="n"/>
      <c r="L143" s="1" t="n"/>
      <c r="M143" s="1" t="n"/>
    </row>
    <row r="144" ht="15" customHeight="1">
      <c r="A144" s="1" t="n"/>
      <c r="B144" s="1" t="n"/>
      <c r="C144" s="1" t="n"/>
      <c r="D144" s="1" t="n"/>
      <c r="E144" s="1" t="n"/>
      <c r="F144" s="1" t="n"/>
      <c r="G144" s="1" t="n"/>
      <c r="H144" s="1" t="n"/>
      <c r="I144" s="1" t="n"/>
      <c r="J144" s="1" t="n"/>
      <c r="K144" s="1" t="n"/>
      <c r="L144" s="1" t="n"/>
      <c r="M144" s="1" t="n"/>
    </row>
    <row r="145" ht="15" customHeight="1">
      <c r="A145" s="1" t="n"/>
      <c r="B145" s="1" t="n"/>
      <c r="C145" s="1" t="n"/>
      <c r="D145" s="1" t="n"/>
      <c r="E145" s="1" t="n"/>
      <c r="F145" s="1" t="n"/>
      <c r="G145" s="1" t="n"/>
      <c r="H145" s="1" t="n"/>
      <c r="I145" s="1" t="n"/>
      <c r="J145" s="1" t="n"/>
      <c r="K145" s="1" t="n"/>
      <c r="L145" s="1" t="n"/>
      <c r="M145" s="1" t="n"/>
    </row>
    <row r="146" ht="15" customHeight="1">
      <c r="A146" s="1" t="n"/>
      <c r="B146" s="1" t="n"/>
      <c r="C146" s="1" t="n"/>
      <c r="D146" s="1" t="n"/>
      <c r="E146" s="1" t="n"/>
      <c r="F146" s="1" t="n"/>
      <c r="G146" s="1" t="n"/>
      <c r="H146" s="1" t="n"/>
      <c r="I146" s="1" t="n"/>
      <c r="J146" s="1" t="n"/>
      <c r="K146" s="1" t="n"/>
      <c r="L146" s="1" t="n"/>
      <c r="M146" s="1" t="n"/>
    </row>
    <row r="147" ht="15" customHeight="1">
      <c r="A147" s="1" t="n"/>
      <c r="B147" s="1" t="n"/>
      <c r="C147" s="1" t="n"/>
      <c r="D147" s="1" t="n"/>
      <c r="E147" s="1" t="n"/>
      <c r="F147" s="1" t="n"/>
      <c r="G147" s="1" t="n"/>
      <c r="H147" s="1" t="n"/>
      <c r="I147" s="1" t="n"/>
      <c r="J147" s="1" t="n"/>
      <c r="K147" s="1" t="n"/>
      <c r="L147" s="1" t="n"/>
      <c r="M147" s="1" t="n"/>
    </row>
    <row r="148" ht="15" customHeight="1">
      <c r="A148" s="1" t="n"/>
      <c r="B148" s="1" t="n"/>
      <c r="C148" s="1" t="n"/>
      <c r="D148" s="1" t="n"/>
      <c r="E148" s="1" t="n"/>
      <c r="F148" s="1" t="n"/>
      <c r="G148" s="1" t="n"/>
      <c r="H148" s="1" t="n"/>
      <c r="I148" s="1" t="n"/>
      <c r="J148" s="1" t="n"/>
      <c r="K148" s="1" t="n"/>
      <c r="L148" s="1" t="n"/>
      <c r="M148" s="1" t="n"/>
    </row>
    <row r="149" ht="15" customHeight="1">
      <c r="A149" s="1" t="n"/>
      <c r="B149" s="1" t="n"/>
      <c r="C149" s="1" t="n"/>
      <c r="D149" s="1" t="n"/>
      <c r="E149" s="1" t="n"/>
      <c r="F149" s="1" t="n"/>
      <c r="G149" s="1" t="n"/>
      <c r="H149" s="1" t="n"/>
      <c r="I149" s="1" t="n"/>
      <c r="J149" s="1" t="n"/>
      <c r="K149" s="1" t="n"/>
      <c r="L149" s="1" t="n"/>
      <c r="M149" s="1" t="n"/>
    </row>
    <row r="150" ht="15" customHeight="1">
      <c r="A150" s="1" t="n"/>
      <c r="B150" s="1" t="n"/>
      <c r="C150" s="1" t="n"/>
      <c r="D150" s="1" t="n"/>
      <c r="E150" s="1" t="n"/>
      <c r="F150" s="1" t="n"/>
      <c r="G150" s="1" t="n"/>
      <c r="H150" s="1" t="n"/>
      <c r="I150" s="1" t="n"/>
      <c r="J150" s="1" t="n"/>
      <c r="K150" s="1" t="n"/>
      <c r="L150" s="1" t="n"/>
      <c r="M150" s="1" t="n"/>
    </row>
    <row r="151" ht="15" customHeight="1">
      <c r="A151" s="1" t="n"/>
      <c r="B151" s="1" t="n"/>
      <c r="C151" s="1" t="n"/>
      <c r="D151" s="1" t="n"/>
      <c r="E151" s="1" t="n"/>
      <c r="F151" s="1" t="n"/>
      <c r="G151" s="1" t="n"/>
      <c r="H151" s="1" t="n"/>
      <c r="I151" s="1" t="n"/>
      <c r="J151" s="1" t="n"/>
      <c r="K151" s="1" t="n"/>
      <c r="L151" s="1" t="n"/>
      <c r="M151" s="1" t="n"/>
    </row>
    <row r="152" ht="15" customHeight="1">
      <c r="A152" s="1" t="n"/>
      <c r="B152" s="1" t="n"/>
      <c r="C152" s="1" t="n"/>
      <c r="D152" s="1" t="n"/>
      <c r="E152" s="1" t="n"/>
      <c r="F152" s="1" t="n"/>
      <c r="G152" s="1" t="n"/>
      <c r="H152" s="1" t="n"/>
      <c r="I152" s="1" t="n"/>
      <c r="J152" s="1" t="n"/>
      <c r="K152" s="1" t="n"/>
      <c r="L152" s="1" t="n"/>
      <c r="M152" s="1" t="n"/>
    </row>
    <row r="153" ht="15" customHeight="1">
      <c r="A153" s="1" t="n"/>
      <c r="B153" s="1" t="n"/>
      <c r="C153" s="1" t="n"/>
      <c r="D153" s="1" t="n"/>
      <c r="E153" s="1" t="n"/>
      <c r="F153" s="1" t="n"/>
      <c r="G153" s="1" t="n"/>
      <c r="H153" s="1" t="n"/>
      <c r="I153" s="1" t="n"/>
      <c r="J153" s="1" t="n"/>
      <c r="K153" s="1" t="n"/>
      <c r="L153" s="1" t="n"/>
      <c r="M153" s="1" t="n"/>
    </row>
    <row r="154" ht="15" customHeight="1">
      <c r="A154" s="1" t="n"/>
      <c r="B154" s="1" t="n"/>
      <c r="C154" s="1" t="n"/>
      <c r="D154" s="1" t="n"/>
      <c r="E154" s="1" t="n"/>
      <c r="F154" s="1" t="n"/>
      <c r="G154" s="1" t="n"/>
      <c r="H154" s="1" t="n"/>
      <c r="I154" s="1" t="n"/>
      <c r="J154" s="1" t="n"/>
      <c r="K154" s="1" t="n"/>
      <c r="L154" s="1" t="n"/>
      <c r="M154" s="1" t="n"/>
    </row>
    <row r="155" ht="15" customHeight="1">
      <c r="A155" s="1" t="n"/>
      <c r="B155" s="1" t="n"/>
      <c r="C155" s="1" t="n"/>
      <c r="D155" s="1" t="n"/>
      <c r="E155" s="1" t="n"/>
      <c r="F155" s="1" t="n"/>
      <c r="G155" s="1" t="n"/>
      <c r="H155" s="1" t="n"/>
      <c r="I155" s="1" t="n"/>
      <c r="J155" s="1" t="n"/>
      <c r="K155" s="1" t="n"/>
      <c r="L155" s="1" t="n"/>
      <c r="M155" s="1" t="n"/>
    </row>
    <row r="156" ht="15" customHeight="1">
      <c r="A156" s="1" t="n"/>
      <c r="B156" s="1" t="n"/>
      <c r="C156" s="1" t="n"/>
      <c r="D156" s="1" t="n"/>
      <c r="E156" s="1" t="n"/>
      <c r="F156" s="1" t="n"/>
      <c r="G156" s="1" t="n"/>
      <c r="H156" s="1" t="n"/>
      <c r="I156" s="1" t="n"/>
      <c r="J156" s="1" t="n"/>
      <c r="K156" s="1" t="n"/>
      <c r="L156" s="1" t="n"/>
      <c r="M156" s="1" t="n"/>
    </row>
    <row r="157" ht="15" customHeight="1">
      <c r="A157" s="1" t="n"/>
      <c r="B157" s="1" t="n"/>
      <c r="C157" s="1" t="n"/>
      <c r="D157" s="1" t="n"/>
      <c r="E157" s="1" t="n"/>
      <c r="F157" s="1" t="n"/>
      <c r="G157" s="1" t="n"/>
      <c r="H157" s="1" t="n"/>
      <c r="I157" s="1" t="n"/>
      <c r="J157" s="1" t="n"/>
      <c r="K157" s="1" t="n"/>
      <c r="L157" s="1" t="n"/>
      <c r="M157" s="1" t="n"/>
    </row>
    <row r="158" ht="15" customHeight="1">
      <c r="A158" s="1" t="n"/>
      <c r="B158" s="1" t="n"/>
      <c r="C158" s="1" t="n"/>
      <c r="D158" s="1" t="n"/>
      <c r="E158" s="1" t="n"/>
      <c r="F158" s="1" t="n"/>
      <c r="G158" s="1" t="n"/>
      <c r="H158" s="1" t="n"/>
      <c r="I158" s="1" t="n"/>
      <c r="J158" s="1" t="n"/>
      <c r="K158" s="1" t="n"/>
      <c r="L158" s="1" t="n"/>
      <c r="M158" s="1" t="n"/>
    </row>
    <row r="159" ht="15" customHeight="1">
      <c r="A159" s="1" t="n"/>
      <c r="B159" s="1" t="n"/>
      <c r="C159" s="1" t="n"/>
      <c r="D159" s="1" t="n"/>
      <c r="E159" s="1" t="n"/>
      <c r="F159" s="1" t="n"/>
      <c r="G159" s="1" t="n"/>
      <c r="H159" s="1" t="n"/>
      <c r="I159" s="1" t="n"/>
      <c r="J159" s="1" t="n"/>
      <c r="K159" s="1" t="n"/>
      <c r="L159" s="1" t="n"/>
      <c r="M159" s="1" t="n"/>
    </row>
    <row r="160" ht="15" customHeight="1">
      <c r="A160" s="1" t="n"/>
      <c r="B160" s="1" t="n"/>
      <c r="C160" s="1" t="n"/>
      <c r="D160" s="1" t="n"/>
      <c r="E160" s="1" t="n"/>
      <c r="F160" s="1" t="n"/>
      <c r="G160" s="1" t="n"/>
      <c r="H160" s="1" t="n"/>
      <c r="I160" s="1" t="n"/>
      <c r="J160" s="1" t="n"/>
      <c r="K160" s="1" t="n"/>
      <c r="L160" s="1" t="n"/>
      <c r="M160" s="1" t="n"/>
    </row>
    <row r="161" ht="15" customHeight="1">
      <c r="A161" s="1" t="n"/>
      <c r="B161" s="1" t="n"/>
      <c r="C161" s="1" t="n"/>
      <c r="D161" s="1" t="n"/>
      <c r="E161" s="1" t="n"/>
      <c r="F161" s="1" t="n"/>
      <c r="G161" s="1" t="n"/>
      <c r="H161" s="1" t="n"/>
      <c r="I161" s="1" t="n"/>
      <c r="J161" s="1" t="n"/>
      <c r="K161" s="1" t="n"/>
      <c r="L161" s="1" t="n"/>
      <c r="M161" s="1" t="n"/>
    </row>
    <row r="162" ht="15" customHeight="1">
      <c r="A162" s="1" t="n"/>
      <c r="B162" s="1" t="n"/>
      <c r="C162" s="1" t="n"/>
      <c r="D162" s="1" t="n"/>
      <c r="E162" s="1" t="n"/>
      <c r="F162" s="1" t="n"/>
      <c r="G162" s="1" t="n"/>
      <c r="H162" s="1" t="n"/>
      <c r="I162" s="1" t="n"/>
      <c r="J162" s="1" t="n"/>
      <c r="K162" s="1" t="n"/>
      <c r="L162" s="1" t="n"/>
      <c r="M162" s="1" t="n"/>
    </row>
    <row r="163" ht="15" customHeight="1">
      <c r="A163" s="1" t="n"/>
      <c r="B163" s="1" t="n"/>
      <c r="C163" s="1" t="n"/>
      <c r="D163" s="1" t="n"/>
      <c r="E163" s="1" t="n"/>
      <c r="F163" s="1" t="n"/>
      <c r="G163" s="1" t="n"/>
      <c r="H163" s="1" t="n"/>
      <c r="I163" s="1" t="n"/>
      <c r="J163" s="1" t="n"/>
      <c r="K163" s="1" t="n"/>
      <c r="L163" s="1" t="n"/>
      <c r="M163" s="1" t="n"/>
    </row>
    <row r="164" ht="15" customHeight="1">
      <c r="A164" s="1" t="n"/>
      <c r="B164" s="1" t="n"/>
      <c r="C164" s="1" t="n"/>
      <c r="D164" s="1" t="n"/>
      <c r="E164" s="1" t="n"/>
      <c r="F164" s="1" t="n"/>
      <c r="G164" s="1" t="n"/>
      <c r="H164" s="1" t="n"/>
      <c r="I164" s="1" t="n"/>
      <c r="J164" s="1" t="n"/>
      <c r="K164" s="1" t="n"/>
      <c r="L164" s="1" t="n"/>
      <c r="M164" s="1" t="n"/>
    </row>
    <row r="165" ht="15" customHeight="1">
      <c r="A165" s="1" t="n"/>
      <c r="B165" s="1" t="n"/>
      <c r="C165" s="1" t="n"/>
      <c r="D165" s="1" t="n"/>
      <c r="E165" s="1" t="n"/>
      <c r="F165" s="1" t="n"/>
      <c r="G165" s="1" t="n"/>
      <c r="H165" s="1" t="n"/>
      <c r="I165" s="1" t="n"/>
      <c r="J165" s="1" t="n"/>
      <c r="K165" s="1" t="n"/>
      <c r="L165" s="1" t="n"/>
      <c r="M165" s="1" t="n"/>
    </row>
    <row r="166" ht="15" customHeight="1">
      <c r="A166" s="1" t="n"/>
      <c r="B166" s="1" t="n"/>
      <c r="C166" s="1" t="n"/>
      <c r="D166" s="1" t="n"/>
      <c r="E166" s="1" t="n"/>
      <c r="F166" s="1" t="n"/>
      <c r="G166" s="1" t="n"/>
      <c r="H166" s="1" t="n"/>
      <c r="I166" s="1" t="n"/>
      <c r="J166" s="1" t="n"/>
      <c r="K166" s="1" t="n"/>
      <c r="L166" s="1" t="n"/>
      <c r="M166" s="1" t="n"/>
    </row>
    <row r="167" ht="15" customHeight="1">
      <c r="A167" s="1" t="n"/>
      <c r="B167" s="1" t="n"/>
      <c r="C167" s="1" t="n"/>
      <c r="D167" s="1" t="n"/>
      <c r="E167" s="1" t="n"/>
      <c r="F167" s="1" t="n"/>
      <c r="G167" s="1" t="n"/>
      <c r="H167" s="1" t="n"/>
      <c r="I167" s="1" t="n"/>
      <c r="J167" s="1" t="n"/>
      <c r="K167" s="1" t="n"/>
      <c r="L167" s="1" t="n"/>
      <c r="M167" s="1" t="n"/>
    </row>
    <row r="168" ht="15" customHeight="1">
      <c r="A168" s="1" t="n"/>
      <c r="B168" s="1" t="n"/>
      <c r="C168" s="1" t="n"/>
      <c r="D168" s="1" t="n"/>
      <c r="E168" s="1" t="n"/>
      <c r="F168" s="1" t="n"/>
      <c r="G168" s="1" t="n"/>
      <c r="H168" s="1" t="n"/>
      <c r="I168" s="1" t="n"/>
      <c r="J168" s="1" t="n"/>
      <c r="K168" s="1" t="n"/>
      <c r="L168" s="1" t="n"/>
      <c r="M168" s="1" t="n"/>
    </row>
    <row r="169" ht="15" customHeight="1">
      <c r="A169" s="1" t="n"/>
      <c r="B169" s="1" t="n"/>
      <c r="C169" s="1" t="n"/>
      <c r="D169" s="1" t="n"/>
      <c r="E169" s="1" t="n"/>
      <c r="F169" s="1" t="n"/>
      <c r="G169" s="1" t="n"/>
      <c r="H169" s="1" t="n"/>
      <c r="I169" s="1" t="n"/>
      <c r="J169" s="1" t="n"/>
      <c r="K169" s="1" t="n"/>
      <c r="L169" s="1" t="n"/>
      <c r="M169" s="1" t="n"/>
    </row>
    <row r="170" ht="15" customHeight="1">
      <c r="A170" s="1" t="n"/>
      <c r="B170" s="1" t="n"/>
      <c r="C170" s="1" t="n"/>
      <c r="D170" s="1" t="n"/>
      <c r="E170" s="1" t="n"/>
      <c r="F170" s="1" t="n"/>
      <c r="G170" s="1" t="n"/>
      <c r="H170" s="1" t="n"/>
      <c r="I170" s="1" t="n"/>
      <c r="J170" s="1" t="n"/>
      <c r="K170" s="1" t="n"/>
      <c r="L170" s="1" t="n"/>
      <c r="M170" s="1" t="n"/>
    </row>
    <row r="171" ht="15" customHeight="1">
      <c r="A171" s="1" t="n"/>
      <c r="B171" s="1" t="n"/>
      <c r="C171" s="1" t="n"/>
      <c r="D171" s="1" t="n"/>
      <c r="E171" s="1" t="n"/>
      <c r="F171" s="1" t="n"/>
      <c r="G171" s="1" t="n"/>
      <c r="H171" s="1" t="n"/>
      <c r="I171" s="1" t="n"/>
      <c r="J171" s="1" t="n"/>
      <c r="K171" s="1" t="n"/>
      <c r="L171" s="1" t="n"/>
      <c r="M171" s="1" t="n"/>
    </row>
    <row r="172" ht="15" customHeight="1">
      <c r="A172" s="1" t="n"/>
      <c r="B172" s="1" t="n"/>
      <c r="C172" s="1" t="n"/>
      <c r="D172" s="1" t="n"/>
      <c r="E172" s="1" t="n"/>
      <c r="F172" s="1" t="n"/>
      <c r="G172" s="1" t="n"/>
      <c r="H172" s="1" t="n"/>
      <c r="I172" s="1" t="n"/>
      <c r="J172" s="1" t="n"/>
      <c r="K172" s="1" t="n"/>
      <c r="L172" s="1" t="n"/>
      <c r="M172" s="1" t="n"/>
    </row>
    <row r="173" ht="15" customHeight="1">
      <c r="A173" s="1" t="n"/>
      <c r="B173" s="1" t="n"/>
      <c r="C173" s="1" t="n"/>
      <c r="D173" s="1" t="n"/>
      <c r="E173" s="1" t="n"/>
      <c r="F173" s="1" t="n"/>
      <c r="G173" s="1" t="n"/>
      <c r="H173" s="1" t="n"/>
      <c r="I173" s="1" t="n"/>
      <c r="J173" s="1" t="n"/>
      <c r="K173" s="1" t="n"/>
      <c r="L173" s="1" t="n"/>
      <c r="M173" s="1" t="n"/>
    </row>
    <row r="174" ht="15" customHeight="1">
      <c r="A174" s="1" t="n"/>
      <c r="B174" s="1" t="n"/>
      <c r="C174" s="1" t="n"/>
      <c r="D174" s="1" t="n"/>
      <c r="E174" s="1" t="n"/>
      <c r="F174" s="1" t="n"/>
      <c r="G174" s="1" t="n"/>
      <c r="H174" s="1" t="n"/>
      <c r="I174" s="1" t="n"/>
      <c r="J174" s="1" t="n"/>
      <c r="K174" s="1" t="n"/>
      <c r="L174" s="1" t="n"/>
      <c r="M174" s="1" t="n"/>
    </row>
    <row r="175" ht="15" customHeight="1">
      <c r="A175" s="1" t="n"/>
      <c r="B175" s="1" t="n"/>
      <c r="C175" s="1" t="n"/>
      <c r="D175" s="1" t="n"/>
      <c r="E175" s="1" t="n"/>
      <c r="F175" s="1" t="n"/>
      <c r="G175" s="1" t="n"/>
      <c r="H175" s="1" t="n"/>
      <c r="I175" s="1" t="n"/>
      <c r="J175" s="1" t="n"/>
      <c r="K175" s="1" t="n"/>
      <c r="L175" s="1" t="n"/>
      <c r="M175" s="1" t="n"/>
    </row>
    <row r="176" ht="15" customHeight="1">
      <c r="A176" s="1" t="n"/>
      <c r="B176" s="1" t="n"/>
      <c r="C176" s="1" t="n"/>
      <c r="D176" s="1" t="n"/>
      <c r="E176" s="1" t="n"/>
      <c r="F176" s="1" t="n"/>
      <c r="G176" s="1" t="n"/>
      <c r="H176" s="1" t="n"/>
      <c r="I176" s="1" t="n"/>
      <c r="J176" s="1" t="n"/>
      <c r="K176" s="1" t="n"/>
      <c r="L176" s="1" t="n"/>
      <c r="M176" s="1" t="n"/>
    </row>
    <row r="177" ht="15" customHeight="1">
      <c r="A177" s="1" t="n"/>
      <c r="B177" s="1" t="n"/>
      <c r="C177" s="1" t="n"/>
      <c r="D177" s="1" t="n"/>
      <c r="E177" s="1" t="n"/>
      <c r="F177" s="1" t="n"/>
      <c r="G177" s="1" t="n"/>
      <c r="H177" s="1" t="n"/>
      <c r="I177" s="1" t="n"/>
      <c r="J177" s="1" t="n"/>
      <c r="K177" s="1" t="n"/>
      <c r="L177" s="1" t="n"/>
      <c r="M177" s="1" t="n"/>
    </row>
    <row r="178" ht="15" customHeight="1">
      <c r="A178" s="1" t="n"/>
      <c r="B178" s="1" t="n"/>
      <c r="C178" s="1" t="n"/>
      <c r="D178" s="1" t="n"/>
      <c r="E178" s="1" t="n"/>
      <c r="F178" s="1" t="n"/>
      <c r="G178" s="1" t="n"/>
      <c r="H178" s="1" t="n"/>
      <c r="I178" s="1" t="n"/>
      <c r="J178" s="1" t="n"/>
      <c r="K178" s="1" t="n"/>
      <c r="L178" s="1" t="n"/>
      <c r="M178" s="1" t="n"/>
    </row>
    <row r="179" ht="15" customHeight="1">
      <c r="A179" s="1" t="n"/>
      <c r="B179" s="1" t="n"/>
      <c r="C179" s="1" t="n"/>
      <c r="D179" s="1" t="n"/>
      <c r="E179" s="1" t="n"/>
      <c r="F179" s="1" t="n"/>
      <c r="G179" s="1" t="n"/>
      <c r="H179" s="1" t="n"/>
      <c r="I179" s="1" t="n"/>
      <c r="J179" s="1" t="n"/>
      <c r="K179" s="1" t="n"/>
      <c r="L179" s="1" t="n"/>
      <c r="M179" s="1" t="n"/>
    </row>
    <row r="180" ht="15" customHeight="1">
      <c r="A180" s="1" t="n"/>
      <c r="B180" s="1" t="n"/>
      <c r="C180" s="1" t="n"/>
      <c r="D180" s="1" t="n"/>
      <c r="E180" s="1" t="n"/>
      <c r="F180" s="1" t="n"/>
      <c r="G180" s="1" t="n"/>
      <c r="H180" s="1" t="n"/>
      <c r="I180" s="1" t="n"/>
      <c r="J180" s="1" t="n"/>
      <c r="K180" s="1" t="n"/>
      <c r="L180" s="1" t="n"/>
      <c r="M180" s="1" t="n"/>
    </row>
    <row r="181" ht="15" customHeight="1">
      <c r="A181" s="1" t="n"/>
      <c r="B181" s="1" t="n"/>
      <c r="C181" s="1" t="n"/>
      <c r="D181" s="1" t="n"/>
      <c r="E181" s="1" t="n"/>
      <c r="F181" s="1" t="n"/>
      <c r="G181" s="1" t="n"/>
      <c r="H181" s="1" t="n"/>
      <c r="I181" s="1" t="n"/>
      <c r="J181" s="1" t="n"/>
      <c r="K181" s="1" t="n"/>
      <c r="L181" s="1" t="n"/>
      <c r="M181" s="1" t="n"/>
    </row>
    <row r="182" ht="15" customHeight="1">
      <c r="A182" s="1" t="n"/>
      <c r="B182" s="1" t="n"/>
      <c r="C182" s="1" t="n"/>
      <c r="D182" s="1" t="n"/>
      <c r="E182" s="1" t="n"/>
      <c r="F182" s="1" t="n"/>
      <c r="G182" s="1" t="n"/>
      <c r="H182" s="1" t="n"/>
      <c r="I182" s="1" t="n"/>
      <c r="J182" s="1" t="n"/>
      <c r="K182" s="1" t="n"/>
      <c r="L182" s="1" t="n"/>
      <c r="M182" s="1" t="n"/>
    </row>
    <row r="183" ht="15" customHeight="1">
      <c r="A183" s="1" t="n"/>
      <c r="B183" s="1" t="n"/>
      <c r="C183" s="1" t="n"/>
      <c r="D183" s="1" t="n"/>
      <c r="E183" s="1" t="n"/>
      <c r="F183" s="1" t="n"/>
      <c r="G183" s="1" t="n"/>
      <c r="H183" s="1" t="n"/>
      <c r="I183" s="1" t="n"/>
      <c r="J183" s="1" t="n"/>
      <c r="K183" s="1" t="n"/>
      <c r="L183" s="1" t="n"/>
      <c r="M183" s="1" t="n"/>
    </row>
    <row r="184" ht="15" customHeight="1">
      <c r="A184" s="1" t="n"/>
      <c r="B184" s="1" t="n"/>
      <c r="C184" s="1" t="n"/>
      <c r="D184" s="1" t="n"/>
      <c r="E184" s="1" t="n"/>
      <c r="F184" s="1" t="n"/>
      <c r="G184" s="1" t="n"/>
      <c r="H184" s="1" t="n"/>
      <c r="I184" s="1" t="n"/>
      <c r="J184" s="1" t="n"/>
      <c r="K184" s="1" t="n"/>
      <c r="L184" s="1" t="n"/>
      <c r="M184" s="1" t="n"/>
    </row>
    <row r="185" ht="15" customHeight="1">
      <c r="A185" s="1" t="n"/>
      <c r="B185" s="1" t="n"/>
      <c r="C185" s="1" t="n"/>
      <c r="D185" s="1" t="n"/>
      <c r="E185" s="1" t="n"/>
      <c r="F185" s="1" t="n"/>
      <c r="G185" s="1" t="n"/>
      <c r="H185" s="1" t="n"/>
      <c r="I185" s="1" t="n"/>
      <c r="J185" s="1" t="n"/>
      <c r="K185" s="1" t="n"/>
      <c r="L185" s="1" t="n"/>
      <c r="M185" s="1" t="n"/>
    </row>
    <row r="186" ht="15" customHeight="1">
      <c r="A186" s="1" t="n"/>
      <c r="B186" s="1" t="n"/>
      <c r="C186" s="1" t="n"/>
      <c r="D186" s="1" t="n"/>
      <c r="E186" s="1" t="n"/>
      <c r="F186" s="1" t="n"/>
      <c r="G186" s="1" t="n"/>
      <c r="H186" s="1" t="n"/>
      <c r="I186" s="1" t="n"/>
      <c r="J186" s="1" t="n"/>
      <c r="K186" s="1" t="n"/>
      <c r="L186" s="1" t="n"/>
      <c r="M186" s="1" t="n"/>
    </row>
    <row r="187" ht="15" customHeight="1">
      <c r="A187" s="1" t="n"/>
      <c r="B187" s="1" t="n"/>
      <c r="C187" s="1" t="n"/>
      <c r="D187" s="1" t="n"/>
      <c r="E187" s="1" t="n"/>
      <c r="F187" s="1" t="n"/>
      <c r="G187" s="1" t="n"/>
      <c r="H187" s="1" t="n"/>
      <c r="I187" s="1" t="n"/>
      <c r="J187" s="1" t="n"/>
      <c r="K187" s="1" t="n"/>
      <c r="L187" s="1" t="n"/>
      <c r="M187" s="1" t="n"/>
    </row>
    <row r="188" ht="15" customHeight="1">
      <c r="A188" s="1" t="n"/>
      <c r="B188" s="1" t="n"/>
      <c r="C188" s="1" t="n"/>
      <c r="D188" s="1" t="n"/>
      <c r="E188" s="1" t="n"/>
      <c r="F188" s="1" t="n"/>
      <c r="G188" s="1" t="n"/>
      <c r="H188" s="1" t="n"/>
      <c r="I188" s="1" t="n"/>
      <c r="J188" s="1" t="n"/>
      <c r="K188" s="1" t="n"/>
      <c r="L188" s="1" t="n"/>
      <c r="M188" s="1" t="n"/>
    </row>
    <row r="189" ht="15" customHeight="1">
      <c r="A189" s="1" t="n"/>
      <c r="B189" s="1" t="n"/>
      <c r="C189" s="1" t="n"/>
      <c r="D189" s="1" t="n"/>
      <c r="E189" s="1" t="n"/>
      <c r="F189" s="1" t="n"/>
      <c r="G189" s="1" t="n"/>
      <c r="H189" s="1" t="n"/>
      <c r="I189" s="1" t="n"/>
      <c r="J189" s="1" t="n"/>
      <c r="K189" s="1" t="n"/>
      <c r="L189" s="1" t="n"/>
      <c r="M189" s="1" t="n"/>
    </row>
    <row r="190" ht="15" customHeight="1">
      <c r="A190" s="1" t="n"/>
      <c r="B190" s="1" t="n"/>
      <c r="C190" s="1" t="n"/>
      <c r="D190" s="1" t="n"/>
      <c r="E190" s="1" t="n"/>
      <c r="F190" s="1" t="n"/>
      <c r="G190" s="1" t="n"/>
      <c r="H190" s="1" t="n"/>
      <c r="I190" s="1" t="n"/>
      <c r="J190" s="1" t="n"/>
      <c r="K190" s="1" t="n"/>
      <c r="L190" s="1" t="n"/>
      <c r="M190" s="1" t="n"/>
    </row>
    <row r="191" ht="15" customHeight="1">
      <c r="A191" s="1" t="n"/>
      <c r="B191" s="1" t="n"/>
      <c r="C191" s="1" t="n"/>
      <c r="D191" s="1" t="n"/>
      <c r="E191" s="1" t="n"/>
      <c r="F191" s="1" t="n"/>
      <c r="G191" s="1" t="n"/>
      <c r="H191" s="1" t="n"/>
      <c r="I191" s="1" t="n"/>
      <c r="J191" s="1" t="n"/>
      <c r="K191" s="1" t="n"/>
      <c r="L191" s="1" t="n"/>
      <c r="M191" s="1" t="n"/>
    </row>
    <row r="192" ht="15" customHeight="1">
      <c r="A192" s="1" t="n"/>
      <c r="B192" s="1" t="n"/>
      <c r="C192" s="1" t="n"/>
      <c r="D192" s="1" t="n"/>
      <c r="E192" s="1" t="n"/>
      <c r="F192" s="1" t="n"/>
      <c r="G192" s="1" t="n"/>
      <c r="H192" s="1" t="n"/>
      <c r="I192" s="1" t="n"/>
      <c r="J192" s="1" t="n"/>
      <c r="K192" s="1" t="n"/>
      <c r="L192" s="1" t="n"/>
      <c r="M192" s="1" t="n"/>
    </row>
    <row r="193" ht="15" customHeight="1">
      <c r="A193" s="1" t="n"/>
      <c r="B193" s="1" t="n"/>
      <c r="C193" s="1" t="n"/>
      <c r="D193" s="1" t="n"/>
      <c r="E193" s="1" t="n"/>
      <c r="F193" s="1" t="n"/>
      <c r="G193" s="1" t="n"/>
      <c r="H193" s="1" t="n"/>
      <c r="I193" s="1" t="n"/>
      <c r="J193" s="1" t="n"/>
      <c r="K193" s="1" t="n"/>
      <c r="L193" s="1" t="n"/>
      <c r="M193" s="1" t="n"/>
    </row>
    <row r="194" ht="15" customHeight="1">
      <c r="A194" s="1" t="n"/>
      <c r="B194" s="1" t="n"/>
      <c r="C194" s="1" t="n"/>
      <c r="D194" s="1" t="n"/>
      <c r="E194" s="1" t="n"/>
      <c r="F194" s="1" t="n"/>
      <c r="G194" s="1" t="n"/>
      <c r="H194" s="1" t="n"/>
      <c r="I194" s="1" t="n"/>
      <c r="J194" s="1" t="n"/>
      <c r="K194" s="1" t="n"/>
      <c r="L194" s="1" t="n"/>
      <c r="M194" s="1" t="n"/>
    </row>
    <row r="195" ht="15" customHeight="1">
      <c r="A195" s="1" t="n"/>
      <c r="B195" s="1" t="n"/>
      <c r="C195" s="1" t="n"/>
      <c r="D195" s="1" t="n"/>
      <c r="E195" s="1" t="n"/>
      <c r="F195" s="1" t="n"/>
      <c r="G195" s="1" t="n"/>
      <c r="H195" s="1" t="n"/>
      <c r="I195" s="1" t="n"/>
      <c r="J195" s="1" t="n"/>
      <c r="K195" s="1" t="n"/>
      <c r="L195" s="1" t="n"/>
      <c r="M195" s="1" t="n"/>
    </row>
    <row r="196" ht="15" customHeight="1">
      <c r="A196" s="1" t="n"/>
      <c r="B196" s="1" t="n"/>
      <c r="C196" s="1" t="n"/>
      <c r="D196" s="1" t="n"/>
      <c r="E196" s="1" t="n"/>
      <c r="F196" s="1" t="n"/>
      <c r="G196" s="1" t="n"/>
      <c r="H196" s="1" t="n"/>
      <c r="I196" s="1" t="n"/>
      <c r="J196" s="1" t="n"/>
      <c r="K196" s="1" t="n"/>
      <c r="L196" s="1" t="n"/>
      <c r="M196" s="1" t="n"/>
    </row>
    <row r="197" ht="15" customHeight="1">
      <c r="A197" s="1" t="n"/>
      <c r="B197" s="1" t="n"/>
      <c r="C197" s="1" t="n"/>
      <c r="D197" s="1" t="n"/>
      <c r="E197" s="1" t="n"/>
      <c r="F197" s="1" t="n"/>
      <c r="G197" s="1" t="n"/>
      <c r="H197" s="1" t="n"/>
      <c r="I197" s="1" t="n"/>
      <c r="J197" s="1" t="n"/>
      <c r="K197" s="1" t="n"/>
      <c r="L197" s="1" t="n"/>
      <c r="M197" s="1" t="n"/>
    </row>
    <row r="198" ht="15" customHeight="1">
      <c r="A198" s="1" t="n"/>
      <c r="B198" s="1" t="n"/>
      <c r="C198" s="1" t="n"/>
      <c r="D198" s="1" t="n"/>
      <c r="E198" s="1" t="n"/>
      <c r="F198" s="1" t="n"/>
      <c r="G198" s="1" t="n"/>
      <c r="H198" s="1" t="n"/>
      <c r="I198" s="1" t="n"/>
      <c r="J198" s="1" t="n"/>
      <c r="K198" s="1" t="n"/>
      <c r="L198" s="1" t="n"/>
      <c r="M198" s="1" t="n"/>
    </row>
    <row r="199" ht="15" customHeight="1">
      <c r="A199" s="1" t="n"/>
      <c r="B199" s="1" t="n"/>
      <c r="C199" s="1" t="n"/>
      <c r="D199" s="1" t="n"/>
      <c r="E199" s="1" t="n"/>
      <c r="F199" s="1" t="n"/>
      <c r="G199" s="1" t="n"/>
      <c r="H199" s="1" t="n"/>
      <c r="I199" s="1" t="n"/>
      <c r="J199" s="1" t="n"/>
      <c r="K199" s="1" t="n"/>
      <c r="L199" s="1" t="n"/>
      <c r="M199" s="1" t="n"/>
    </row>
    <row r="200" ht="15" customHeight="1">
      <c r="A200" s="1" t="n"/>
      <c r="B200" s="1" t="n"/>
      <c r="C200" s="1" t="n"/>
      <c r="D200" s="1" t="n"/>
      <c r="E200" s="1" t="n"/>
      <c r="F200" s="1" t="n"/>
      <c r="G200" s="1" t="n"/>
      <c r="H200" s="1" t="n"/>
      <c r="I200" s="1" t="n"/>
      <c r="J200" s="1" t="n"/>
      <c r="K200" s="1" t="n"/>
      <c r="L200" s="1" t="n"/>
      <c r="M200" s="1" t="n"/>
    </row>
  </sheetData>
  <mergeCells count="2">
    <mergeCell ref="A1:I1"/>
    <mergeCell ref="A2:I2"/>
  </mergeCells>
  <conditionalFormatting sqref="E5:E24">
    <cfRule type="expression" priority="1" dxfId="0">
      <formula>E5="Critical"</formula>
    </cfRule>
  </conditionalFormatting>
  <dataValidations count="1">
    <dataValidation sqref="G5:G24" showDropDown="0" showInputMessage="0" showErrorMessage="0" allowBlank="0" type="list">
      <formula1>"Open,In Review,Validated,Rejected,Deferred"</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M200"/>
  <sheetViews>
    <sheetView workbookViewId="0">
      <selection activeCell="A1" sqref="A1:H1"/>
    </sheetView>
  </sheetViews>
  <sheetFormatPr baseColWidth="10" defaultColWidth="8.83203125" defaultRowHeight="14"/>
  <cols>
    <col width="25" customWidth="1" min="1" max="1"/>
    <col width="32" customWidth="1" min="2" max="2"/>
    <col width="48" customWidth="1" min="3" max="3"/>
    <col width="36" customWidth="1" min="4" max="4"/>
    <col width="65" customWidth="1" min="5" max="5"/>
    <col width="20" customWidth="1" min="6" max="7"/>
    <col width="45" customWidth="1" min="8" max="8"/>
  </cols>
  <sheetData>
    <row r="1" ht="42.75" customHeight="1">
      <c r="A1" s="16" t="inlineStr">
        <is>
          <t>Research Sources and Intended Use</t>
        </is>
      </c>
      <c r="I1" s="1" t="n"/>
      <c r="J1" s="1" t="n"/>
      <c r="K1" s="1" t="n"/>
      <c r="L1" s="1" t="n"/>
      <c r="M1" s="1" t="n"/>
    </row>
    <row r="2" ht="40" customHeight="1">
      <c r="A2" s="17" t="inlineStr">
        <is>
          <t>Primary and authoritative sources used in this workbook. URLs are included for external validation.</t>
        </is>
      </c>
      <c r="I2" s="1" t="n"/>
      <c r="J2" s="1" t="n"/>
      <c r="K2" s="1" t="n"/>
      <c r="L2" s="1" t="n"/>
      <c r="M2" s="1" t="n"/>
    </row>
    <row r="3" ht="15" customHeight="1">
      <c r="A3" s="1" t="n"/>
      <c r="B3" s="1" t="n"/>
      <c r="C3" s="1" t="n"/>
      <c r="D3" s="1" t="n"/>
      <c r="E3" s="1" t="n"/>
      <c r="F3" s="1" t="n"/>
      <c r="G3" s="1" t="n"/>
      <c r="H3" s="1" t="n"/>
      <c r="I3" s="1" t="n"/>
      <c r="J3" s="1" t="n"/>
      <c r="K3" s="1" t="n"/>
      <c r="L3" s="1" t="n"/>
      <c r="M3" s="1" t="n"/>
    </row>
    <row r="4" ht="15" customHeight="1">
      <c r="A4" s="4" t="inlineStr">
        <is>
          <t>Source</t>
        </is>
      </c>
      <c r="B4" s="4" t="inlineStr">
        <is>
          <t>Authority</t>
        </is>
      </c>
      <c r="C4" s="4" t="inlineStr">
        <is>
          <t>Metric / Insight</t>
        </is>
      </c>
      <c r="D4" s="4" t="inlineStr">
        <is>
          <t>Value Used</t>
        </is>
      </c>
      <c r="E4" s="4" t="inlineStr">
        <is>
          <t>URL</t>
        </is>
      </c>
      <c r="F4" s="4" t="inlineStr">
        <is>
          <t>Date / Period</t>
        </is>
      </c>
      <c r="G4" s="4" t="inlineStr">
        <is>
          <t>Production Use</t>
        </is>
      </c>
      <c r="H4" s="4" t="inlineStr">
        <is>
          <t>Caveat</t>
        </is>
      </c>
      <c r="I4" s="1" t="n"/>
      <c r="J4" s="1" t="n"/>
      <c r="K4" s="1" t="n"/>
      <c r="L4" s="1" t="n"/>
      <c r="M4" s="1" t="n"/>
    </row>
    <row r="5" ht="15" customHeight="1">
      <c r="A5" s="3" t="inlineStr">
        <is>
          <t>BLS OEWS</t>
        </is>
      </c>
      <c r="B5" s="3" t="inlineStr">
        <is>
          <t>U.S. Bureau of Labor Statistics</t>
        </is>
      </c>
      <c r="C5" s="3" t="inlineStr">
        <is>
          <t>Occupation and industry wage data</t>
        </is>
      </c>
      <c r="D5" s="3" t="inlineStr">
        <is>
          <t>Dynamic salary defaults</t>
        </is>
      </c>
      <c r="E5" s="3" t="inlineStr">
        <is>
          <t>https://www.bls.gov/oes/tables.htm</t>
        </is>
      </c>
      <c r="F5" s="3" t="inlineStr">
        <is>
          <t>May 2025</t>
        </is>
      </c>
      <c r="G5" s="3" t="inlineStr">
        <is>
          <t>Yes</t>
        </is>
      </c>
      <c r="H5" s="3" t="inlineStr">
        <is>
          <t>Requires occupation/role mapping and update process</t>
        </is>
      </c>
      <c r="I5" s="1" t="n"/>
      <c r="J5" s="1" t="n"/>
      <c r="K5" s="1" t="n"/>
      <c r="L5" s="1" t="n"/>
      <c r="M5" s="1" t="n"/>
    </row>
    <row r="6" ht="30" customHeight="1">
      <c r="A6" s="3" t="inlineStr">
        <is>
          <t>BLS ECEC</t>
        </is>
      </c>
      <c r="B6" s="3" t="inlineStr">
        <is>
          <t>U.S. Bureau of Labor Statistics</t>
        </is>
      </c>
      <c r="C6" s="3" t="inlineStr">
        <is>
          <t>Private-industry wages 69.9% and benefits 30.1% of total employer cost</t>
        </is>
      </c>
      <c r="D6" s="3" t="inlineStr">
        <is>
          <t>1.4306 fully loaded multiplier</t>
        </is>
      </c>
      <c r="E6" s="3" t="inlineStr">
        <is>
          <t>https://www.bls.gov/news.release/pdf/ecec.pdf</t>
        </is>
      </c>
      <c r="F6" s="3" t="inlineStr">
        <is>
          <t>March 2026</t>
        </is>
      </c>
      <c r="G6" s="3" t="inlineStr">
        <is>
          <t>Yes</t>
        </is>
      </c>
      <c r="H6" s="3" t="inlineStr">
        <is>
          <t>National private-industry average (March 2026 release); wage share 69.9% confirmed current Jul 2026.</t>
        </is>
      </c>
      <c r="I6" s="1" t="n"/>
      <c r="J6" s="1" t="n"/>
      <c r="K6" s="1" t="n"/>
      <c r="L6" s="1" t="n"/>
      <c r="M6" s="1" t="n"/>
    </row>
    <row r="7" ht="30" customHeight="1">
      <c r="A7" s="3" t="inlineStr">
        <is>
          <t>BLS JOLTS Table 22</t>
        </is>
      </c>
      <c r="B7" s="3" t="inlineStr">
        <is>
          <t>U.S. Bureau of Labor Statistics</t>
        </is>
      </c>
      <c r="C7" s="3" t="inlineStr">
        <is>
          <t>Quits rates by industry</t>
        </is>
      </c>
      <c r="D7" s="3" t="inlineStr">
        <is>
          <t>Optional industry defaults</t>
        </is>
      </c>
      <c r="E7" s="3" t="inlineStr">
        <is>
          <t>https://www.bls.gov/news.release/jolts.t22.htm</t>
        </is>
      </c>
      <c r="F7" s="3" t="inlineStr">
        <is>
          <t>2025 annual average</t>
        </is>
      </c>
      <c r="G7" s="3" t="inlineStr">
        <is>
          <t>With caution</t>
        </is>
      </c>
      <c r="H7" s="3" t="inlineStr">
        <is>
          <t>Not equivalent to annualized turnover without conversion/definition</t>
        </is>
      </c>
      <c r="I7" s="1" t="n"/>
      <c r="J7" s="1" t="n"/>
      <c r="K7" s="1" t="n"/>
      <c r="L7" s="1" t="n"/>
      <c r="M7" s="1" t="n"/>
    </row>
    <row r="8" ht="30" customHeight="1">
      <c r="A8" s="3" t="inlineStr">
        <is>
          <t>SHRM 2025 Benchmarking</t>
        </is>
      </c>
      <c r="B8" s="3" t="inlineStr">
        <is>
          <t>Society for Human Resource Management</t>
        </is>
      </c>
      <c r="C8" s="3" t="inlineStr">
        <is>
          <t>Average cost per hire</t>
        </is>
      </c>
      <c r="D8" s="3" t="inlineStr">
        <is>
          <t>$5,475 nonexecutive; $35,879 executive</t>
        </is>
      </c>
      <c r="E8" s="3" t="inlineStr">
        <is>
          <t>https://www.shrm.org/about/press-room/shrm-releases-2025-benchmarking-reports--how-does-your-organizat</t>
        </is>
      </c>
      <c r="F8" s="3" t="inlineStr">
        <is>
          <t>2025 survey</t>
        </is>
      </c>
      <c r="G8" s="3" t="inlineStr">
        <is>
          <t>Yes</t>
        </is>
      </c>
      <c r="H8" s="3" t="inlineStr">
        <is>
          <t>$5,475 nonexec / $35,879 exec confirmed against SHRM 2025 benchmarking, Jul 2026.</t>
        </is>
      </c>
      <c r="I8" s="1" t="n"/>
      <c r="J8" s="1" t="n"/>
      <c r="K8" s="1" t="n"/>
      <c r="L8" s="1" t="n"/>
      <c r="M8" s="1" t="n"/>
    </row>
    <row r="9" ht="30" customHeight="1">
      <c r="A9" s="3" t="inlineStr">
        <is>
          <t>SHRM 2026 Recruiting Benchmarking</t>
        </is>
      </c>
      <c r="B9" s="3" t="inlineStr">
        <is>
          <t>Society for Human Resource Management</t>
        </is>
      </c>
      <c r="C9" s="3" t="inlineStr">
        <is>
          <t>Median nonexecutive time to fill</t>
        </is>
      </c>
      <c r="D9" s="3" t="inlineStr">
        <is>
          <t>39 calendar days</t>
        </is>
      </c>
      <c r="E9" s="3" t="inlineStr">
        <is>
          <t>https://www.shrm.org/topics-tools/research/recruiting-benchmarking</t>
        </is>
      </c>
      <c r="F9" s="3" t="inlineStr">
        <is>
          <t>2026</t>
        </is>
      </c>
      <c r="G9" s="3" t="inlineStr">
        <is>
          <t>Yes</t>
        </is>
      </c>
      <c r="H9" s="3" t="inlineStr">
        <is>
          <t>Executive exact figure may require report access</t>
        </is>
      </c>
      <c r="I9" s="1" t="n"/>
      <c r="J9" s="1" t="n"/>
      <c r="K9" s="1" t="n"/>
      <c r="L9" s="1" t="n"/>
      <c r="M9" s="1" t="n"/>
    </row>
    <row r="10" ht="30" customHeight="1">
      <c r="A10" s="3" t="inlineStr">
        <is>
          <t>SHRM Real Costs of Recruitment</t>
        </is>
      </c>
      <c r="B10" s="3" t="inlineStr">
        <is>
          <t>Society for Human Resource Management</t>
        </is>
      </c>
      <c r="C10" s="3" t="inlineStr">
        <is>
          <t>Hard/soft recruiting cost context and productivity disruption</t>
        </is>
      </c>
      <c r="D10" s="3" t="inlineStr">
        <is>
          <t>Methodology context only</t>
        </is>
      </c>
      <c r="E10" s="3" t="inlineStr">
        <is>
          <t>https://www.shrm.org/topics-tools/news/talent-acquisition/real-costs-recruitment</t>
        </is>
      </c>
      <c r="F10" s="3" t="inlineStr">
        <is>
          <t>2022</t>
        </is>
      </c>
      <c r="G10" s="3" t="inlineStr">
        <is>
          <t>Context</t>
        </is>
      </c>
      <c r="H10" s="3" t="inlineStr">
        <is>
          <t>Article includes expert estimates, not a universal formula</t>
        </is>
      </c>
      <c r="I10" s="1" t="n"/>
      <c r="J10" s="1" t="n"/>
      <c r="K10" s="1" t="n"/>
      <c r="L10" s="1" t="n"/>
      <c r="M10" s="1" t="n"/>
    </row>
    <row r="11" ht="30" customHeight="1">
      <c r="A11" s="3" t="inlineStr">
        <is>
          <t>APQC Knowledge Transfer</t>
        </is>
      </c>
      <c r="B11" s="3" t="inlineStr">
        <is>
          <t>APQC</t>
        </is>
      </c>
      <c r="C11" s="3" t="inlineStr">
        <is>
          <t>Definition and barriers of transferring tacit/contextual knowledge</t>
        </is>
      </c>
      <c r="D11" s="3" t="inlineStr">
        <is>
          <t>Category definition</t>
        </is>
      </c>
      <c r="E11" s="3" t="inlineStr">
        <is>
          <t>https://www.apqc.org/blog/what-knowledge-transfer</t>
        </is>
      </c>
      <c r="F11" s="3" t="inlineStr">
        <is>
          <t>2024</t>
        </is>
      </c>
      <c r="G11" s="3" t="inlineStr">
        <is>
          <t>Yes for rationale</t>
        </is>
      </c>
      <c r="H11" s="3" t="inlineStr">
        <is>
          <t>Does not provide universal dollar benchmark</t>
        </is>
      </c>
      <c r="I11" s="1" t="n"/>
      <c r="J11" s="1" t="n"/>
      <c r="K11" s="1" t="n"/>
      <c r="L11" s="1" t="n"/>
      <c r="M11" s="1" t="n"/>
    </row>
    <row r="12" ht="30" customHeight="1">
      <c r="A12" s="3" t="inlineStr">
        <is>
          <t>APQC Great Retirement</t>
        </is>
      </c>
      <c r="B12" s="3" t="inlineStr">
        <is>
          <t>APQC</t>
        </is>
      </c>
      <c r="C12" s="3" t="inlineStr">
        <is>
          <t>Knowledge-capture risk and AI/KM context</t>
        </is>
      </c>
      <c r="D12" s="3" t="inlineStr">
        <is>
          <t>58% worried; 92% inconsistent capture; 85% not operationalized AI</t>
        </is>
      </c>
      <c r="E12" s="3" t="inlineStr">
        <is>
          <t>https://www.apqc.org/about-apqc/news-press-release/apqc-study-warns-looming-great-retirement-crisis-highlights-role-ai</t>
        </is>
      </c>
      <c r="F12" s="3" t="inlineStr">
        <is>
          <t>2025</t>
        </is>
      </c>
      <c r="G12" s="3" t="inlineStr">
        <is>
          <t>Marketing/context</t>
        </is>
      </c>
      <c r="H12" s="3" t="inlineStr">
        <is>
          <t>Survey population and report scope should be disclosed</t>
        </is>
      </c>
      <c r="I12" s="1" t="n"/>
      <c r="J12" s="1" t="n"/>
      <c r="K12" s="1" t="n"/>
      <c r="L12" s="1" t="n"/>
      <c r="M12" s="1" t="n"/>
    </row>
    <row r="13" ht="15" customHeight="1">
      <c r="A13" s="3" t="inlineStr">
        <is>
          <t>Panopto Workplace Knowledge Report</t>
        </is>
      </c>
      <c r="B13" s="3" t="inlineStr">
        <is>
          <t>Panopto (survey, n=1,001)</t>
        </is>
      </c>
      <c r="C13" s="3" t="inlineStr">
        <is>
          <t>42% of institutional knowledge unique to individual; 5.3 hrs/wk lost recreating/waiting</t>
        </is>
      </c>
      <c r="D13" s="3" t="inlineStr">
        <is>
          <t>Reconstruction + knowledge-at-risk defaults</t>
        </is>
      </c>
      <c r="E13" s="3" t="inlineStr">
        <is>
          <t>https://www.panopto.com/company/news/inefficient-knowledge-sharing-costs-large-businesses-47-million-per-year/</t>
        </is>
      </c>
      <c r="F13" s="3" t="inlineStr">
        <is>
          <t>2018</t>
        </is>
      </c>
      <c r="G13" s="3" t="inlineStr">
        <is>
          <t>Research-based</t>
        </is>
      </c>
      <c r="H13" s="3" t="inlineStr">
        <is>
          <t>Self-reported survey; US orgs 200+ employees, 5+ yrs experience</t>
        </is>
      </c>
      <c r="I13" s="1" t="n"/>
      <c r="J13" s="1" t="n"/>
      <c r="K13" s="1" t="n"/>
      <c r="L13" s="1" t="n"/>
      <c r="M13" s="1" t="n"/>
    </row>
    <row r="14" ht="15" customHeight="1">
      <c r="A14" s="3" t="inlineStr">
        <is>
          <t>APQC Knowledge Productivity Survey</t>
        </is>
      </c>
      <c r="B14" s="3" t="inlineStr">
        <is>
          <t>APQC (survey, n=982)</t>
        </is>
      </c>
      <c r="C14" s="3" t="inlineStr">
        <is>
          <t>8.2 hrs/wk looking for, recreating, duplicating information</t>
        </is>
      </c>
      <c r="D14" s="3" t="inlineStr">
        <is>
          <t>Context-rediscovery default</t>
        </is>
      </c>
      <c r="E14" s="3" t="inlineStr">
        <is>
          <t>https://www.apqc.org/blog/km-makes-knowledge-workers-more-productive-and-less-stressed-out</t>
        </is>
      </c>
      <c r="F14" s="3" t="inlineStr">
        <is>
          <t>2021</t>
        </is>
      </c>
      <c r="G14" s="3" t="inlineStr">
        <is>
          <t>Research-based</t>
        </is>
      </c>
      <c r="H14" s="3" t="inlineStr">
        <is>
          <t>Ongoing per-worker average, not a per-departure measure</t>
        </is>
      </c>
      <c r="I14" s="1" t="n"/>
      <c r="J14" s="1" t="n"/>
      <c r="K14" s="1" t="n"/>
      <c r="L14" s="1" t="n"/>
      <c r="M14" s="1" t="n"/>
    </row>
    <row r="15" ht="15" customHeight="1">
      <c r="A15" s="3" t="inlineStr">
        <is>
          <t>McKinsey Global Institute</t>
        </is>
      </c>
      <c r="B15" s="3" t="inlineStr">
        <is>
          <t>McKinsey</t>
        </is>
      </c>
      <c r="C15" s="3" t="inlineStr">
        <is>
          <t>9.3 hrs/wk (~20% of week) searching/gathering information</t>
        </is>
      </c>
      <c r="D15" s="3" t="inlineStr">
        <is>
          <t>Context-rediscovery cross-check</t>
        </is>
      </c>
      <c r="E15" s="3" t="inlineStr">
        <is>
          <t>https://cottrillresearch.com/various-survey-statistics-workers-spend-too-much-time-searching-for-information/</t>
        </is>
      </c>
      <c r="F15" s="3" t="inlineStr">
        <is>
          <t>MGI</t>
        </is>
      </c>
      <c r="G15" s="3" t="inlineStr">
        <is>
          <t>Research-based</t>
        </is>
      </c>
      <c r="H15" s="3" t="inlineStr">
        <is>
          <t>Widely cited; verify primary MGI page before public use</t>
        </is>
      </c>
      <c r="I15" s="1" t="n"/>
      <c r="J15" s="1" t="n"/>
      <c r="K15" s="1" t="n"/>
      <c r="L15" s="1" t="n"/>
      <c r="M15" s="1" t="n"/>
    </row>
    <row r="16" ht="15" customHeight="1">
      <c r="A16" s="3" t="inlineStr">
        <is>
          <t>Gallup Onboarding Research</t>
        </is>
      </c>
      <c r="B16" s="3" t="inlineStr">
        <is>
          <t>Gallup</t>
        </is>
      </c>
      <c r="C16" s="3" t="inlineStr">
        <is>
          <t>~8.2 months median time to full productivity (mid-level); 12+ for many</t>
        </is>
      </c>
      <c r="D16" s="3" t="inlineStr">
        <is>
          <t>Ramp-duration default</t>
        </is>
      </c>
      <c r="E16" s="3" t="inlineStr">
        <is>
          <t>https://www.gallup.com/workplace/246242/essential-ingredients-effective-onboarding-program.aspx</t>
        </is>
      </c>
      <c r="F16" s="3" t="inlineStr">
        <is>
          <t>2024</t>
        </is>
      </c>
      <c r="G16" s="3" t="inlineStr">
        <is>
          <t>Published</t>
        </is>
      </c>
      <c r="H16" s="3" t="inlineStr">
        <is>
          <t>Median; varies widely by role complexity</t>
        </is>
      </c>
      <c r="I16" s="1" t="n"/>
      <c r="J16" s="1" t="n"/>
      <c r="K16" s="1" t="n"/>
      <c r="L16" s="1" t="n"/>
      <c r="M16" s="1" t="n"/>
    </row>
    <row r="17" ht="15" customHeight="1">
      <c r="A17" s="3" t="inlineStr">
        <is>
          <t>Gartner Knowledge Management</t>
        </is>
      </c>
      <c r="B17" s="3" t="inlineStr">
        <is>
          <t>Gartner</t>
        </is>
      </c>
      <c r="C17" s="3" t="inlineStr">
        <is>
          <t>70-80% of enterprise knowledge is tacit (undocumented)</t>
        </is>
      </c>
      <c r="D17" s="3" t="inlineStr">
        <is>
          <t>Documentation-coverage context</t>
        </is>
      </c>
      <c r="E17" s="3" t="inlineStr">
        <is>
          <t>https://www.gartner.com/en/information-technology/glossary/km-knowledge-management</t>
        </is>
      </c>
      <c r="F17" s="3" t="inlineStr">
        <is>
          <t>2024</t>
        </is>
      </c>
      <c r="G17" s="3" t="inlineStr">
        <is>
          <t>Research-based</t>
        </is>
      </c>
      <c r="H17" s="3" t="inlineStr">
        <is>
          <t>Reached via secondary citation; pull primary report for footnote</t>
        </is>
      </c>
      <c r="I17" s="1" t="n"/>
      <c r="J17" s="1" t="n"/>
      <c r="K17" s="1" t="n"/>
      <c r="L17" s="1" t="n"/>
      <c r="M17" s="1" t="n"/>
    </row>
    <row r="18" ht="15" customHeight="1">
      <c r="A18" s="3" t="inlineStr">
        <is>
          <t>PMI Lessons Learned / Talent</t>
        </is>
      </c>
      <c r="B18" s="3" t="inlineStr">
        <is>
          <t>PMI</t>
        </is>
      </c>
      <c r="C18" s="3" t="inlineStr">
        <is>
          <t>78% of high performers say capturing lessons lifts success; 24% delayed an initiative on talent constraints</t>
        </is>
      </c>
      <c r="D18" s="3" t="inlineStr">
        <is>
          <t>Project-disruption context</t>
        </is>
      </c>
      <c r="E18" s="3" t="inlineStr">
        <is>
          <t>https://www.pmi.org/learning/library/business-benefits-value-lessons-learned-7116</t>
        </is>
      </c>
      <c r="F18" s="3" t="inlineStr">
        <is>
          <t>2012-recent</t>
        </is>
      </c>
      <c r="G18" s="3" t="inlineStr">
        <is>
          <t>Research-based</t>
        </is>
      </c>
      <c r="H18" s="3" t="inlineStr">
        <is>
          <t>Measures value of capture, not a reuse rate; 24% figure is from 2012</t>
        </is>
      </c>
      <c r="I18" s="1" t="n"/>
      <c r="J18" s="1" t="n"/>
      <c r="K18" s="1" t="n"/>
      <c r="L18" s="1" t="n"/>
      <c r="M18" s="1" t="n"/>
    </row>
    <row r="19" ht="15" customHeight="1">
      <c r="A19" s="3" t="inlineStr">
        <is>
          <t>Cost-of-Vacancy analyses</t>
        </is>
      </c>
      <c r="B19" s="3" t="inlineStr">
        <is>
          <t>Multiple (Built In, DockYard)</t>
        </is>
      </c>
      <c r="C19" s="3" t="inlineStr">
        <is>
          <t>~$500-1,154/day lost productivity per open role; 2-4x salary for specialists</t>
        </is>
      </c>
      <c r="D19" s="3" t="inlineStr">
        <is>
          <t>Project-delay sanity check</t>
        </is>
      </c>
      <c r="E19" s="3" t="inlineStr">
        <is>
          <t>https://builtin.com/recruiting/cost-of-vacancy</t>
        </is>
      </c>
      <c r="F19" s="3" t="inlineStr">
        <is>
          <t>2024</t>
        </is>
      </c>
      <c r="G19" s="3" t="inlineStr">
        <is>
          <t>Research-based</t>
        </is>
      </c>
      <c r="H19" s="3" t="inlineStr">
        <is>
          <t>Practitioner analyses; use as magnitude check, not formula</t>
        </is>
      </c>
      <c r="I19" s="1" t="n"/>
      <c r="J19" s="1" t="n"/>
      <c r="K19" s="1" t="n"/>
      <c r="L19" s="1" t="n"/>
      <c r="M19" s="1" t="n"/>
    </row>
    <row r="20" ht="15" customHeight="1">
      <c r="A20" s="1" t="n"/>
      <c r="B20" s="1" t="n"/>
      <c r="C20" s="1" t="n"/>
      <c r="D20" s="1" t="n"/>
      <c r="E20" s="1" t="n"/>
      <c r="F20" s="1" t="n"/>
      <c r="G20" s="1" t="n"/>
      <c r="H20" s="1" t="n"/>
      <c r="I20" s="1" t="n"/>
      <c r="J20" s="1" t="n"/>
      <c r="K20" s="1" t="n"/>
      <c r="L20" s="1" t="n"/>
      <c r="M20" s="1" t="n"/>
    </row>
    <row r="21" ht="15" customHeight="1">
      <c r="A21" s="1" t="n"/>
      <c r="B21" s="1" t="n"/>
      <c r="C21" s="1" t="n"/>
      <c r="D21" s="1" t="n"/>
      <c r="E21" s="1" t="n"/>
      <c r="F21" s="1" t="n"/>
      <c r="G21" s="1" t="n"/>
      <c r="H21" s="1" t="n"/>
      <c r="I21" s="1" t="n"/>
      <c r="J21" s="1" t="n"/>
      <c r="K21" s="1" t="n"/>
      <c r="L21" s="1" t="n"/>
      <c r="M21" s="1" t="n"/>
    </row>
    <row r="22" ht="15" customHeight="1">
      <c r="A22" s="1" t="n"/>
      <c r="B22" s="1" t="n"/>
      <c r="C22" s="1" t="n"/>
      <c r="D22" s="1" t="n"/>
      <c r="E22" s="1" t="n"/>
      <c r="F22" s="1" t="n"/>
      <c r="G22" s="1" t="n"/>
      <c r="H22" s="1" t="n"/>
      <c r="I22" s="1" t="n"/>
      <c r="J22" s="1" t="n"/>
      <c r="K22" s="1" t="n"/>
      <c r="L22" s="1" t="n"/>
      <c r="M22" s="1" t="n"/>
    </row>
    <row r="23" ht="15" customHeight="1">
      <c r="A23" s="1" t="n"/>
      <c r="B23" s="1" t="n"/>
      <c r="C23" s="1" t="n"/>
      <c r="D23" s="1" t="n"/>
      <c r="E23" s="1" t="n"/>
      <c r="F23" s="1" t="n"/>
      <c r="G23" s="1" t="n"/>
      <c r="H23" s="1" t="n"/>
      <c r="I23" s="1" t="n"/>
      <c r="J23" s="1" t="n"/>
      <c r="K23" s="1" t="n"/>
      <c r="L23" s="1" t="n"/>
      <c r="M23" s="1" t="n"/>
    </row>
    <row r="24" ht="15" customHeight="1">
      <c r="A24" s="1" t="n"/>
      <c r="B24" s="1" t="n"/>
      <c r="C24" s="1" t="n"/>
      <c r="D24" s="1" t="n"/>
      <c r="E24" s="1" t="n"/>
      <c r="F24" s="1" t="n"/>
      <c r="G24" s="1" t="n"/>
      <c r="H24" s="1" t="n"/>
      <c r="I24" s="1" t="n"/>
      <c r="J24" s="1" t="n"/>
      <c r="K24" s="1" t="n"/>
      <c r="L24" s="1" t="n"/>
      <c r="M24" s="1" t="n"/>
    </row>
    <row r="25" ht="15" customHeight="1">
      <c r="A25" s="1" t="n"/>
      <c r="B25" s="1" t="n"/>
      <c r="C25" s="1" t="n"/>
      <c r="D25" s="1" t="n"/>
      <c r="E25" s="1" t="n"/>
      <c r="F25" s="1" t="n"/>
      <c r="G25" s="1" t="n"/>
      <c r="H25" s="1" t="n"/>
      <c r="I25" s="1" t="n"/>
      <c r="J25" s="1" t="n"/>
      <c r="K25" s="1" t="n"/>
      <c r="L25" s="1" t="n"/>
      <c r="M25" s="1" t="n"/>
    </row>
    <row r="26" ht="15" customHeight="1">
      <c r="A26" s="1" t="n"/>
      <c r="B26" s="1" t="n"/>
      <c r="C26" s="1" t="n"/>
      <c r="D26" s="1" t="n"/>
      <c r="E26" s="1" t="n"/>
      <c r="F26" s="1" t="n"/>
      <c r="G26" s="1" t="n"/>
      <c r="H26" s="1" t="n"/>
      <c r="I26" s="1" t="n"/>
      <c r="J26" s="1" t="n"/>
      <c r="K26" s="1" t="n"/>
      <c r="L26" s="1" t="n"/>
      <c r="M26" s="1" t="n"/>
    </row>
    <row r="27" ht="15" customHeight="1">
      <c r="A27" s="1" t="n"/>
      <c r="B27" s="1" t="n"/>
      <c r="C27" s="1" t="n"/>
      <c r="D27" s="1" t="n"/>
      <c r="E27" s="1" t="n"/>
      <c r="F27" s="1" t="n"/>
      <c r="G27" s="1" t="n"/>
      <c r="H27" s="1" t="n"/>
      <c r="I27" s="1" t="n"/>
      <c r="J27" s="1" t="n"/>
      <c r="K27" s="1" t="n"/>
      <c r="L27" s="1" t="n"/>
      <c r="M27" s="1" t="n"/>
    </row>
    <row r="28" ht="15" customHeight="1">
      <c r="A28" s="1" t="n"/>
      <c r="B28" s="1" t="n"/>
      <c r="C28" s="1" t="n"/>
      <c r="D28" s="1" t="n"/>
      <c r="E28" s="1" t="n"/>
      <c r="F28" s="1" t="n"/>
      <c r="G28" s="1" t="n"/>
      <c r="H28" s="1" t="n"/>
      <c r="I28" s="1" t="n"/>
      <c r="J28" s="1" t="n"/>
      <c r="K28" s="1" t="n"/>
      <c r="L28" s="1" t="n"/>
      <c r="M28" s="1" t="n"/>
    </row>
    <row r="29" ht="15" customHeight="1">
      <c r="A29" s="1" t="n"/>
      <c r="B29" s="1" t="n"/>
      <c r="C29" s="1" t="n"/>
      <c r="D29" s="1" t="n"/>
      <c r="E29" s="1" t="n"/>
      <c r="F29" s="1" t="n"/>
      <c r="G29" s="1" t="n"/>
      <c r="H29" s="1" t="n"/>
      <c r="I29" s="1" t="n"/>
      <c r="J29" s="1" t="n"/>
      <c r="K29" s="1" t="n"/>
      <c r="L29" s="1" t="n"/>
      <c r="M29" s="1" t="n"/>
    </row>
    <row r="30" ht="15" customHeight="1">
      <c r="A30" s="1" t="n"/>
      <c r="B30" s="1" t="n"/>
      <c r="C30" s="1" t="n"/>
      <c r="D30" s="1" t="n"/>
      <c r="E30" s="1" t="n"/>
      <c r="F30" s="1" t="n"/>
      <c r="G30" s="1" t="n"/>
      <c r="H30" s="1" t="n"/>
      <c r="I30" s="1" t="n"/>
      <c r="J30" s="1" t="n"/>
      <c r="K30" s="1" t="n"/>
      <c r="L30" s="1" t="n"/>
      <c r="M30" s="1" t="n"/>
    </row>
    <row r="31" ht="15" customHeight="1">
      <c r="A31" s="1" t="n"/>
      <c r="B31" s="1" t="n"/>
      <c r="C31" s="1" t="n"/>
      <c r="D31" s="1" t="n"/>
      <c r="E31" s="1" t="n"/>
      <c r="F31" s="1" t="n"/>
      <c r="G31" s="1" t="n"/>
      <c r="H31" s="1" t="n"/>
      <c r="I31" s="1" t="n"/>
      <c r="J31" s="1" t="n"/>
      <c r="K31" s="1" t="n"/>
      <c r="L31" s="1" t="n"/>
      <c r="M31" s="1" t="n"/>
    </row>
    <row r="32" ht="15" customHeight="1">
      <c r="A32" s="1" t="n"/>
      <c r="B32" s="1" t="n"/>
      <c r="C32" s="1" t="n"/>
      <c r="D32" s="1" t="n"/>
      <c r="E32" s="1" t="n"/>
      <c r="F32" s="1" t="n"/>
      <c r="G32" s="1" t="n"/>
      <c r="H32" s="1" t="n"/>
      <c r="I32" s="1" t="n"/>
      <c r="J32" s="1" t="n"/>
      <c r="K32" s="1" t="n"/>
      <c r="L32" s="1" t="n"/>
      <c r="M32" s="1" t="n"/>
    </row>
    <row r="33" ht="15" customHeight="1">
      <c r="A33" s="1" t="n"/>
      <c r="B33" s="1" t="n"/>
      <c r="C33" s="1" t="n"/>
      <c r="D33" s="1" t="n"/>
      <c r="E33" s="1" t="n"/>
      <c r="F33" s="1" t="n"/>
      <c r="G33" s="1" t="n"/>
      <c r="H33" s="1" t="n"/>
      <c r="I33" s="1" t="n"/>
      <c r="J33" s="1" t="n"/>
      <c r="K33" s="1" t="n"/>
      <c r="L33" s="1" t="n"/>
      <c r="M33" s="1" t="n"/>
    </row>
    <row r="34" ht="15" customHeight="1">
      <c r="A34" s="1" t="n"/>
      <c r="B34" s="1" t="n"/>
      <c r="C34" s="1" t="n"/>
      <c r="D34" s="1" t="n"/>
      <c r="E34" s="1" t="n"/>
      <c r="F34" s="1" t="n"/>
      <c r="G34" s="1" t="n"/>
      <c r="H34" s="1" t="n"/>
      <c r="I34" s="1" t="n"/>
      <c r="J34" s="1" t="n"/>
      <c r="K34" s="1" t="n"/>
      <c r="L34" s="1" t="n"/>
      <c r="M34" s="1" t="n"/>
    </row>
    <row r="35" ht="15" customHeight="1">
      <c r="A35" s="1" t="n"/>
      <c r="B35" s="1" t="n"/>
      <c r="C35" s="1" t="n"/>
      <c r="D35" s="1" t="n"/>
      <c r="E35" s="1" t="n"/>
      <c r="F35" s="1" t="n"/>
      <c r="G35" s="1" t="n"/>
      <c r="H35" s="1" t="n"/>
      <c r="I35" s="1" t="n"/>
      <c r="J35" s="1" t="n"/>
      <c r="K35" s="1" t="n"/>
      <c r="L35" s="1" t="n"/>
      <c r="M35" s="1" t="n"/>
    </row>
    <row r="36" ht="15" customHeight="1">
      <c r="A36" s="1" t="n"/>
      <c r="B36" s="1" t="n"/>
      <c r="C36" s="1" t="n"/>
      <c r="D36" s="1" t="n"/>
      <c r="E36" s="1" t="n"/>
      <c r="F36" s="1" t="n"/>
      <c r="G36" s="1" t="n"/>
      <c r="H36" s="1" t="n"/>
      <c r="I36" s="1" t="n"/>
      <c r="J36" s="1" t="n"/>
      <c r="K36" s="1" t="n"/>
      <c r="L36" s="1" t="n"/>
      <c r="M36" s="1" t="n"/>
    </row>
    <row r="37" ht="15" customHeight="1">
      <c r="A37" s="1" t="n"/>
      <c r="B37" s="1" t="n"/>
      <c r="C37" s="1" t="n"/>
      <c r="D37" s="1" t="n"/>
      <c r="E37" s="1" t="n"/>
      <c r="F37" s="1" t="n"/>
      <c r="G37" s="1" t="n"/>
      <c r="H37" s="1" t="n"/>
      <c r="I37" s="1" t="n"/>
      <c r="J37" s="1" t="n"/>
      <c r="K37" s="1" t="n"/>
      <c r="L37" s="1" t="n"/>
      <c r="M37" s="1" t="n"/>
    </row>
    <row r="38" ht="15" customHeight="1">
      <c r="A38" s="1" t="n"/>
      <c r="B38" s="1" t="n"/>
      <c r="C38" s="1" t="n"/>
      <c r="D38" s="1" t="n"/>
      <c r="E38" s="1" t="n"/>
      <c r="F38" s="1" t="n"/>
      <c r="G38" s="1" t="n"/>
      <c r="H38" s="1" t="n"/>
      <c r="I38" s="1" t="n"/>
      <c r="J38" s="1" t="n"/>
      <c r="K38" s="1" t="n"/>
      <c r="L38" s="1" t="n"/>
      <c r="M38" s="1" t="n"/>
    </row>
    <row r="39" ht="15" customHeight="1">
      <c r="A39" s="1" t="n"/>
      <c r="B39" s="1" t="n"/>
      <c r="C39" s="1" t="n"/>
      <c r="D39" s="1" t="n"/>
      <c r="E39" s="1" t="n"/>
      <c r="F39" s="1" t="n"/>
      <c r="G39" s="1" t="n"/>
      <c r="H39" s="1" t="n"/>
      <c r="I39" s="1" t="n"/>
      <c r="J39" s="1" t="n"/>
      <c r="K39" s="1" t="n"/>
      <c r="L39" s="1" t="n"/>
      <c r="M39" s="1" t="n"/>
    </row>
    <row r="40" ht="15" customHeight="1">
      <c r="A40" s="1" t="n"/>
      <c r="B40" s="1" t="n"/>
      <c r="C40" s="1" t="n"/>
      <c r="D40" s="1" t="n"/>
      <c r="E40" s="1" t="n"/>
      <c r="F40" s="1" t="n"/>
      <c r="G40" s="1" t="n"/>
      <c r="H40" s="1" t="n"/>
      <c r="I40" s="1" t="n"/>
      <c r="J40" s="1" t="n"/>
      <c r="K40" s="1" t="n"/>
      <c r="L40" s="1" t="n"/>
      <c r="M40" s="1" t="n"/>
    </row>
    <row r="41" ht="15" customHeight="1">
      <c r="A41" s="1" t="n"/>
      <c r="B41" s="1" t="n"/>
      <c r="C41" s="1" t="n"/>
      <c r="D41" s="1" t="n"/>
      <c r="E41" s="1" t="n"/>
      <c r="F41" s="1" t="n"/>
      <c r="G41" s="1" t="n"/>
      <c r="H41" s="1" t="n"/>
      <c r="I41" s="1" t="n"/>
      <c r="J41" s="1" t="n"/>
      <c r="K41" s="1" t="n"/>
      <c r="L41" s="1" t="n"/>
      <c r="M41" s="1" t="n"/>
    </row>
    <row r="42" ht="15" customHeight="1">
      <c r="A42" s="1" t="n"/>
      <c r="B42" s="1" t="n"/>
      <c r="C42" s="1" t="n"/>
      <c r="D42" s="1" t="n"/>
      <c r="E42" s="1" t="n"/>
      <c r="F42" s="1" t="n"/>
      <c r="G42" s="1" t="n"/>
      <c r="H42" s="1" t="n"/>
      <c r="I42" s="1" t="n"/>
      <c r="J42" s="1" t="n"/>
      <c r="K42" s="1" t="n"/>
      <c r="L42" s="1" t="n"/>
      <c r="M42" s="1" t="n"/>
    </row>
    <row r="43" ht="15" customHeight="1">
      <c r="A43" s="1" t="n"/>
      <c r="B43" s="1" t="n"/>
      <c r="C43" s="1" t="n"/>
      <c r="D43" s="1" t="n"/>
      <c r="E43" s="1" t="n"/>
      <c r="F43" s="1" t="n"/>
      <c r="G43" s="1" t="n"/>
      <c r="H43" s="1" t="n"/>
      <c r="I43" s="1" t="n"/>
      <c r="J43" s="1" t="n"/>
      <c r="K43" s="1" t="n"/>
      <c r="L43" s="1" t="n"/>
      <c r="M43" s="1" t="n"/>
    </row>
    <row r="44" ht="15" customHeight="1">
      <c r="A44" s="1" t="n"/>
      <c r="B44" s="1" t="n"/>
      <c r="C44" s="1" t="n"/>
      <c r="D44" s="1" t="n"/>
      <c r="E44" s="1" t="n"/>
      <c r="F44" s="1" t="n"/>
      <c r="G44" s="1" t="n"/>
      <c r="H44" s="1" t="n"/>
      <c r="I44" s="1" t="n"/>
      <c r="J44" s="1" t="n"/>
      <c r="K44" s="1" t="n"/>
      <c r="L44" s="1" t="n"/>
      <c r="M44" s="1" t="n"/>
    </row>
    <row r="45" ht="15" customHeight="1">
      <c r="A45" s="1" t="n"/>
      <c r="B45" s="1" t="n"/>
      <c r="C45" s="1" t="n"/>
      <c r="D45" s="1" t="n"/>
      <c r="E45" s="1" t="n"/>
      <c r="F45" s="1" t="n"/>
      <c r="G45" s="1" t="n"/>
      <c r="H45" s="1" t="n"/>
      <c r="I45" s="1" t="n"/>
      <c r="J45" s="1" t="n"/>
      <c r="K45" s="1" t="n"/>
      <c r="L45" s="1" t="n"/>
      <c r="M45" s="1" t="n"/>
    </row>
    <row r="46" ht="15" customHeight="1">
      <c r="A46" s="1" t="n"/>
      <c r="B46" s="1" t="n"/>
      <c r="C46" s="1" t="n"/>
      <c r="D46" s="1" t="n"/>
      <c r="E46" s="1" t="n"/>
      <c r="F46" s="1" t="n"/>
      <c r="G46" s="1" t="n"/>
      <c r="H46" s="1" t="n"/>
      <c r="I46" s="1" t="n"/>
      <c r="J46" s="1" t="n"/>
      <c r="K46" s="1" t="n"/>
      <c r="L46" s="1" t="n"/>
      <c r="M46" s="1" t="n"/>
    </row>
    <row r="47" ht="15" customHeight="1">
      <c r="A47" s="1" t="n"/>
      <c r="B47" s="1" t="n"/>
      <c r="C47" s="1" t="n"/>
      <c r="D47" s="1" t="n"/>
      <c r="E47" s="1" t="n"/>
      <c r="F47" s="1" t="n"/>
      <c r="G47" s="1" t="n"/>
      <c r="H47" s="1" t="n"/>
      <c r="I47" s="1" t="n"/>
      <c r="J47" s="1" t="n"/>
      <c r="K47" s="1" t="n"/>
      <c r="L47" s="1" t="n"/>
      <c r="M47" s="1" t="n"/>
    </row>
    <row r="48" ht="15" customHeight="1">
      <c r="A48" s="1" t="n"/>
      <c r="B48" s="1" t="n"/>
      <c r="C48" s="1" t="n"/>
      <c r="D48" s="1" t="n"/>
      <c r="E48" s="1" t="n"/>
      <c r="F48" s="1" t="n"/>
      <c r="G48" s="1" t="n"/>
      <c r="H48" s="1" t="n"/>
      <c r="I48" s="1" t="n"/>
      <c r="J48" s="1" t="n"/>
      <c r="K48" s="1" t="n"/>
      <c r="L48" s="1" t="n"/>
      <c r="M48" s="1" t="n"/>
    </row>
    <row r="49" ht="15" customHeight="1">
      <c r="A49" s="1" t="n"/>
      <c r="B49" s="1" t="n"/>
      <c r="C49" s="1" t="n"/>
      <c r="D49" s="1" t="n"/>
      <c r="E49" s="1" t="n"/>
      <c r="F49" s="1" t="n"/>
      <c r="G49" s="1" t="n"/>
      <c r="H49" s="1" t="n"/>
      <c r="I49" s="1" t="n"/>
      <c r="J49" s="1" t="n"/>
      <c r="K49" s="1" t="n"/>
      <c r="L49" s="1" t="n"/>
      <c r="M49" s="1" t="n"/>
    </row>
    <row r="50" ht="15" customHeight="1">
      <c r="A50" s="1" t="n"/>
      <c r="B50" s="1" t="n"/>
      <c r="C50" s="1" t="n"/>
      <c r="D50" s="1" t="n"/>
      <c r="E50" s="1" t="n"/>
      <c r="F50" s="1" t="n"/>
      <c r="G50" s="1" t="n"/>
      <c r="H50" s="1" t="n"/>
      <c r="I50" s="1" t="n"/>
      <c r="J50" s="1" t="n"/>
      <c r="K50" s="1" t="n"/>
      <c r="L50" s="1" t="n"/>
      <c r="M50" s="1" t="n"/>
    </row>
    <row r="51" ht="15" customHeight="1">
      <c r="A51" s="1" t="n"/>
      <c r="B51" s="1" t="n"/>
      <c r="C51" s="1" t="n"/>
      <c r="D51" s="1" t="n"/>
      <c r="E51" s="1" t="n"/>
      <c r="F51" s="1" t="n"/>
      <c r="G51" s="1" t="n"/>
      <c r="H51" s="1" t="n"/>
      <c r="I51" s="1" t="n"/>
      <c r="J51" s="1" t="n"/>
      <c r="K51" s="1" t="n"/>
      <c r="L51" s="1" t="n"/>
      <c r="M51" s="1" t="n"/>
    </row>
    <row r="52" ht="15" customHeight="1">
      <c r="A52" s="1" t="n"/>
      <c r="B52" s="1" t="n"/>
      <c r="C52" s="1" t="n"/>
      <c r="D52" s="1" t="n"/>
      <c r="E52" s="1" t="n"/>
      <c r="F52" s="1" t="n"/>
      <c r="G52" s="1" t="n"/>
      <c r="H52" s="1" t="n"/>
      <c r="I52" s="1" t="n"/>
      <c r="J52" s="1" t="n"/>
      <c r="K52" s="1" t="n"/>
      <c r="L52" s="1" t="n"/>
      <c r="M52" s="1" t="n"/>
    </row>
    <row r="53" ht="15" customHeight="1">
      <c r="A53" s="1" t="n"/>
      <c r="B53" s="1" t="n"/>
      <c r="C53" s="1" t="n"/>
      <c r="D53" s="1" t="n"/>
      <c r="E53" s="1" t="n"/>
      <c r="F53" s="1" t="n"/>
      <c r="G53" s="1" t="n"/>
      <c r="H53" s="1" t="n"/>
      <c r="I53" s="1" t="n"/>
      <c r="J53" s="1" t="n"/>
      <c r="K53" s="1" t="n"/>
      <c r="L53" s="1" t="n"/>
      <c r="M53" s="1" t="n"/>
    </row>
    <row r="54" ht="15" customHeight="1">
      <c r="A54" s="1" t="n"/>
      <c r="B54" s="1" t="n"/>
      <c r="C54" s="1" t="n"/>
      <c r="D54" s="1" t="n"/>
      <c r="E54" s="1" t="n"/>
      <c r="F54" s="1" t="n"/>
      <c r="G54" s="1" t="n"/>
      <c r="H54" s="1" t="n"/>
      <c r="I54" s="1" t="n"/>
      <c r="J54" s="1" t="n"/>
      <c r="K54" s="1" t="n"/>
      <c r="L54" s="1" t="n"/>
      <c r="M54" s="1" t="n"/>
    </row>
    <row r="55" ht="15" customHeight="1">
      <c r="A55" s="1" t="n"/>
      <c r="B55" s="1" t="n"/>
      <c r="C55" s="1" t="n"/>
      <c r="D55" s="1" t="n"/>
      <c r="E55" s="1" t="n"/>
      <c r="F55" s="1" t="n"/>
      <c r="G55" s="1" t="n"/>
      <c r="H55" s="1" t="n"/>
      <c r="I55" s="1" t="n"/>
      <c r="J55" s="1" t="n"/>
      <c r="K55" s="1" t="n"/>
      <c r="L55" s="1" t="n"/>
      <c r="M55" s="1" t="n"/>
    </row>
    <row r="56" ht="15" customHeight="1">
      <c r="A56" s="1" t="n"/>
      <c r="B56" s="1" t="n"/>
      <c r="C56" s="1" t="n"/>
      <c r="D56" s="1" t="n"/>
      <c r="E56" s="1" t="n"/>
      <c r="F56" s="1" t="n"/>
      <c r="G56" s="1" t="n"/>
      <c r="H56" s="1" t="n"/>
      <c r="I56" s="1" t="n"/>
      <c r="J56" s="1" t="n"/>
      <c r="K56" s="1" t="n"/>
      <c r="L56" s="1" t="n"/>
      <c r="M56" s="1" t="n"/>
    </row>
    <row r="57" ht="15" customHeight="1">
      <c r="A57" s="1" t="n"/>
      <c r="B57" s="1" t="n"/>
      <c r="C57" s="1" t="n"/>
      <c r="D57" s="1" t="n"/>
      <c r="E57" s="1" t="n"/>
      <c r="F57" s="1" t="n"/>
      <c r="G57" s="1" t="n"/>
      <c r="H57" s="1" t="n"/>
      <c r="I57" s="1" t="n"/>
      <c r="J57" s="1" t="n"/>
      <c r="K57" s="1" t="n"/>
      <c r="L57" s="1" t="n"/>
      <c r="M57" s="1" t="n"/>
    </row>
    <row r="58" ht="15" customHeight="1">
      <c r="A58" s="1" t="n"/>
      <c r="B58" s="1" t="n"/>
      <c r="C58" s="1" t="n"/>
      <c r="D58" s="1" t="n"/>
      <c r="E58" s="1" t="n"/>
      <c r="F58" s="1" t="n"/>
      <c r="G58" s="1" t="n"/>
      <c r="H58" s="1" t="n"/>
      <c r="I58" s="1" t="n"/>
      <c r="J58" s="1" t="n"/>
      <c r="K58" s="1" t="n"/>
      <c r="L58" s="1" t="n"/>
      <c r="M58" s="1" t="n"/>
    </row>
    <row r="59" ht="15" customHeight="1">
      <c r="A59" s="1" t="n"/>
      <c r="B59" s="1" t="n"/>
      <c r="C59" s="1" t="n"/>
      <c r="D59" s="1" t="n"/>
      <c r="E59" s="1" t="n"/>
      <c r="F59" s="1" t="n"/>
      <c r="G59" s="1" t="n"/>
      <c r="H59" s="1" t="n"/>
      <c r="I59" s="1" t="n"/>
      <c r="J59" s="1" t="n"/>
      <c r="K59" s="1" t="n"/>
      <c r="L59" s="1" t="n"/>
      <c r="M59" s="1" t="n"/>
    </row>
    <row r="60" ht="15" customHeight="1">
      <c r="A60" s="1" t="n"/>
      <c r="B60" s="1" t="n"/>
      <c r="C60" s="1" t="n"/>
      <c r="D60" s="1" t="n"/>
      <c r="E60" s="1" t="n"/>
      <c r="F60" s="1" t="n"/>
      <c r="G60" s="1" t="n"/>
      <c r="H60" s="1" t="n"/>
      <c r="I60" s="1" t="n"/>
      <c r="J60" s="1" t="n"/>
      <c r="K60" s="1" t="n"/>
      <c r="L60" s="1" t="n"/>
      <c r="M60" s="1" t="n"/>
    </row>
    <row r="61" ht="15" customHeight="1">
      <c r="A61" s="1" t="n"/>
      <c r="B61" s="1" t="n"/>
      <c r="C61" s="1" t="n"/>
      <c r="D61" s="1" t="n"/>
      <c r="E61" s="1" t="n"/>
      <c r="F61" s="1" t="n"/>
      <c r="G61" s="1" t="n"/>
      <c r="H61" s="1" t="n"/>
      <c r="I61" s="1" t="n"/>
      <c r="J61" s="1" t="n"/>
      <c r="K61" s="1" t="n"/>
      <c r="L61" s="1" t="n"/>
      <c r="M61" s="1" t="n"/>
    </row>
    <row r="62" ht="15" customHeight="1">
      <c r="A62" s="1" t="n"/>
      <c r="B62" s="1" t="n"/>
      <c r="C62" s="1" t="n"/>
      <c r="D62" s="1" t="n"/>
      <c r="E62" s="1" t="n"/>
      <c r="F62" s="1" t="n"/>
      <c r="G62" s="1" t="n"/>
      <c r="H62" s="1" t="n"/>
      <c r="I62" s="1" t="n"/>
      <c r="J62" s="1" t="n"/>
      <c r="K62" s="1" t="n"/>
      <c r="L62" s="1" t="n"/>
      <c r="M62" s="1" t="n"/>
    </row>
    <row r="63" ht="15" customHeight="1">
      <c r="A63" s="1" t="n"/>
      <c r="B63" s="1" t="n"/>
      <c r="C63" s="1" t="n"/>
      <c r="D63" s="1" t="n"/>
      <c r="E63" s="1" t="n"/>
      <c r="F63" s="1" t="n"/>
      <c r="G63" s="1" t="n"/>
      <c r="H63" s="1" t="n"/>
      <c r="I63" s="1" t="n"/>
      <c r="J63" s="1" t="n"/>
      <c r="K63" s="1" t="n"/>
      <c r="L63" s="1" t="n"/>
      <c r="M63" s="1" t="n"/>
    </row>
    <row r="64" ht="15" customHeight="1">
      <c r="A64" s="1" t="n"/>
      <c r="B64" s="1" t="n"/>
      <c r="C64" s="1" t="n"/>
      <c r="D64" s="1" t="n"/>
      <c r="E64" s="1" t="n"/>
      <c r="F64" s="1" t="n"/>
      <c r="G64" s="1" t="n"/>
      <c r="H64" s="1" t="n"/>
      <c r="I64" s="1" t="n"/>
      <c r="J64" s="1" t="n"/>
      <c r="K64" s="1" t="n"/>
      <c r="L64" s="1" t="n"/>
      <c r="M64" s="1" t="n"/>
    </row>
    <row r="65" ht="15" customHeight="1">
      <c r="A65" s="1" t="n"/>
      <c r="B65" s="1" t="n"/>
      <c r="C65" s="1" t="n"/>
      <c r="D65" s="1" t="n"/>
      <c r="E65" s="1" t="n"/>
      <c r="F65" s="1" t="n"/>
      <c r="G65" s="1" t="n"/>
      <c r="H65" s="1" t="n"/>
      <c r="I65" s="1" t="n"/>
      <c r="J65" s="1" t="n"/>
      <c r="K65" s="1" t="n"/>
      <c r="L65" s="1" t="n"/>
      <c r="M65" s="1" t="n"/>
    </row>
    <row r="66" ht="15" customHeight="1">
      <c r="A66" s="1" t="n"/>
      <c r="B66" s="1" t="n"/>
      <c r="C66" s="1" t="n"/>
      <c r="D66" s="1" t="n"/>
      <c r="E66" s="1" t="n"/>
      <c r="F66" s="1" t="n"/>
      <c r="G66" s="1" t="n"/>
      <c r="H66" s="1" t="n"/>
      <c r="I66" s="1" t="n"/>
      <c r="J66" s="1" t="n"/>
      <c r="K66" s="1" t="n"/>
      <c r="L66" s="1" t="n"/>
      <c r="M66" s="1" t="n"/>
    </row>
    <row r="67" ht="15" customHeight="1">
      <c r="A67" s="1" t="n"/>
      <c r="B67" s="1" t="n"/>
      <c r="C67" s="1" t="n"/>
      <c r="D67" s="1" t="n"/>
      <c r="E67" s="1" t="n"/>
      <c r="F67" s="1" t="n"/>
      <c r="G67" s="1" t="n"/>
      <c r="H67" s="1" t="n"/>
      <c r="I67" s="1" t="n"/>
      <c r="J67" s="1" t="n"/>
      <c r="K67" s="1" t="n"/>
      <c r="L67" s="1" t="n"/>
      <c r="M67" s="1" t="n"/>
    </row>
    <row r="68" ht="15" customHeight="1">
      <c r="A68" s="1" t="n"/>
      <c r="B68" s="1" t="n"/>
      <c r="C68" s="1" t="n"/>
      <c r="D68" s="1" t="n"/>
      <c r="E68" s="1" t="n"/>
      <c r="F68" s="1" t="n"/>
      <c r="G68" s="1" t="n"/>
      <c r="H68" s="1" t="n"/>
      <c r="I68" s="1" t="n"/>
      <c r="J68" s="1" t="n"/>
      <c r="K68" s="1" t="n"/>
      <c r="L68" s="1" t="n"/>
      <c r="M68" s="1" t="n"/>
    </row>
    <row r="69" ht="15" customHeight="1">
      <c r="A69" s="1" t="n"/>
      <c r="B69" s="1" t="n"/>
      <c r="C69" s="1" t="n"/>
      <c r="D69" s="1" t="n"/>
      <c r="E69" s="1" t="n"/>
      <c r="F69" s="1" t="n"/>
      <c r="G69" s="1" t="n"/>
      <c r="H69" s="1" t="n"/>
      <c r="I69" s="1" t="n"/>
      <c r="J69" s="1" t="n"/>
      <c r="K69" s="1" t="n"/>
      <c r="L69" s="1" t="n"/>
      <c r="M69" s="1" t="n"/>
    </row>
    <row r="70" ht="15" customHeight="1">
      <c r="A70" s="1" t="n"/>
      <c r="B70" s="1" t="n"/>
      <c r="C70" s="1" t="n"/>
      <c r="D70" s="1" t="n"/>
      <c r="E70" s="1" t="n"/>
      <c r="F70" s="1" t="n"/>
      <c r="G70" s="1" t="n"/>
      <c r="H70" s="1" t="n"/>
      <c r="I70" s="1" t="n"/>
      <c r="J70" s="1" t="n"/>
      <c r="K70" s="1" t="n"/>
      <c r="L70" s="1" t="n"/>
      <c r="M70" s="1" t="n"/>
    </row>
    <row r="71" ht="15" customHeight="1">
      <c r="A71" s="1" t="n"/>
      <c r="B71" s="1" t="n"/>
      <c r="C71" s="1" t="n"/>
      <c r="D71" s="1" t="n"/>
      <c r="E71" s="1" t="n"/>
      <c r="F71" s="1" t="n"/>
      <c r="G71" s="1" t="n"/>
      <c r="H71" s="1" t="n"/>
      <c r="I71" s="1" t="n"/>
      <c r="J71" s="1" t="n"/>
      <c r="K71" s="1" t="n"/>
      <c r="L71" s="1" t="n"/>
      <c r="M71" s="1" t="n"/>
    </row>
    <row r="72" ht="15" customHeight="1">
      <c r="A72" s="1" t="n"/>
      <c r="B72" s="1" t="n"/>
      <c r="C72" s="1" t="n"/>
      <c r="D72" s="1" t="n"/>
      <c r="E72" s="1" t="n"/>
      <c r="F72" s="1" t="n"/>
      <c r="G72" s="1" t="n"/>
      <c r="H72" s="1" t="n"/>
      <c r="I72" s="1" t="n"/>
      <c r="J72" s="1" t="n"/>
      <c r="K72" s="1" t="n"/>
      <c r="L72" s="1" t="n"/>
      <c r="M72" s="1" t="n"/>
    </row>
    <row r="73" ht="15" customHeight="1">
      <c r="A73" s="1" t="n"/>
      <c r="B73" s="1" t="n"/>
      <c r="C73" s="1" t="n"/>
      <c r="D73" s="1" t="n"/>
      <c r="E73" s="1" t="n"/>
      <c r="F73" s="1" t="n"/>
      <c r="G73" s="1" t="n"/>
      <c r="H73" s="1" t="n"/>
      <c r="I73" s="1" t="n"/>
      <c r="J73" s="1" t="n"/>
      <c r="K73" s="1" t="n"/>
      <c r="L73" s="1" t="n"/>
      <c r="M73" s="1" t="n"/>
    </row>
    <row r="74" ht="15" customHeight="1">
      <c r="A74" s="1" t="n"/>
      <c r="B74" s="1" t="n"/>
      <c r="C74" s="1" t="n"/>
      <c r="D74" s="1" t="n"/>
      <c r="E74" s="1" t="n"/>
      <c r="F74" s="1" t="n"/>
      <c r="G74" s="1" t="n"/>
      <c r="H74" s="1" t="n"/>
      <c r="I74" s="1" t="n"/>
      <c r="J74" s="1" t="n"/>
      <c r="K74" s="1" t="n"/>
      <c r="L74" s="1" t="n"/>
      <c r="M74" s="1" t="n"/>
    </row>
    <row r="75" ht="15" customHeight="1">
      <c r="A75" s="1" t="n"/>
      <c r="B75" s="1" t="n"/>
      <c r="C75" s="1" t="n"/>
      <c r="D75" s="1" t="n"/>
      <c r="E75" s="1" t="n"/>
      <c r="F75" s="1" t="n"/>
      <c r="G75" s="1" t="n"/>
      <c r="H75" s="1" t="n"/>
      <c r="I75" s="1" t="n"/>
      <c r="J75" s="1" t="n"/>
      <c r="K75" s="1" t="n"/>
      <c r="L75" s="1" t="n"/>
      <c r="M75" s="1" t="n"/>
    </row>
    <row r="76" ht="15" customHeight="1">
      <c r="A76" s="1" t="n"/>
      <c r="B76" s="1" t="n"/>
      <c r="C76" s="1" t="n"/>
      <c r="D76" s="1" t="n"/>
      <c r="E76" s="1" t="n"/>
      <c r="F76" s="1" t="n"/>
      <c r="G76" s="1" t="n"/>
      <c r="H76" s="1" t="n"/>
      <c r="I76" s="1" t="n"/>
      <c r="J76" s="1" t="n"/>
      <c r="K76" s="1" t="n"/>
      <c r="L76" s="1" t="n"/>
      <c r="M76" s="1" t="n"/>
    </row>
    <row r="77" ht="15" customHeight="1">
      <c r="A77" s="1" t="n"/>
      <c r="B77" s="1" t="n"/>
      <c r="C77" s="1" t="n"/>
      <c r="D77" s="1" t="n"/>
      <c r="E77" s="1" t="n"/>
      <c r="F77" s="1" t="n"/>
      <c r="G77" s="1" t="n"/>
      <c r="H77" s="1" t="n"/>
      <c r="I77" s="1" t="n"/>
      <c r="J77" s="1" t="n"/>
      <c r="K77" s="1" t="n"/>
      <c r="L77" s="1" t="n"/>
      <c r="M77" s="1" t="n"/>
    </row>
    <row r="78" ht="15" customHeight="1">
      <c r="A78" s="1" t="n"/>
      <c r="B78" s="1" t="n"/>
      <c r="C78" s="1" t="n"/>
      <c r="D78" s="1" t="n"/>
      <c r="E78" s="1" t="n"/>
      <c r="F78" s="1" t="n"/>
      <c r="G78" s="1" t="n"/>
      <c r="H78" s="1" t="n"/>
      <c r="I78" s="1" t="n"/>
      <c r="J78" s="1" t="n"/>
      <c r="K78" s="1" t="n"/>
      <c r="L78" s="1" t="n"/>
      <c r="M78" s="1" t="n"/>
    </row>
    <row r="79" ht="15" customHeight="1">
      <c r="A79" s="1" t="n"/>
      <c r="B79" s="1" t="n"/>
      <c r="C79" s="1" t="n"/>
      <c r="D79" s="1" t="n"/>
      <c r="E79" s="1" t="n"/>
      <c r="F79" s="1" t="n"/>
      <c r="G79" s="1" t="n"/>
      <c r="H79" s="1" t="n"/>
      <c r="I79" s="1" t="n"/>
      <c r="J79" s="1" t="n"/>
      <c r="K79" s="1" t="n"/>
      <c r="L79" s="1" t="n"/>
      <c r="M79" s="1" t="n"/>
    </row>
    <row r="80" ht="15" customHeight="1">
      <c r="A80" s="1" t="n"/>
      <c r="B80" s="1" t="n"/>
      <c r="C80" s="1" t="n"/>
      <c r="D80" s="1" t="n"/>
      <c r="E80" s="1" t="n"/>
      <c r="F80" s="1" t="n"/>
      <c r="G80" s="1" t="n"/>
      <c r="H80" s="1" t="n"/>
      <c r="I80" s="1" t="n"/>
      <c r="J80" s="1" t="n"/>
      <c r="K80" s="1" t="n"/>
      <c r="L80" s="1" t="n"/>
      <c r="M80" s="1" t="n"/>
    </row>
    <row r="81" ht="15" customHeight="1">
      <c r="A81" s="1" t="n"/>
      <c r="B81" s="1" t="n"/>
      <c r="C81" s="1" t="n"/>
      <c r="D81" s="1" t="n"/>
      <c r="E81" s="1" t="n"/>
      <c r="F81" s="1" t="n"/>
      <c r="G81" s="1" t="n"/>
      <c r="H81" s="1" t="n"/>
      <c r="I81" s="1" t="n"/>
      <c r="J81" s="1" t="n"/>
      <c r="K81" s="1" t="n"/>
      <c r="L81" s="1" t="n"/>
      <c r="M81" s="1" t="n"/>
    </row>
    <row r="82" ht="15" customHeight="1">
      <c r="A82" s="1" t="n"/>
      <c r="B82" s="1" t="n"/>
      <c r="C82" s="1" t="n"/>
      <c r="D82" s="1" t="n"/>
      <c r="E82" s="1" t="n"/>
      <c r="F82" s="1" t="n"/>
      <c r="G82" s="1" t="n"/>
      <c r="H82" s="1" t="n"/>
      <c r="I82" s="1" t="n"/>
      <c r="J82" s="1" t="n"/>
      <c r="K82" s="1" t="n"/>
      <c r="L82" s="1" t="n"/>
      <c r="M82" s="1" t="n"/>
    </row>
    <row r="83" ht="15" customHeight="1">
      <c r="A83" s="1" t="n"/>
      <c r="B83" s="1" t="n"/>
      <c r="C83" s="1" t="n"/>
      <c r="D83" s="1" t="n"/>
      <c r="E83" s="1" t="n"/>
      <c r="F83" s="1" t="n"/>
      <c r="G83" s="1" t="n"/>
      <c r="H83" s="1" t="n"/>
      <c r="I83" s="1" t="n"/>
      <c r="J83" s="1" t="n"/>
      <c r="K83" s="1" t="n"/>
      <c r="L83" s="1" t="n"/>
      <c r="M83" s="1" t="n"/>
    </row>
    <row r="84" ht="15" customHeight="1">
      <c r="A84" s="1" t="n"/>
      <c r="B84" s="1" t="n"/>
      <c r="C84" s="1" t="n"/>
      <c r="D84" s="1" t="n"/>
      <c r="E84" s="1" t="n"/>
      <c r="F84" s="1" t="n"/>
      <c r="G84" s="1" t="n"/>
      <c r="H84" s="1" t="n"/>
      <c r="I84" s="1" t="n"/>
      <c r="J84" s="1" t="n"/>
      <c r="K84" s="1" t="n"/>
      <c r="L84" s="1" t="n"/>
      <c r="M84" s="1" t="n"/>
    </row>
    <row r="85" ht="15" customHeight="1">
      <c r="A85" s="1" t="n"/>
      <c r="B85" s="1" t="n"/>
      <c r="C85" s="1" t="n"/>
      <c r="D85" s="1" t="n"/>
      <c r="E85" s="1" t="n"/>
      <c r="F85" s="1" t="n"/>
      <c r="G85" s="1" t="n"/>
      <c r="H85" s="1" t="n"/>
      <c r="I85" s="1" t="n"/>
      <c r="J85" s="1" t="n"/>
      <c r="K85" s="1" t="n"/>
      <c r="L85" s="1" t="n"/>
      <c r="M85" s="1" t="n"/>
    </row>
    <row r="86" ht="15" customHeight="1">
      <c r="A86" s="1" t="n"/>
      <c r="B86" s="1" t="n"/>
      <c r="C86" s="1" t="n"/>
      <c r="D86" s="1" t="n"/>
      <c r="E86" s="1" t="n"/>
      <c r="F86" s="1" t="n"/>
      <c r="G86" s="1" t="n"/>
      <c r="H86" s="1" t="n"/>
      <c r="I86" s="1" t="n"/>
      <c r="J86" s="1" t="n"/>
      <c r="K86" s="1" t="n"/>
      <c r="L86" s="1" t="n"/>
      <c r="M86" s="1" t="n"/>
    </row>
    <row r="87" ht="15" customHeight="1">
      <c r="A87" s="1" t="n"/>
      <c r="B87" s="1" t="n"/>
      <c r="C87" s="1" t="n"/>
      <c r="D87" s="1" t="n"/>
      <c r="E87" s="1" t="n"/>
      <c r="F87" s="1" t="n"/>
      <c r="G87" s="1" t="n"/>
      <c r="H87" s="1" t="n"/>
      <c r="I87" s="1" t="n"/>
      <c r="J87" s="1" t="n"/>
      <c r="K87" s="1" t="n"/>
      <c r="L87" s="1" t="n"/>
      <c r="M87" s="1" t="n"/>
    </row>
    <row r="88" ht="15" customHeight="1">
      <c r="A88" s="1" t="n"/>
      <c r="B88" s="1" t="n"/>
      <c r="C88" s="1" t="n"/>
      <c r="D88" s="1" t="n"/>
      <c r="E88" s="1" t="n"/>
      <c r="F88" s="1" t="n"/>
      <c r="G88" s="1" t="n"/>
      <c r="H88" s="1" t="n"/>
      <c r="I88" s="1" t="n"/>
      <c r="J88" s="1" t="n"/>
      <c r="K88" s="1" t="n"/>
      <c r="L88" s="1" t="n"/>
      <c r="M88" s="1" t="n"/>
    </row>
    <row r="89" ht="15" customHeight="1">
      <c r="A89" s="1" t="n"/>
      <c r="B89" s="1" t="n"/>
      <c r="C89" s="1" t="n"/>
      <c r="D89" s="1" t="n"/>
      <c r="E89" s="1" t="n"/>
      <c r="F89" s="1" t="n"/>
      <c r="G89" s="1" t="n"/>
      <c r="H89" s="1" t="n"/>
      <c r="I89" s="1" t="n"/>
      <c r="J89" s="1" t="n"/>
      <c r="K89" s="1" t="n"/>
      <c r="L89" s="1" t="n"/>
      <c r="M89" s="1" t="n"/>
    </row>
    <row r="90" ht="15" customHeight="1">
      <c r="A90" s="1" t="n"/>
      <c r="B90" s="1" t="n"/>
      <c r="C90" s="1" t="n"/>
      <c r="D90" s="1" t="n"/>
      <c r="E90" s="1" t="n"/>
      <c r="F90" s="1" t="n"/>
      <c r="G90" s="1" t="n"/>
      <c r="H90" s="1" t="n"/>
      <c r="I90" s="1" t="n"/>
      <c r="J90" s="1" t="n"/>
      <c r="K90" s="1" t="n"/>
      <c r="L90" s="1" t="n"/>
      <c r="M90" s="1" t="n"/>
    </row>
    <row r="91" ht="15" customHeight="1">
      <c r="A91" s="1" t="n"/>
      <c r="B91" s="1" t="n"/>
      <c r="C91" s="1" t="n"/>
      <c r="D91" s="1" t="n"/>
      <c r="E91" s="1" t="n"/>
      <c r="F91" s="1" t="n"/>
      <c r="G91" s="1" t="n"/>
      <c r="H91" s="1" t="n"/>
      <c r="I91" s="1" t="n"/>
      <c r="J91" s="1" t="n"/>
      <c r="K91" s="1" t="n"/>
      <c r="L91" s="1" t="n"/>
      <c r="M91" s="1" t="n"/>
    </row>
    <row r="92" ht="15" customHeight="1">
      <c r="A92" s="1" t="n"/>
      <c r="B92" s="1" t="n"/>
      <c r="C92" s="1" t="n"/>
      <c r="D92" s="1" t="n"/>
      <c r="E92" s="1" t="n"/>
      <c r="F92" s="1" t="n"/>
      <c r="G92" s="1" t="n"/>
      <c r="H92" s="1" t="n"/>
      <c r="I92" s="1" t="n"/>
      <c r="J92" s="1" t="n"/>
      <c r="K92" s="1" t="n"/>
      <c r="L92" s="1" t="n"/>
      <c r="M92" s="1" t="n"/>
    </row>
    <row r="93" ht="15" customHeight="1">
      <c r="A93" s="1" t="n"/>
      <c r="B93" s="1" t="n"/>
      <c r="C93" s="1" t="n"/>
      <c r="D93" s="1" t="n"/>
      <c r="E93" s="1" t="n"/>
      <c r="F93" s="1" t="n"/>
      <c r="G93" s="1" t="n"/>
      <c r="H93" s="1" t="n"/>
      <c r="I93" s="1" t="n"/>
      <c r="J93" s="1" t="n"/>
      <c r="K93" s="1" t="n"/>
      <c r="L93" s="1" t="n"/>
      <c r="M93" s="1" t="n"/>
    </row>
    <row r="94" ht="15" customHeight="1">
      <c r="A94" s="1" t="n"/>
      <c r="B94" s="1" t="n"/>
      <c r="C94" s="1" t="n"/>
      <c r="D94" s="1" t="n"/>
      <c r="E94" s="1" t="n"/>
      <c r="F94" s="1" t="n"/>
      <c r="G94" s="1" t="n"/>
      <c r="H94" s="1" t="n"/>
      <c r="I94" s="1" t="n"/>
      <c r="J94" s="1" t="n"/>
      <c r="K94" s="1" t="n"/>
      <c r="L94" s="1" t="n"/>
      <c r="M94" s="1" t="n"/>
    </row>
    <row r="95" ht="15" customHeight="1">
      <c r="A95" s="1" t="n"/>
      <c r="B95" s="1" t="n"/>
      <c r="C95" s="1" t="n"/>
      <c r="D95" s="1" t="n"/>
      <c r="E95" s="1" t="n"/>
      <c r="F95" s="1" t="n"/>
      <c r="G95" s="1" t="n"/>
      <c r="H95" s="1" t="n"/>
      <c r="I95" s="1" t="n"/>
      <c r="J95" s="1" t="n"/>
      <c r="K95" s="1" t="n"/>
      <c r="L95" s="1" t="n"/>
      <c r="M95" s="1" t="n"/>
    </row>
    <row r="96" ht="15" customHeight="1">
      <c r="A96" s="1" t="n"/>
      <c r="B96" s="1" t="n"/>
      <c r="C96" s="1" t="n"/>
      <c r="D96" s="1" t="n"/>
      <c r="E96" s="1" t="n"/>
      <c r="F96" s="1" t="n"/>
      <c r="G96" s="1" t="n"/>
      <c r="H96" s="1" t="n"/>
      <c r="I96" s="1" t="n"/>
      <c r="J96" s="1" t="n"/>
      <c r="K96" s="1" t="n"/>
      <c r="L96" s="1" t="n"/>
      <c r="M96" s="1" t="n"/>
    </row>
    <row r="97" ht="15" customHeight="1">
      <c r="A97" s="1" t="n"/>
      <c r="B97" s="1" t="n"/>
      <c r="C97" s="1" t="n"/>
      <c r="D97" s="1" t="n"/>
      <c r="E97" s="1" t="n"/>
      <c r="F97" s="1" t="n"/>
      <c r="G97" s="1" t="n"/>
      <c r="H97" s="1" t="n"/>
      <c r="I97" s="1" t="n"/>
      <c r="J97" s="1" t="n"/>
      <c r="K97" s="1" t="n"/>
      <c r="L97" s="1" t="n"/>
      <c r="M97" s="1" t="n"/>
    </row>
    <row r="98" ht="15" customHeight="1">
      <c r="A98" s="1" t="n"/>
      <c r="B98" s="1" t="n"/>
      <c r="C98" s="1" t="n"/>
      <c r="D98" s="1" t="n"/>
      <c r="E98" s="1" t="n"/>
      <c r="F98" s="1" t="n"/>
      <c r="G98" s="1" t="n"/>
      <c r="H98" s="1" t="n"/>
      <c r="I98" s="1" t="n"/>
      <c r="J98" s="1" t="n"/>
      <c r="K98" s="1" t="n"/>
      <c r="L98" s="1" t="n"/>
      <c r="M98" s="1" t="n"/>
    </row>
    <row r="99" ht="15" customHeight="1">
      <c r="A99" s="1" t="n"/>
      <c r="B99" s="1" t="n"/>
      <c r="C99" s="1" t="n"/>
      <c r="D99" s="1" t="n"/>
      <c r="E99" s="1" t="n"/>
      <c r="F99" s="1" t="n"/>
      <c r="G99" s="1" t="n"/>
      <c r="H99" s="1" t="n"/>
      <c r="I99" s="1" t="n"/>
      <c r="J99" s="1" t="n"/>
      <c r="K99" s="1" t="n"/>
      <c r="L99" s="1" t="n"/>
      <c r="M99" s="1" t="n"/>
    </row>
    <row r="100" ht="15" customHeight="1">
      <c r="A100" s="1" t="n"/>
      <c r="B100" s="1" t="n"/>
      <c r="C100" s="1" t="n"/>
      <c r="D100" s="1" t="n"/>
      <c r="E100" s="1" t="n"/>
      <c r="F100" s="1" t="n"/>
      <c r="G100" s="1" t="n"/>
      <c r="H100" s="1" t="n"/>
      <c r="I100" s="1" t="n"/>
      <c r="J100" s="1" t="n"/>
      <c r="K100" s="1" t="n"/>
      <c r="L100" s="1" t="n"/>
      <c r="M100" s="1" t="n"/>
    </row>
    <row r="101" ht="15" customHeight="1">
      <c r="A101" s="1" t="n"/>
      <c r="B101" s="1" t="n"/>
      <c r="C101" s="1" t="n"/>
      <c r="D101" s="1" t="n"/>
      <c r="E101" s="1" t="n"/>
      <c r="F101" s="1" t="n"/>
      <c r="G101" s="1" t="n"/>
      <c r="H101" s="1" t="n"/>
      <c r="I101" s="1" t="n"/>
      <c r="J101" s="1" t="n"/>
      <c r="K101" s="1" t="n"/>
      <c r="L101" s="1" t="n"/>
      <c r="M101" s="1" t="n"/>
    </row>
    <row r="102" ht="15" customHeight="1">
      <c r="A102" s="1" t="n"/>
      <c r="B102" s="1" t="n"/>
      <c r="C102" s="1" t="n"/>
      <c r="D102" s="1" t="n"/>
      <c r="E102" s="1" t="n"/>
      <c r="F102" s="1" t="n"/>
      <c r="G102" s="1" t="n"/>
      <c r="H102" s="1" t="n"/>
      <c r="I102" s="1" t="n"/>
      <c r="J102" s="1" t="n"/>
      <c r="K102" s="1" t="n"/>
      <c r="L102" s="1" t="n"/>
      <c r="M102" s="1" t="n"/>
    </row>
    <row r="103" ht="15" customHeight="1">
      <c r="A103" s="1" t="n"/>
      <c r="B103" s="1" t="n"/>
      <c r="C103" s="1" t="n"/>
      <c r="D103" s="1" t="n"/>
      <c r="E103" s="1" t="n"/>
      <c r="F103" s="1" t="n"/>
      <c r="G103" s="1" t="n"/>
      <c r="H103" s="1" t="n"/>
      <c r="I103" s="1" t="n"/>
      <c r="J103" s="1" t="n"/>
      <c r="K103" s="1" t="n"/>
      <c r="L103" s="1" t="n"/>
      <c r="M103" s="1" t="n"/>
    </row>
    <row r="104" ht="15" customHeight="1">
      <c r="A104" s="1" t="n"/>
      <c r="B104" s="1" t="n"/>
      <c r="C104" s="1" t="n"/>
      <c r="D104" s="1" t="n"/>
      <c r="E104" s="1" t="n"/>
      <c r="F104" s="1" t="n"/>
      <c r="G104" s="1" t="n"/>
      <c r="H104" s="1" t="n"/>
      <c r="I104" s="1" t="n"/>
      <c r="J104" s="1" t="n"/>
      <c r="K104" s="1" t="n"/>
      <c r="L104" s="1" t="n"/>
      <c r="M104" s="1" t="n"/>
    </row>
    <row r="105" ht="15" customHeight="1">
      <c r="A105" s="1" t="n"/>
      <c r="B105" s="1" t="n"/>
      <c r="C105" s="1" t="n"/>
      <c r="D105" s="1" t="n"/>
      <c r="E105" s="1" t="n"/>
      <c r="F105" s="1" t="n"/>
      <c r="G105" s="1" t="n"/>
      <c r="H105" s="1" t="n"/>
      <c r="I105" s="1" t="n"/>
      <c r="J105" s="1" t="n"/>
      <c r="K105" s="1" t="n"/>
      <c r="L105" s="1" t="n"/>
      <c r="M105" s="1" t="n"/>
    </row>
    <row r="106" ht="15" customHeight="1">
      <c r="A106" s="1" t="n"/>
      <c r="B106" s="1" t="n"/>
      <c r="C106" s="1" t="n"/>
      <c r="D106" s="1" t="n"/>
      <c r="E106" s="1" t="n"/>
      <c r="F106" s="1" t="n"/>
      <c r="G106" s="1" t="n"/>
      <c r="H106" s="1" t="n"/>
      <c r="I106" s="1" t="n"/>
      <c r="J106" s="1" t="n"/>
      <c r="K106" s="1" t="n"/>
      <c r="L106" s="1" t="n"/>
      <c r="M106" s="1" t="n"/>
    </row>
    <row r="107" ht="15" customHeight="1">
      <c r="A107" s="1" t="n"/>
      <c r="B107" s="1" t="n"/>
      <c r="C107" s="1" t="n"/>
      <c r="D107" s="1" t="n"/>
      <c r="E107" s="1" t="n"/>
      <c r="F107" s="1" t="n"/>
      <c r="G107" s="1" t="n"/>
      <c r="H107" s="1" t="n"/>
      <c r="I107" s="1" t="n"/>
      <c r="J107" s="1" t="n"/>
      <c r="K107" s="1" t="n"/>
      <c r="L107" s="1" t="n"/>
      <c r="M107" s="1" t="n"/>
    </row>
    <row r="108" ht="15" customHeight="1">
      <c r="A108" s="1" t="n"/>
      <c r="B108" s="1" t="n"/>
      <c r="C108" s="1" t="n"/>
      <c r="D108" s="1" t="n"/>
      <c r="E108" s="1" t="n"/>
      <c r="F108" s="1" t="n"/>
      <c r="G108" s="1" t="n"/>
      <c r="H108" s="1" t="n"/>
      <c r="I108" s="1" t="n"/>
      <c r="J108" s="1" t="n"/>
      <c r="K108" s="1" t="n"/>
      <c r="L108" s="1" t="n"/>
      <c r="M108" s="1" t="n"/>
    </row>
    <row r="109" ht="15" customHeight="1">
      <c r="A109" s="1" t="n"/>
      <c r="B109" s="1" t="n"/>
      <c r="C109" s="1" t="n"/>
      <c r="D109" s="1" t="n"/>
      <c r="E109" s="1" t="n"/>
      <c r="F109" s="1" t="n"/>
      <c r="G109" s="1" t="n"/>
      <c r="H109" s="1" t="n"/>
      <c r="I109" s="1" t="n"/>
      <c r="J109" s="1" t="n"/>
      <c r="K109" s="1" t="n"/>
      <c r="L109" s="1" t="n"/>
      <c r="M109" s="1" t="n"/>
    </row>
    <row r="110" ht="15" customHeight="1">
      <c r="A110" s="1" t="n"/>
      <c r="B110" s="1" t="n"/>
      <c r="C110" s="1" t="n"/>
      <c r="D110" s="1" t="n"/>
      <c r="E110" s="1" t="n"/>
      <c r="F110" s="1" t="n"/>
      <c r="G110" s="1" t="n"/>
      <c r="H110" s="1" t="n"/>
      <c r="I110" s="1" t="n"/>
      <c r="J110" s="1" t="n"/>
      <c r="K110" s="1" t="n"/>
      <c r="L110" s="1" t="n"/>
      <c r="M110" s="1" t="n"/>
    </row>
    <row r="111" ht="15" customHeight="1">
      <c r="A111" s="1" t="n"/>
      <c r="B111" s="1" t="n"/>
      <c r="C111" s="1" t="n"/>
      <c r="D111" s="1" t="n"/>
      <c r="E111" s="1" t="n"/>
      <c r="F111" s="1" t="n"/>
      <c r="G111" s="1" t="n"/>
      <c r="H111" s="1" t="n"/>
      <c r="I111" s="1" t="n"/>
      <c r="J111" s="1" t="n"/>
      <c r="K111" s="1" t="n"/>
      <c r="L111" s="1" t="n"/>
      <c r="M111" s="1" t="n"/>
    </row>
    <row r="112" ht="15" customHeight="1">
      <c r="A112" s="1" t="n"/>
      <c r="B112" s="1" t="n"/>
      <c r="C112" s="1" t="n"/>
      <c r="D112" s="1" t="n"/>
      <c r="E112" s="1" t="n"/>
      <c r="F112" s="1" t="n"/>
      <c r="G112" s="1" t="n"/>
      <c r="H112" s="1" t="n"/>
      <c r="I112" s="1" t="n"/>
      <c r="J112" s="1" t="n"/>
      <c r="K112" s="1" t="n"/>
      <c r="L112" s="1" t="n"/>
      <c r="M112" s="1" t="n"/>
    </row>
    <row r="113" ht="15" customHeight="1">
      <c r="A113" s="1" t="n"/>
      <c r="B113" s="1" t="n"/>
      <c r="C113" s="1" t="n"/>
      <c r="D113" s="1" t="n"/>
      <c r="E113" s="1" t="n"/>
      <c r="F113" s="1" t="n"/>
      <c r="G113" s="1" t="n"/>
      <c r="H113" s="1" t="n"/>
      <c r="I113" s="1" t="n"/>
      <c r="J113" s="1" t="n"/>
      <c r="K113" s="1" t="n"/>
      <c r="L113" s="1" t="n"/>
      <c r="M113" s="1" t="n"/>
    </row>
    <row r="114" ht="15" customHeight="1">
      <c r="A114" s="1" t="n"/>
      <c r="B114" s="1" t="n"/>
      <c r="C114" s="1" t="n"/>
      <c r="D114" s="1" t="n"/>
      <c r="E114" s="1" t="n"/>
      <c r="F114" s="1" t="n"/>
      <c r="G114" s="1" t="n"/>
      <c r="H114" s="1" t="n"/>
      <c r="I114" s="1" t="n"/>
      <c r="J114" s="1" t="n"/>
      <c r="K114" s="1" t="n"/>
      <c r="L114" s="1" t="n"/>
      <c r="M114" s="1" t="n"/>
    </row>
    <row r="115" ht="15" customHeight="1">
      <c r="A115" s="1" t="n"/>
      <c r="B115" s="1" t="n"/>
      <c r="C115" s="1" t="n"/>
      <c r="D115" s="1" t="n"/>
      <c r="E115" s="1" t="n"/>
      <c r="F115" s="1" t="n"/>
      <c r="G115" s="1" t="n"/>
      <c r="H115" s="1" t="n"/>
      <c r="I115" s="1" t="n"/>
      <c r="J115" s="1" t="n"/>
      <c r="K115" s="1" t="n"/>
      <c r="L115" s="1" t="n"/>
      <c r="M115" s="1" t="n"/>
    </row>
    <row r="116" ht="15" customHeight="1">
      <c r="A116" s="1" t="n"/>
      <c r="B116" s="1" t="n"/>
      <c r="C116" s="1" t="n"/>
      <c r="D116" s="1" t="n"/>
      <c r="E116" s="1" t="n"/>
      <c r="F116" s="1" t="n"/>
      <c r="G116" s="1" t="n"/>
      <c r="H116" s="1" t="n"/>
      <c r="I116" s="1" t="n"/>
      <c r="J116" s="1" t="n"/>
      <c r="K116" s="1" t="n"/>
      <c r="L116" s="1" t="n"/>
      <c r="M116" s="1" t="n"/>
    </row>
    <row r="117" ht="15" customHeight="1">
      <c r="A117" s="1" t="n"/>
      <c r="B117" s="1" t="n"/>
      <c r="C117" s="1" t="n"/>
      <c r="D117" s="1" t="n"/>
      <c r="E117" s="1" t="n"/>
      <c r="F117" s="1" t="n"/>
      <c r="G117" s="1" t="n"/>
      <c r="H117" s="1" t="n"/>
      <c r="I117" s="1" t="n"/>
      <c r="J117" s="1" t="n"/>
      <c r="K117" s="1" t="n"/>
      <c r="L117" s="1" t="n"/>
      <c r="M117" s="1" t="n"/>
    </row>
    <row r="118" ht="15" customHeight="1">
      <c r="A118" s="1" t="n"/>
      <c r="B118" s="1" t="n"/>
      <c r="C118" s="1" t="n"/>
      <c r="D118" s="1" t="n"/>
      <c r="E118" s="1" t="n"/>
      <c r="F118" s="1" t="n"/>
      <c r="G118" s="1" t="n"/>
      <c r="H118" s="1" t="n"/>
      <c r="I118" s="1" t="n"/>
      <c r="J118" s="1" t="n"/>
      <c r="K118" s="1" t="n"/>
      <c r="L118" s="1" t="n"/>
      <c r="M118" s="1" t="n"/>
    </row>
    <row r="119" ht="15" customHeight="1">
      <c r="A119" s="1" t="n"/>
      <c r="B119" s="1" t="n"/>
      <c r="C119" s="1" t="n"/>
      <c r="D119" s="1" t="n"/>
      <c r="E119" s="1" t="n"/>
      <c r="F119" s="1" t="n"/>
      <c r="G119" s="1" t="n"/>
      <c r="H119" s="1" t="n"/>
      <c r="I119" s="1" t="n"/>
      <c r="J119" s="1" t="n"/>
      <c r="K119" s="1" t="n"/>
      <c r="L119" s="1" t="n"/>
      <c r="M119" s="1" t="n"/>
    </row>
    <row r="120" ht="15" customHeight="1">
      <c r="A120" s="1" t="n"/>
      <c r="B120" s="1" t="n"/>
      <c r="C120" s="1" t="n"/>
      <c r="D120" s="1" t="n"/>
      <c r="E120" s="1" t="n"/>
      <c r="F120" s="1" t="n"/>
      <c r="G120" s="1" t="n"/>
      <c r="H120" s="1" t="n"/>
      <c r="I120" s="1" t="n"/>
      <c r="J120" s="1" t="n"/>
      <c r="K120" s="1" t="n"/>
      <c r="L120" s="1" t="n"/>
      <c r="M120" s="1" t="n"/>
    </row>
    <row r="121" ht="15" customHeight="1">
      <c r="A121" s="1" t="n"/>
      <c r="B121" s="1" t="n"/>
      <c r="C121" s="1" t="n"/>
      <c r="D121" s="1" t="n"/>
      <c r="E121" s="1" t="n"/>
      <c r="F121" s="1" t="n"/>
      <c r="G121" s="1" t="n"/>
      <c r="H121" s="1" t="n"/>
      <c r="I121" s="1" t="n"/>
      <c r="J121" s="1" t="n"/>
      <c r="K121" s="1" t="n"/>
      <c r="L121" s="1" t="n"/>
      <c r="M121" s="1" t="n"/>
    </row>
    <row r="122" ht="15" customHeight="1">
      <c r="A122" s="1" t="n"/>
      <c r="B122" s="1" t="n"/>
      <c r="C122" s="1" t="n"/>
      <c r="D122" s="1" t="n"/>
      <c r="E122" s="1" t="n"/>
      <c r="F122" s="1" t="n"/>
      <c r="G122" s="1" t="n"/>
      <c r="H122" s="1" t="n"/>
      <c r="I122" s="1" t="n"/>
      <c r="J122" s="1" t="n"/>
      <c r="K122" s="1" t="n"/>
      <c r="L122" s="1" t="n"/>
      <c r="M122" s="1" t="n"/>
    </row>
    <row r="123" ht="15" customHeight="1">
      <c r="A123" s="1" t="n"/>
      <c r="B123" s="1" t="n"/>
      <c r="C123" s="1" t="n"/>
      <c r="D123" s="1" t="n"/>
      <c r="E123" s="1" t="n"/>
      <c r="F123" s="1" t="n"/>
      <c r="G123" s="1" t="n"/>
      <c r="H123" s="1" t="n"/>
      <c r="I123" s="1" t="n"/>
      <c r="J123" s="1" t="n"/>
      <c r="K123" s="1" t="n"/>
      <c r="L123" s="1" t="n"/>
      <c r="M123" s="1" t="n"/>
    </row>
    <row r="124" ht="15" customHeight="1">
      <c r="A124" s="1" t="n"/>
      <c r="B124" s="1" t="n"/>
      <c r="C124" s="1" t="n"/>
      <c r="D124" s="1" t="n"/>
      <c r="E124" s="1" t="n"/>
      <c r="F124" s="1" t="n"/>
      <c r="G124" s="1" t="n"/>
      <c r="H124" s="1" t="n"/>
      <c r="I124" s="1" t="n"/>
      <c r="J124" s="1" t="n"/>
      <c r="K124" s="1" t="n"/>
      <c r="L124" s="1" t="n"/>
      <c r="M124" s="1" t="n"/>
    </row>
    <row r="125" ht="15" customHeight="1">
      <c r="A125" s="1" t="n"/>
      <c r="B125" s="1" t="n"/>
      <c r="C125" s="1" t="n"/>
      <c r="D125" s="1" t="n"/>
      <c r="E125" s="1" t="n"/>
      <c r="F125" s="1" t="n"/>
      <c r="G125" s="1" t="n"/>
      <c r="H125" s="1" t="n"/>
      <c r="I125" s="1" t="n"/>
      <c r="J125" s="1" t="n"/>
      <c r="K125" s="1" t="n"/>
      <c r="L125" s="1" t="n"/>
      <c r="M125" s="1" t="n"/>
    </row>
    <row r="126" ht="15" customHeight="1">
      <c r="A126" s="1" t="n"/>
      <c r="B126" s="1" t="n"/>
      <c r="C126" s="1" t="n"/>
      <c r="D126" s="1" t="n"/>
      <c r="E126" s="1" t="n"/>
      <c r="F126" s="1" t="n"/>
      <c r="G126" s="1" t="n"/>
      <c r="H126" s="1" t="n"/>
      <c r="I126" s="1" t="n"/>
      <c r="J126" s="1" t="n"/>
      <c r="K126" s="1" t="n"/>
      <c r="L126" s="1" t="n"/>
      <c r="M126" s="1" t="n"/>
    </row>
    <row r="127" ht="15" customHeight="1">
      <c r="A127" s="1" t="n"/>
      <c r="B127" s="1" t="n"/>
      <c r="C127" s="1" t="n"/>
      <c r="D127" s="1" t="n"/>
      <c r="E127" s="1" t="n"/>
      <c r="F127" s="1" t="n"/>
      <c r="G127" s="1" t="n"/>
      <c r="H127" s="1" t="n"/>
      <c r="I127" s="1" t="n"/>
      <c r="J127" s="1" t="n"/>
      <c r="K127" s="1" t="n"/>
      <c r="L127" s="1" t="n"/>
      <c r="M127" s="1" t="n"/>
    </row>
    <row r="128" ht="15" customHeight="1">
      <c r="A128" s="1" t="n"/>
      <c r="B128" s="1" t="n"/>
      <c r="C128" s="1" t="n"/>
      <c r="D128" s="1" t="n"/>
      <c r="E128" s="1" t="n"/>
      <c r="F128" s="1" t="n"/>
      <c r="G128" s="1" t="n"/>
      <c r="H128" s="1" t="n"/>
      <c r="I128" s="1" t="n"/>
      <c r="J128" s="1" t="n"/>
      <c r="K128" s="1" t="n"/>
      <c r="L128" s="1" t="n"/>
      <c r="M128" s="1" t="n"/>
    </row>
    <row r="129" ht="15" customHeight="1">
      <c r="A129" s="1" t="n"/>
      <c r="B129" s="1" t="n"/>
      <c r="C129" s="1" t="n"/>
      <c r="D129" s="1" t="n"/>
      <c r="E129" s="1" t="n"/>
      <c r="F129" s="1" t="n"/>
      <c r="G129" s="1" t="n"/>
      <c r="H129" s="1" t="n"/>
      <c r="I129" s="1" t="n"/>
      <c r="J129" s="1" t="n"/>
      <c r="K129" s="1" t="n"/>
      <c r="L129" s="1" t="n"/>
      <c r="M129" s="1" t="n"/>
    </row>
    <row r="130" ht="15" customHeight="1">
      <c r="A130" s="1" t="n"/>
      <c r="B130" s="1" t="n"/>
      <c r="C130" s="1" t="n"/>
      <c r="D130" s="1" t="n"/>
      <c r="E130" s="1" t="n"/>
      <c r="F130" s="1" t="n"/>
      <c r="G130" s="1" t="n"/>
      <c r="H130" s="1" t="n"/>
      <c r="I130" s="1" t="n"/>
      <c r="J130" s="1" t="n"/>
      <c r="K130" s="1" t="n"/>
      <c r="L130" s="1" t="n"/>
      <c r="M130" s="1" t="n"/>
    </row>
    <row r="131" ht="15" customHeight="1">
      <c r="A131" s="1" t="n"/>
      <c r="B131" s="1" t="n"/>
      <c r="C131" s="1" t="n"/>
      <c r="D131" s="1" t="n"/>
      <c r="E131" s="1" t="n"/>
      <c r="F131" s="1" t="n"/>
      <c r="G131" s="1" t="n"/>
      <c r="H131" s="1" t="n"/>
      <c r="I131" s="1" t="n"/>
      <c r="J131" s="1" t="n"/>
      <c r="K131" s="1" t="n"/>
      <c r="L131" s="1" t="n"/>
      <c r="M131" s="1" t="n"/>
    </row>
    <row r="132" ht="15" customHeight="1">
      <c r="A132" s="1" t="n"/>
      <c r="B132" s="1" t="n"/>
      <c r="C132" s="1" t="n"/>
      <c r="D132" s="1" t="n"/>
      <c r="E132" s="1" t="n"/>
      <c r="F132" s="1" t="n"/>
      <c r="G132" s="1" t="n"/>
      <c r="H132" s="1" t="n"/>
      <c r="I132" s="1" t="n"/>
      <c r="J132" s="1" t="n"/>
      <c r="K132" s="1" t="n"/>
      <c r="L132" s="1" t="n"/>
      <c r="M132" s="1" t="n"/>
    </row>
    <row r="133" ht="15" customHeight="1">
      <c r="A133" s="1" t="n"/>
      <c r="B133" s="1" t="n"/>
      <c r="C133" s="1" t="n"/>
      <c r="D133" s="1" t="n"/>
      <c r="E133" s="1" t="n"/>
      <c r="F133" s="1" t="n"/>
      <c r="G133" s="1" t="n"/>
      <c r="H133" s="1" t="n"/>
      <c r="I133" s="1" t="n"/>
      <c r="J133" s="1" t="n"/>
      <c r="K133" s="1" t="n"/>
      <c r="L133" s="1" t="n"/>
      <c r="M133" s="1" t="n"/>
    </row>
    <row r="134" ht="15" customHeight="1">
      <c r="A134" s="1" t="n"/>
      <c r="B134" s="1" t="n"/>
      <c r="C134" s="1" t="n"/>
      <c r="D134" s="1" t="n"/>
      <c r="E134" s="1" t="n"/>
      <c r="F134" s="1" t="n"/>
      <c r="G134" s="1" t="n"/>
      <c r="H134" s="1" t="n"/>
      <c r="I134" s="1" t="n"/>
      <c r="J134" s="1" t="n"/>
      <c r="K134" s="1" t="n"/>
      <c r="L134" s="1" t="n"/>
      <c r="M134" s="1" t="n"/>
    </row>
    <row r="135" ht="15" customHeight="1">
      <c r="A135" s="1" t="n"/>
      <c r="B135" s="1" t="n"/>
      <c r="C135" s="1" t="n"/>
      <c r="D135" s="1" t="n"/>
      <c r="E135" s="1" t="n"/>
      <c r="F135" s="1" t="n"/>
      <c r="G135" s="1" t="n"/>
      <c r="H135" s="1" t="n"/>
      <c r="I135" s="1" t="n"/>
      <c r="J135" s="1" t="n"/>
      <c r="K135" s="1" t="n"/>
      <c r="L135" s="1" t="n"/>
      <c r="M135" s="1" t="n"/>
    </row>
    <row r="136" ht="15" customHeight="1">
      <c r="A136" s="1" t="n"/>
      <c r="B136" s="1" t="n"/>
      <c r="C136" s="1" t="n"/>
      <c r="D136" s="1" t="n"/>
      <c r="E136" s="1" t="n"/>
      <c r="F136" s="1" t="n"/>
      <c r="G136" s="1" t="n"/>
      <c r="H136" s="1" t="n"/>
      <c r="I136" s="1" t="n"/>
      <c r="J136" s="1" t="n"/>
      <c r="K136" s="1" t="n"/>
      <c r="L136" s="1" t="n"/>
      <c r="M136" s="1" t="n"/>
    </row>
    <row r="137" ht="15" customHeight="1">
      <c r="A137" s="1" t="n"/>
      <c r="B137" s="1" t="n"/>
      <c r="C137" s="1" t="n"/>
      <c r="D137" s="1" t="n"/>
      <c r="E137" s="1" t="n"/>
      <c r="F137" s="1" t="n"/>
      <c r="G137" s="1" t="n"/>
      <c r="H137" s="1" t="n"/>
      <c r="I137" s="1" t="n"/>
      <c r="J137" s="1" t="n"/>
      <c r="K137" s="1" t="n"/>
      <c r="L137" s="1" t="n"/>
      <c r="M137" s="1" t="n"/>
    </row>
    <row r="138" ht="15" customHeight="1">
      <c r="A138" s="1" t="n"/>
      <c r="B138" s="1" t="n"/>
      <c r="C138" s="1" t="n"/>
      <c r="D138" s="1" t="n"/>
      <c r="E138" s="1" t="n"/>
      <c r="F138" s="1" t="n"/>
      <c r="G138" s="1" t="n"/>
      <c r="H138" s="1" t="n"/>
      <c r="I138" s="1" t="n"/>
      <c r="J138" s="1" t="n"/>
      <c r="K138" s="1" t="n"/>
      <c r="L138" s="1" t="n"/>
      <c r="M138" s="1" t="n"/>
    </row>
    <row r="139" ht="15" customHeight="1">
      <c r="A139" s="1" t="n"/>
      <c r="B139" s="1" t="n"/>
      <c r="C139" s="1" t="n"/>
      <c r="D139" s="1" t="n"/>
      <c r="E139" s="1" t="n"/>
      <c r="F139" s="1" t="n"/>
      <c r="G139" s="1" t="n"/>
      <c r="H139" s="1" t="n"/>
      <c r="I139" s="1" t="n"/>
      <c r="J139" s="1" t="n"/>
      <c r="K139" s="1" t="n"/>
      <c r="L139" s="1" t="n"/>
      <c r="M139" s="1" t="n"/>
    </row>
    <row r="140" ht="15" customHeight="1">
      <c r="A140" s="1" t="n"/>
      <c r="B140" s="1" t="n"/>
      <c r="C140" s="1" t="n"/>
      <c r="D140" s="1" t="n"/>
      <c r="E140" s="1" t="n"/>
      <c r="F140" s="1" t="n"/>
      <c r="G140" s="1" t="n"/>
      <c r="H140" s="1" t="n"/>
      <c r="I140" s="1" t="n"/>
      <c r="J140" s="1" t="n"/>
      <c r="K140" s="1" t="n"/>
      <c r="L140" s="1" t="n"/>
      <c r="M140" s="1" t="n"/>
    </row>
    <row r="141" ht="15" customHeight="1">
      <c r="A141" s="1" t="n"/>
      <c r="B141" s="1" t="n"/>
      <c r="C141" s="1" t="n"/>
      <c r="D141" s="1" t="n"/>
      <c r="E141" s="1" t="n"/>
      <c r="F141" s="1" t="n"/>
      <c r="G141" s="1" t="n"/>
      <c r="H141" s="1" t="n"/>
      <c r="I141" s="1" t="n"/>
      <c r="J141" s="1" t="n"/>
      <c r="K141" s="1" t="n"/>
      <c r="L141" s="1" t="n"/>
      <c r="M141" s="1" t="n"/>
    </row>
    <row r="142" ht="15" customHeight="1">
      <c r="A142" s="1" t="n"/>
      <c r="B142" s="1" t="n"/>
      <c r="C142" s="1" t="n"/>
      <c r="D142" s="1" t="n"/>
      <c r="E142" s="1" t="n"/>
      <c r="F142" s="1" t="n"/>
      <c r="G142" s="1" t="n"/>
      <c r="H142" s="1" t="n"/>
      <c r="I142" s="1" t="n"/>
      <c r="J142" s="1" t="n"/>
      <c r="K142" s="1" t="n"/>
      <c r="L142" s="1" t="n"/>
      <c r="M142" s="1" t="n"/>
    </row>
    <row r="143" ht="15" customHeight="1">
      <c r="A143" s="1" t="n"/>
      <c r="B143" s="1" t="n"/>
      <c r="C143" s="1" t="n"/>
      <c r="D143" s="1" t="n"/>
      <c r="E143" s="1" t="n"/>
      <c r="F143" s="1" t="n"/>
      <c r="G143" s="1" t="n"/>
      <c r="H143" s="1" t="n"/>
      <c r="I143" s="1" t="n"/>
      <c r="J143" s="1" t="n"/>
      <c r="K143" s="1" t="n"/>
      <c r="L143" s="1" t="n"/>
      <c r="M143" s="1" t="n"/>
    </row>
    <row r="144" ht="15" customHeight="1">
      <c r="A144" s="1" t="n"/>
      <c r="B144" s="1" t="n"/>
      <c r="C144" s="1" t="n"/>
      <c r="D144" s="1" t="n"/>
      <c r="E144" s="1" t="n"/>
      <c r="F144" s="1" t="n"/>
      <c r="G144" s="1" t="n"/>
      <c r="H144" s="1" t="n"/>
      <c r="I144" s="1" t="n"/>
      <c r="J144" s="1" t="n"/>
      <c r="K144" s="1" t="n"/>
      <c r="L144" s="1" t="n"/>
      <c r="M144" s="1" t="n"/>
    </row>
    <row r="145" ht="15" customHeight="1">
      <c r="A145" s="1" t="n"/>
      <c r="B145" s="1" t="n"/>
      <c r="C145" s="1" t="n"/>
      <c r="D145" s="1" t="n"/>
      <c r="E145" s="1" t="n"/>
      <c r="F145" s="1" t="n"/>
      <c r="G145" s="1" t="n"/>
      <c r="H145" s="1" t="n"/>
      <c r="I145" s="1" t="n"/>
      <c r="J145" s="1" t="n"/>
      <c r="K145" s="1" t="n"/>
      <c r="L145" s="1" t="n"/>
      <c r="M145" s="1" t="n"/>
    </row>
    <row r="146" ht="15" customHeight="1">
      <c r="A146" s="1" t="n"/>
      <c r="B146" s="1" t="n"/>
      <c r="C146" s="1" t="n"/>
      <c r="D146" s="1" t="n"/>
      <c r="E146" s="1" t="n"/>
      <c r="F146" s="1" t="n"/>
      <c r="G146" s="1" t="n"/>
      <c r="H146" s="1" t="n"/>
      <c r="I146" s="1" t="n"/>
      <c r="J146" s="1" t="n"/>
      <c r="K146" s="1" t="n"/>
      <c r="L146" s="1" t="n"/>
      <c r="M146" s="1" t="n"/>
    </row>
    <row r="147" ht="15" customHeight="1">
      <c r="A147" s="1" t="n"/>
      <c r="B147" s="1" t="n"/>
      <c r="C147" s="1" t="n"/>
      <c r="D147" s="1" t="n"/>
      <c r="E147" s="1" t="n"/>
      <c r="F147" s="1" t="n"/>
      <c r="G147" s="1" t="n"/>
      <c r="H147" s="1" t="n"/>
      <c r="I147" s="1" t="n"/>
      <c r="J147" s="1" t="n"/>
      <c r="K147" s="1" t="n"/>
      <c r="L147" s="1" t="n"/>
      <c r="M147" s="1" t="n"/>
    </row>
    <row r="148" ht="15" customHeight="1">
      <c r="A148" s="1" t="n"/>
      <c r="B148" s="1" t="n"/>
      <c r="C148" s="1" t="n"/>
      <c r="D148" s="1" t="n"/>
      <c r="E148" s="1" t="n"/>
      <c r="F148" s="1" t="n"/>
      <c r="G148" s="1" t="n"/>
      <c r="H148" s="1" t="n"/>
      <c r="I148" s="1" t="n"/>
      <c r="J148" s="1" t="n"/>
      <c r="K148" s="1" t="n"/>
      <c r="L148" s="1" t="n"/>
      <c r="M148" s="1" t="n"/>
    </row>
    <row r="149" ht="15" customHeight="1">
      <c r="A149" s="1" t="n"/>
      <c r="B149" s="1" t="n"/>
      <c r="C149" s="1" t="n"/>
      <c r="D149" s="1" t="n"/>
      <c r="E149" s="1" t="n"/>
      <c r="F149" s="1" t="n"/>
      <c r="G149" s="1" t="n"/>
      <c r="H149" s="1" t="n"/>
      <c r="I149" s="1" t="n"/>
      <c r="J149" s="1" t="n"/>
      <c r="K149" s="1" t="n"/>
      <c r="L149" s="1" t="n"/>
      <c r="M149" s="1" t="n"/>
    </row>
    <row r="150" ht="15" customHeight="1">
      <c r="A150" s="1" t="n"/>
      <c r="B150" s="1" t="n"/>
      <c r="C150" s="1" t="n"/>
      <c r="D150" s="1" t="n"/>
      <c r="E150" s="1" t="n"/>
      <c r="F150" s="1" t="n"/>
      <c r="G150" s="1" t="n"/>
      <c r="H150" s="1" t="n"/>
      <c r="I150" s="1" t="n"/>
      <c r="J150" s="1" t="n"/>
      <c r="K150" s="1" t="n"/>
      <c r="L150" s="1" t="n"/>
      <c r="M150" s="1" t="n"/>
    </row>
    <row r="151" ht="15" customHeight="1">
      <c r="A151" s="1" t="n"/>
      <c r="B151" s="1" t="n"/>
      <c r="C151" s="1" t="n"/>
      <c r="D151" s="1" t="n"/>
      <c r="E151" s="1" t="n"/>
      <c r="F151" s="1" t="n"/>
      <c r="G151" s="1" t="n"/>
      <c r="H151" s="1" t="n"/>
      <c r="I151" s="1" t="n"/>
      <c r="J151" s="1" t="n"/>
      <c r="K151" s="1" t="n"/>
      <c r="L151" s="1" t="n"/>
      <c r="M151" s="1" t="n"/>
    </row>
    <row r="152" ht="15" customHeight="1">
      <c r="A152" s="1" t="n"/>
      <c r="B152" s="1" t="n"/>
      <c r="C152" s="1" t="n"/>
      <c r="D152" s="1" t="n"/>
      <c r="E152" s="1" t="n"/>
      <c r="F152" s="1" t="n"/>
      <c r="G152" s="1" t="n"/>
      <c r="H152" s="1" t="n"/>
      <c r="I152" s="1" t="n"/>
      <c r="J152" s="1" t="n"/>
      <c r="K152" s="1" t="n"/>
      <c r="L152" s="1" t="n"/>
      <c r="M152" s="1" t="n"/>
    </row>
    <row r="153" ht="15" customHeight="1">
      <c r="A153" s="1" t="n"/>
      <c r="B153" s="1" t="n"/>
      <c r="C153" s="1" t="n"/>
      <c r="D153" s="1" t="n"/>
      <c r="E153" s="1" t="n"/>
      <c r="F153" s="1" t="n"/>
      <c r="G153" s="1" t="n"/>
      <c r="H153" s="1" t="n"/>
      <c r="I153" s="1" t="n"/>
      <c r="J153" s="1" t="n"/>
      <c r="K153" s="1" t="n"/>
      <c r="L153" s="1" t="n"/>
      <c r="M153" s="1" t="n"/>
    </row>
    <row r="154" ht="15" customHeight="1">
      <c r="A154" s="1" t="n"/>
      <c r="B154" s="1" t="n"/>
      <c r="C154" s="1" t="n"/>
      <c r="D154" s="1" t="n"/>
      <c r="E154" s="1" t="n"/>
      <c r="F154" s="1" t="n"/>
      <c r="G154" s="1" t="n"/>
      <c r="H154" s="1" t="n"/>
      <c r="I154" s="1" t="n"/>
      <c r="J154" s="1" t="n"/>
      <c r="K154" s="1" t="n"/>
      <c r="L154" s="1" t="n"/>
      <c r="M154" s="1" t="n"/>
    </row>
    <row r="155" ht="15" customHeight="1">
      <c r="A155" s="1" t="n"/>
      <c r="B155" s="1" t="n"/>
      <c r="C155" s="1" t="n"/>
      <c r="D155" s="1" t="n"/>
      <c r="E155" s="1" t="n"/>
      <c r="F155" s="1" t="n"/>
      <c r="G155" s="1" t="n"/>
      <c r="H155" s="1" t="n"/>
      <c r="I155" s="1" t="n"/>
      <c r="J155" s="1" t="n"/>
      <c r="K155" s="1" t="n"/>
      <c r="L155" s="1" t="n"/>
      <c r="M155" s="1" t="n"/>
    </row>
    <row r="156" ht="15" customHeight="1">
      <c r="A156" s="1" t="n"/>
      <c r="B156" s="1" t="n"/>
      <c r="C156" s="1" t="n"/>
      <c r="D156" s="1" t="n"/>
      <c r="E156" s="1" t="n"/>
      <c r="F156" s="1" t="n"/>
      <c r="G156" s="1" t="n"/>
      <c r="H156" s="1" t="n"/>
      <c r="I156" s="1" t="n"/>
      <c r="J156" s="1" t="n"/>
      <c r="K156" s="1" t="n"/>
      <c r="L156" s="1" t="n"/>
      <c r="M156" s="1" t="n"/>
    </row>
    <row r="157" ht="15" customHeight="1">
      <c r="A157" s="1" t="n"/>
      <c r="B157" s="1" t="n"/>
      <c r="C157" s="1" t="n"/>
      <c r="D157" s="1" t="n"/>
      <c r="E157" s="1" t="n"/>
      <c r="F157" s="1" t="n"/>
      <c r="G157" s="1" t="n"/>
      <c r="H157" s="1" t="n"/>
      <c r="I157" s="1" t="n"/>
      <c r="J157" s="1" t="n"/>
      <c r="K157" s="1" t="n"/>
      <c r="L157" s="1" t="n"/>
      <c r="M157" s="1" t="n"/>
    </row>
    <row r="158" ht="15" customHeight="1">
      <c r="A158" s="1" t="n"/>
      <c r="B158" s="1" t="n"/>
      <c r="C158" s="1" t="n"/>
      <c r="D158" s="1" t="n"/>
      <c r="E158" s="1" t="n"/>
      <c r="F158" s="1" t="n"/>
      <c r="G158" s="1" t="n"/>
      <c r="H158" s="1" t="n"/>
      <c r="I158" s="1" t="n"/>
      <c r="J158" s="1" t="n"/>
      <c r="K158" s="1" t="n"/>
      <c r="L158" s="1" t="n"/>
      <c r="M158" s="1" t="n"/>
    </row>
    <row r="159" ht="15" customHeight="1">
      <c r="A159" s="1" t="n"/>
      <c r="B159" s="1" t="n"/>
      <c r="C159" s="1" t="n"/>
      <c r="D159" s="1" t="n"/>
      <c r="E159" s="1" t="n"/>
      <c r="F159" s="1" t="n"/>
      <c r="G159" s="1" t="n"/>
      <c r="H159" s="1" t="n"/>
      <c r="I159" s="1" t="n"/>
      <c r="J159" s="1" t="n"/>
      <c r="K159" s="1" t="n"/>
      <c r="L159" s="1" t="n"/>
      <c r="M159" s="1" t="n"/>
    </row>
    <row r="160" ht="15" customHeight="1">
      <c r="A160" s="1" t="n"/>
      <c r="B160" s="1" t="n"/>
      <c r="C160" s="1" t="n"/>
      <c r="D160" s="1" t="n"/>
      <c r="E160" s="1" t="n"/>
      <c r="F160" s="1" t="n"/>
      <c r="G160" s="1" t="n"/>
      <c r="H160" s="1" t="n"/>
      <c r="I160" s="1" t="n"/>
      <c r="J160" s="1" t="n"/>
      <c r="K160" s="1" t="n"/>
      <c r="L160" s="1" t="n"/>
      <c r="M160" s="1" t="n"/>
    </row>
    <row r="161" ht="15" customHeight="1">
      <c r="A161" s="1" t="n"/>
      <c r="B161" s="1" t="n"/>
      <c r="C161" s="1" t="n"/>
      <c r="D161" s="1" t="n"/>
      <c r="E161" s="1" t="n"/>
      <c r="F161" s="1" t="n"/>
      <c r="G161" s="1" t="n"/>
      <c r="H161" s="1" t="n"/>
      <c r="I161" s="1" t="n"/>
      <c r="J161" s="1" t="n"/>
      <c r="K161" s="1" t="n"/>
      <c r="L161" s="1" t="n"/>
      <c r="M161" s="1" t="n"/>
    </row>
    <row r="162" ht="15" customHeight="1">
      <c r="A162" s="1" t="n"/>
      <c r="B162" s="1" t="n"/>
      <c r="C162" s="1" t="n"/>
      <c r="D162" s="1" t="n"/>
      <c r="E162" s="1" t="n"/>
      <c r="F162" s="1" t="n"/>
      <c r="G162" s="1" t="n"/>
      <c r="H162" s="1" t="n"/>
      <c r="I162" s="1" t="n"/>
      <c r="J162" s="1" t="n"/>
      <c r="K162" s="1" t="n"/>
      <c r="L162" s="1" t="n"/>
      <c r="M162" s="1" t="n"/>
    </row>
    <row r="163" ht="15" customHeight="1">
      <c r="A163" s="1" t="n"/>
      <c r="B163" s="1" t="n"/>
      <c r="C163" s="1" t="n"/>
      <c r="D163" s="1" t="n"/>
      <c r="E163" s="1" t="n"/>
      <c r="F163" s="1" t="n"/>
      <c r="G163" s="1" t="n"/>
      <c r="H163" s="1" t="n"/>
      <c r="I163" s="1" t="n"/>
      <c r="J163" s="1" t="n"/>
      <c r="K163" s="1" t="n"/>
      <c r="L163" s="1" t="n"/>
      <c r="M163" s="1" t="n"/>
    </row>
    <row r="164" ht="15" customHeight="1">
      <c r="A164" s="1" t="n"/>
      <c r="B164" s="1" t="n"/>
      <c r="C164" s="1" t="n"/>
      <c r="D164" s="1" t="n"/>
      <c r="E164" s="1" t="n"/>
      <c r="F164" s="1" t="n"/>
      <c r="G164" s="1" t="n"/>
      <c r="H164" s="1" t="n"/>
      <c r="I164" s="1" t="n"/>
      <c r="J164" s="1" t="n"/>
      <c r="K164" s="1" t="n"/>
      <c r="L164" s="1" t="n"/>
      <c r="M164" s="1" t="n"/>
    </row>
    <row r="165" ht="15" customHeight="1">
      <c r="A165" s="1" t="n"/>
      <c r="B165" s="1" t="n"/>
      <c r="C165" s="1" t="n"/>
      <c r="D165" s="1" t="n"/>
      <c r="E165" s="1" t="n"/>
      <c r="F165" s="1" t="n"/>
      <c r="G165" s="1" t="n"/>
      <c r="H165" s="1" t="n"/>
      <c r="I165" s="1" t="n"/>
      <c r="J165" s="1" t="n"/>
      <c r="K165" s="1" t="n"/>
      <c r="L165" s="1" t="n"/>
      <c r="M165" s="1" t="n"/>
    </row>
    <row r="166" ht="15" customHeight="1">
      <c r="A166" s="1" t="n"/>
      <c r="B166" s="1" t="n"/>
      <c r="C166" s="1" t="n"/>
      <c r="D166" s="1" t="n"/>
      <c r="E166" s="1" t="n"/>
      <c r="F166" s="1" t="n"/>
      <c r="G166" s="1" t="n"/>
      <c r="H166" s="1" t="n"/>
      <c r="I166" s="1" t="n"/>
      <c r="J166" s="1" t="n"/>
      <c r="K166" s="1" t="n"/>
      <c r="L166" s="1" t="n"/>
      <c r="M166" s="1" t="n"/>
    </row>
    <row r="167" ht="15" customHeight="1">
      <c r="A167" s="1" t="n"/>
      <c r="B167" s="1" t="n"/>
      <c r="C167" s="1" t="n"/>
      <c r="D167" s="1" t="n"/>
      <c r="E167" s="1" t="n"/>
      <c r="F167" s="1" t="n"/>
      <c r="G167" s="1" t="n"/>
      <c r="H167" s="1" t="n"/>
      <c r="I167" s="1" t="n"/>
      <c r="J167" s="1" t="n"/>
      <c r="K167" s="1" t="n"/>
      <c r="L167" s="1" t="n"/>
      <c r="M167" s="1" t="n"/>
    </row>
    <row r="168" ht="15" customHeight="1">
      <c r="A168" s="1" t="n"/>
      <c r="B168" s="1" t="n"/>
      <c r="C168" s="1" t="n"/>
      <c r="D168" s="1" t="n"/>
      <c r="E168" s="1" t="n"/>
      <c r="F168" s="1" t="n"/>
      <c r="G168" s="1" t="n"/>
      <c r="H168" s="1" t="n"/>
      <c r="I168" s="1" t="n"/>
      <c r="J168" s="1" t="n"/>
      <c r="K168" s="1" t="n"/>
      <c r="L168" s="1" t="n"/>
      <c r="M168" s="1" t="n"/>
    </row>
    <row r="169" ht="15" customHeight="1">
      <c r="A169" s="1" t="n"/>
      <c r="B169" s="1" t="n"/>
      <c r="C169" s="1" t="n"/>
      <c r="D169" s="1" t="n"/>
      <c r="E169" s="1" t="n"/>
      <c r="F169" s="1" t="n"/>
      <c r="G169" s="1" t="n"/>
      <c r="H169" s="1" t="n"/>
      <c r="I169" s="1" t="n"/>
      <c r="J169" s="1" t="n"/>
      <c r="K169" s="1" t="n"/>
      <c r="L169" s="1" t="n"/>
      <c r="M169" s="1" t="n"/>
    </row>
    <row r="170" ht="15" customHeight="1">
      <c r="A170" s="1" t="n"/>
      <c r="B170" s="1" t="n"/>
      <c r="C170" s="1" t="n"/>
      <c r="D170" s="1" t="n"/>
      <c r="E170" s="1" t="n"/>
      <c r="F170" s="1" t="n"/>
      <c r="G170" s="1" t="n"/>
      <c r="H170" s="1" t="n"/>
      <c r="I170" s="1" t="n"/>
      <c r="J170" s="1" t="n"/>
      <c r="K170" s="1" t="n"/>
      <c r="L170" s="1" t="n"/>
      <c r="M170" s="1" t="n"/>
    </row>
    <row r="171" ht="15" customHeight="1">
      <c r="A171" s="1" t="n"/>
      <c r="B171" s="1" t="n"/>
      <c r="C171" s="1" t="n"/>
      <c r="D171" s="1" t="n"/>
      <c r="E171" s="1" t="n"/>
      <c r="F171" s="1" t="n"/>
      <c r="G171" s="1" t="n"/>
      <c r="H171" s="1" t="n"/>
      <c r="I171" s="1" t="n"/>
      <c r="J171" s="1" t="n"/>
      <c r="K171" s="1" t="n"/>
      <c r="L171" s="1" t="n"/>
      <c r="M171" s="1" t="n"/>
    </row>
    <row r="172" ht="15" customHeight="1">
      <c r="A172" s="1" t="n"/>
      <c r="B172" s="1" t="n"/>
      <c r="C172" s="1" t="n"/>
      <c r="D172" s="1" t="n"/>
      <c r="E172" s="1" t="n"/>
      <c r="F172" s="1" t="n"/>
      <c r="G172" s="1" t="n"/>
      <c r="H172" s="1" t="n"/>
      <c r="I172" s="1" t="n"/>
      <c r="J172" s="1" t="n"/>
      <c r="K172" s="1" t="n"/>
      <c r="L172" s="1" t="n"/>
      <c r="M172" s="1" t="n"/>
    </row>
    <row r="173" ht="15" customHeight="1">
      <c r="A173" s="1" t="n"/>
      <c r="B173" s="1" t="n"/>
      <c r="C173" s="1" t="n"/>
      <c r="D173" s="1" t="n"/>
      <c r="E173" s="1" t="n"/>
      <c r="F173" s="1" t="n"/>
      <c r="G173" s="1" t="n"/>
      <c r="H173" s="1" t="n"/>
      <c r="I173" s="1" t="n"/>
      <c r="J173" s="1" t="n"/>
      <c r="K173" s="1" t="n"/>
      <c r="L173" s="1" t="n"/>
      <c r="M173" s="1" t="n"/>
    </row>
    <row r="174" ht="15" customHeight="1">
      <c r="A174" s="1" t="n"/>
      <c r="B174" s="1" t="n"/>
      <c r="C174" s="1" t="n"/>
      <c r="D174" s="1" t="n"/>
      <c r="E174" s="1" t="n"/>
      <c r="F174" s="1" t="n"/>
      <c r="G174" s="1" t="n"/>
      <c r="H174" s="1" t="n"/>
      <c r="I174" s="1" t="n"/>
      <c r="J174" s="1" t="n"/>
      <c r="K174" s="1" t="n"/>
      <c r="L174" s="1" t="n"/>
      <c r="M174" s="1" t="n"/>
    </row>
    <row r="175" ht="15" customHeight="1">
      <c r="A175" s="1" t="n"/>
      <c r="B175" s="1" t="n"/>
      <c r="C175" s="1" t="n"/>
      <c r="D175" s="1" t="n"/>
      <c r="E175" s="1" t="n"/>
      <c r="F175" s="1" t="n"/>
      <c r="G175" s="1" t="n"/>
      <c r="H175" s="1" t="n"/>
      <c r="I175" s="1" t="n"/>
      <c r="J175" s="1" t="n"/>
      <c r="K175" s="1" t="n"/>
      <c r="L175" s="1" t="n"/>
      <c r="M175" s="1" t="n"/>
    </row>
    <row r="176" ht="15" customHeight="1">
      <c r="A176" s="1" t="n"/>
      <c r="B176" s="1" t="n"/>
      <c r="C176" s="1" t="n"/>
      <c r="D176" s="1" t="n"/>
      <c r="E176" s="1" t="n"/>
      <c r="F176" s="1" t="n"/>
      <c r="G176" s="1" t="n"/>
      <c r="H176" s="1" t="n"/>
      <c r="I176" s="1" t="n"/>
      <c r="J176" s="1" t="n"/>
      <c r="K176" s="1" t="n"/>
      <c r="L176" s="1" t="n"/>
      <c r="M176" s="1" t="n"/>
    </row>
    <row r="177" ht="15" customHeight="1">
      <c r="A177" s="1" t="n"/>
      <c r="B177" s="1" t="n"/>
      <c r="C177" s="1" t="n"/>
      <c r="D177" s="1" t="n"/>
      <c r="E177" s="1" t="n"/>
      <c r="F177" s="1" t="n"/>
      <c r="G177" s="1" t="n"/>
      <c r="H177" s="1" t="n"/>
      <c r="I177" s="1" t="n"/>
      <c r="J177" s="1" t="n"/>
      <c r="K177" s="1" t="n"/>
      <c r="L177" s="1" t="n"/>
      <c r="M177" s="1" t="n"/>
    </row>
    <row r="178" ht="15" customHeight="1">
      <c r="A178" s="1" t="n"/>
      <c r="B178" s="1" t="n"/>
      <c r="C178" s="1" t="n"/>
      <c r="D178" s="1" t="n"/>
      <c r="E178" s="1" t="n"/>
      <c r="F178" s="1" t="n"/>
      <c r="G178" s="1" t="n"/>
      <c r="H178" s="1" t="n"/>
      <c r="I178" s="1" t="n"/>
      <c r="J178" s="1" t="n"/>
      <c r="K178" s="1" t="n"/>
      <c r="L178" s="1" t="n"/>
      <c r="M178" s="1" t="n"/>
    </row>
    <row r="179" ht="15" customHeight="1">
      <c r="A179" s="1" t="n"/>
      <c r="B179" s="1" t="n"/>
      <c r="C179" s="1" t="n"/>
      <c r="D179" s="1" t="n"/>
      <c r="E179" s="1" t="n"/>
      <c r="F179" s="1" t="n"/>
      <c r="G179" s="1" t="n"/>
      <c r="H179" s="1" t="n"/>
      <c r="I179" s="1" t="n"/>
      <c r="J179" s="1" t="n"/>
      <c r="K179" s="1" t="n"/>
      <c r="L179" s="1" t="n"/>
      <c r="M179" s="1" t="n"/>
    </row>
    <row r="180" ht="15" customHeight="1">
      <c r="A180" s="1" t="n"/>
      <c r="B180" s="1" t="n"/>
      <c r="C180" s="1" t="n"/>
      <c r="D180" s="1" t="n"/>
      <c r="E180" s="1" t="n"/>
      <c r="F180" s="1" t="n"/>
      <c r="G180" s="1" t="n"/>
      <c r="H180" s="1" t="n"/>
      <c r="I180" s="1" t="n"/>
      <c r="J180" s="1" t="n"/>
      <c r="K180" s="1" t="n"/>
      <c r="L180" s="1" t="n"/>
      <c r="M180" s="1" t="n"/>
    </row>
    <row r="181" ht="15" customHeight="1">
      <c r="A181" s="1" t="n"/>
      <c r="B181" s="1" t="n"/>
      <c r="C181" s="1" t="n"/>
      <c r="D181" s="1" t="n"/>
      <c r="E181" s="1" t="n"/>
      <c r="F181" s="1" t="n"/>
      <c r="G181" s="1" t="n"/>
      <c r="H181" s="1" t="n"/>
      <c r="I181" s="1" t="n"/>
      <c r="J181" s="1" t="n"/>
      <c r="K181" s="1" t="n"/>
      <c r="L181" s="1" t="n"/>
      <c r="M181" s="1" t="n"/>
    </row>
    <row r="182" ht="15" customHeight="1">
      <c r="A182" s="1" t="n"/>
      <c r="B182" s="1" t="n"/>
      <c r="C182" s="1" t="n"/>
      <c r="D182" s="1" t="n"/>
      <c r="E182" s="1" t="n"/>
      <c r="F182" s="1" t="n"/>
      <c r="G182" s="1" t="n"/>
      <c r="H182" s="1" t="n"/>
      <c r="I182" s="1" t="n"/>
      <c r="J182" s="1" t="n"/>
      <c r="K182" s="1" t="n"/>
      <c r="L182" s="1" t="n"/>
      <c r="M182" s="1" t="n"/>
    </row>
    <row r="183" ht="15" customHeight="1">
      <c r="A183" s="1" t="n"/>
      <c r="B183" s="1" t="n"/>
      <c r="C183" s="1" t="n"/>
      <c r="D183" s="1" t="n"/>
      <c r="E183" s="1" t="n"/>
      <c r="F183" s="1" t="n"/>
      <c r="G183" s="1" t="n"/>
      <c r="H183" s="1" t="n"/>
      <c r="I183" s="1" t="n"/>
      <c r="J183" s="1" t="n"/>
      <c r="K183" s="1" t="n"/>
      <c r="L183" s="1" t="n"/>
      <c r="M183" s="1" t="n"/>
    </row>
    <row r="184" ht="15" customHeight="1">
      <c r="A184" s="1" t="n"/>
      <c r="B184" s="1" t="n"/>
      <c r="C184" s="1" t="n"/>
      <c r="D184" s="1" t="n"/>
      <c r="E184" s="1" t="n"/>
      <c r="F184" s="1" t="n"/>
      <c r="G184" s="1" t="n"/>
      <c r="H184" s="1" t="n"/>
      <c r="I184" s="1" t="n"/>
      <c r="J184" s="1" t="n"/>
      <c r="K184" s="1" t="n"/>
      <c r="L184" s="1" t="n"/>
      <c r="M184" s="1" t="n"/>
    </row>
    <row r="185" ht="15" customHeight="1">
      <c r="A185" s="1" t="n"/>
      <c r="B185" s="1" t="n"/>
      <c r="C185" s="1" t="n"/>
      <c r="D185" s="1" t="n"/>
      <c r="E185" s="1" t="n"/>
      <c r="F185" s="1" t="n"/>
      <c r="G185" s="1" t="n"/>
      <c r="H185" s="1" t="n"/>
      <c r="I185" s="1" t="n"/>
      <c r="J185" s="1" t="n"/>
      <c r="K185" s="1" t="n"/>
      <c r="L185" s="1" t="n"/>
      <c r="M185" s="1" t="n"/>
    </row>
    <row r="186" ht="15" customHeight="1">
      <c r="A186" s="1" t="n"/>
      <c r="B186" s="1" t="n"/>
      <c r="C186" s="1" t="n"/>
      <c r="D186" s="1" t="n"/>
      <c r="E186" s="1" t="n"/>
      <c r="F186" s="1" t="n"/>
      <c r="G186" s="1" t="n"/>
      <c r="H186" s="1" t="n"/>
      <c r="I186" s="1" t="n"/>
      <c r="J186" s="1" t="n"/>
      <c r="K186" s="1" t="n"/>
      <c r="L186" s="1" t="n"/>
      <c r="M186" s="1" t="n"/>
    </row>
    <row r="187" ht="15" customHeight="1">
      <c r="A187" s="1" t="n"/>
      <c r="B187" s="1" t="n"/>
      <c r="C187" s="1" t="n"/>
      <c r="D187" s="1" t="n"/>
      <c r="E187" s="1" t="n"/>
      <c r="F187" s="1" t="n"/>
      <c r="G187" s="1" t="n"/>
      <c r="H187" s="1" t="n"/>
      <c r="I187" s="1" t="n"/>
      <c r="J187" s="1" t="n"/>
      <c r="K187" s="1" t="n"/>
      <c r="L187" s="1" t="n"/>
      <c r="M187" s="1" t="n"/>
    </row>
    <row r="188" ht="15" customHeight="1">
      <c r="A188" s="1" t="n"/>
      <c r="B188" s="1" t="n"/>
      <c r="C188" s="1" t="n"/>
      <c r="D188" s="1" t="n"/>
      <c r="E188" s="1" t="n"/>
      <c r="F188" s="1" t="n"/>
      <c r="G188" s="1" t="n"/>
      <c r="H188" s="1" t="n"/>
      <c r="I188" s="1" t="n"/>
      <c r="J188" s="1" t="n"/>
      <c r="K188" s="1" t="n"/>
      <c r="L188" s="1" t="n"/>
      <c r="M188" s="1" t="n"/>
    </row>
    <row r="189" ht="15" customHeight="1">
      <c r="A189" s="1" t="n"/>
      <c r="B189" s="1" t="n"/>
      <c r="C189" s="1" t="n"/>
      <c r="D189" s="1" t="n"/>
      <c r="E189" s="1" t="n"/>
      <c r="F189" s="1" t="n"/>
      <c r="G189" s="1" t="n"/>
      <c r="H189" s="1" t="n"/>
      <c r="I189" s="1" t="n"/>
      <c r="J189" s="1" t="n"/>
      <c r="K189" s="1" t="n"/>
      <c r="L189" s="1" t="n"/>
      <c r="M189" s="1" t="n"/>
    </row>
    <row r="190" ht="15" customHeight="1">
      <c r="A190" s="1" t="n"/>
      <c r="B190" s="1" t="n"/>
      <c r="C190" s="1" t="n"/>
      <c r="D190" s="1" t="n"/>
      <c r="E190" s="1" t="n"/>
      <c r="F190" s="1" t="n"/>
      <c r="G190" s="1" t="n"/>
      <c r="H190" s="1" t="n"/>
      <c r="I190" s="1" t="n"/>
      <c r="J190" s="1" t="n"/>
      <c r="K190" s="1" t="n"/>
      <c r="L190" s="1" t="n"/>
      <c r="M190" s="1" t="n"/>
    </row>
    <row r="191" ht="15" customHeight="1">
      <c r="A191" s="1" t="n"/>
      <c r="B191" s="1" t="n"/>
      <c r="C191" s="1" t="n"/>
      <c r="D191" s="1" t="n"/>
      <c r="E191" s="1" t="n"/>
      <c r="F191" s="1" t="n"/>
      <c r="G191" s="1" t="n"/>
      <c r="H191" s="1" t="n"/>
      <c r="I191" s="1" t="n"/>
      <c r="J191" s="1" t="n"/>
      <c r="K191" s="1" t="n"/>
      <c r="L191" s="1" t="n"/>
      <c r="M191" s="1" t="n"/>
    </row>
    <row r="192" ht="15" customHeight="1">
      <c r="A192" s="1" t="n"/>
      <c r="B192" s="1" t="n"/>
      <c r="C192" s="1" t="n"/>
      <c r="D192" s="1" t="n"/>
      <c r="E192" s="1" t="n"/>
      <c r="F192" s="1" t="n"/>
      <c r="G192" s="1" t="n"/>
      <c r="H192" s="1" t="n"/>
      <c r="I192" s="1" t="n"/>
      <c r="J192" s="1" t="n"/>
      <c r="K192" s="1" t="n"/>
      <c r="L192" s="1" t="n"/>
      <c r="M192" s="1" t="n"/>
    </row>
    <row r="193" ht="15" customHeight="1">
      <c r="A193" s="1" t="n"/>
      <c r="B193" s="1" t="n"/>
      <c r="C193" s="1" t="n"/>
      <c r="D193" s="1" t="n"/>
      <c r="E193" s="1" t="n"/>
      <c r="F193" s="1" t="n"/>
      <c r="G193" s="1" t="n"/>
      <c r="H193" s="1" t="n"/>
      <c r="I193" s="1" t="n"/>
      <c r="J193" s="1" t="n"/>
      <c r="K193" s="1" t="n"/>
      <c r="L193" s="1" t="n"/>
      <c r="M193" s="1" t="n"/>
    </row>
    <row r="194" ht="15" customHeight="1">
      <c r="A194" s="1" t="n"/>
      <c r="B194" s="1" t="n"/>
      <c r="C194" s="1" t="n"/>
      <c r="D194" s="1" t="n"/>
      <c r="E194" s="1" t="n"/>
      <c r="F194" s="1" t="n"/>
      <c r="G194" s="1" t="n"/>
      <c r="H194" s="1" t="n"/>
      <c r="I194" s="1" t="n"/>
      <c r="J194" s="1" t="n"/>
      <c r="K194" s="1" t="n"/>
      <c r="L194" s="1" t="n"/>
      <c r="M194" s="1" t="n"/>
    </row>
    <row r="195" ht="15" customHeight="1">
      <c r="A195" s="1" t="n"/>
      <c r="B195" s="1" t="n"/>
      <c r="C195" s="1" t="n"/>
      <c r="D195" s="1" t="n"/>
      <c r="E195" s="1" t="n"/>
      <c r="F195" s="1" t="n"/>
      <c r="G195" s="1" t="n"/>
      <c r="H195" s="1" t="n"/>
      <c r="I195" s="1" t="n"/>
      <c r="J195" s="1" t="n"/>
      <c r="K195" s="1" t="n"/>
      <c r="L195" s="1" t="n"/>
      <c r="M195" s="1" t="n"/>
    </row>
    <row r="196" ht="15" customHeight="1">
      <c r="A196" s="1" t="n"/>
      <c r="B196" s="1" t="n"/>
      <c r="C196" s="1" t="n"/>
      <c r="D196" s="1" t="n"/>
      <c r="E196" s="1" t="n"/>
      <c r="F196" s="1" t="n"/>
      <c r="G196" s="1" t="n"/>
      <c r="H196" s="1" t="n"/>
      <c r="I196" s="1" t="n"/>
      <c r="J196" s="1" t="n"/>
      <c r="K196" s="1" t="n"/>
      <c r="L196" s="1" t="n"/>
      <c r="M196" s="1" t="n"/>
    </row>
    <row r="197" ht="15" customHeight="1">
      <c r="A197" s="1" t="n"/>
      <c r="B197" s="1" t="n"/>
      <c r="C197" s="1" t="n"/>
      <c r="D197" s="1" t="n"/>
      <c r="E197" s="1" t="n"/>
      <c r="F197" s="1" t="n"/>
      <c r="G197" s="1" t="n"/>
      <c r="H197" s="1" t="n"/>
      <c r="I197" s="1" t="n"/>
      <c r="J197" s="1" t="n"/>
      <c r="K197" s="1" t="n"/>
      <c r="L197" s="1" t="n"/>
      <c r="M197" s="1" t="n"/>
    </row>
    <row r="198" ht="15" customHeight="1">
      <c r="A198" s="1" t="n"/>
      <c r="B198" s="1" t="n"/>
      <c r="C198" s="1" t="n"/>
      <c r="D198" s="1" t="n"/>
      <c r="E198" s="1" t="n"/>
      <c r="F198" s="1" t="n"/>
      <c r="G198" s="1" t="n"/>
      <c r="H198" s="1" t="n"/>
      <c r="I198" s="1" t="n"/>
      <c r="J198" s="1" t="n"/>
      <c r="K198" s="1" t="n"/>
      <c r="L198" s="1" t="n"/>
      <c r="M198" s="1" t="n"/>
    </row>
    <row r="199" ht="15" customHeight="1">
      <c r="A199" s="1" t="n"/>
      <c r="B199" s="1" t="n"/>
      <c r="C199" s="1" t="n"/>
      <c r="D199" s="1" t="n"/>
      <c r="E199" s="1" t="n"/>
      <c r="F199" s="1" t="n"/>
      <c r="G199" s="1" t="n"/>
      <c r="H199" s="1" t="n"/>
      <c r="I199" s="1" t="n"/>
      <c r="J199" s="1" t="n"/>
      <c r="K199" s="1" t="n"/>
      <c r="L199" s="1" t="n"/>
      <c r="M199" s="1" t="n"/>
    </row>
    <row r="200" ht="15" customHeight="1">
      <c r="A200" s="1" t="n"/>
      <c r="B200" s="1" t="n"/>
      <c r="C200" s="1" t="n"/>
      <c r="D200" s="1" t="n"/>
      <c r="E200" s="1" t="n"/>
      <c r="F200" s="1" t="n"/>
      <c r="G200" s="1" t="n"/>
      <c r="H200" s="1" t="n"/>
      <c r="I200" s="1" t="n"/>
      <c r="J200" s="1" t="n"/>
      <c r="K200" s="1" t="n"/>
      <c r="L200" s="1" t="n"/>
      <c r="M200" s="1" t="n"/>
    </row>
  </sheetData>
  <mergeCells count="2">
    <mergeCell ref="A2:H2"/>
    <mergeCell ref="A1:H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36"/>
  <sheetViews>
    <sheetView showGridLines="0" workbookViewId="0">
      <selection activeCell="A1" sqref="A1"/>
    </sheetView>
  </sheetViews>
  <sheetFormatPr baseColWidth="8" defaultRowHeight="15"/>
  <cols>
    <col width="34" customWidth="1" min="1" max="1"/>
    <col width="88" customWidth="1" min="2" max="2"/>
  </cols>
  <sheetData>
    <row r="1" ht="26" customHeight="1">
      <c r="A1" s="27" t="inlineStr">
        <is>
          <t>Refinement Notes - Credibility Pass (Jul 2026)</t>
        </is>
      </c>
    </row>
    <row r="2" ht="30" customHeight="1">
      <c r="A2" s="3" t="inlineStr">
        <is>
          <t>What changed in this refined copy and what still needs validation before the calculator goes live. Focus of this pass: make the number defensible to a skeptical CFO/CHRO.</t>
        </is>
      </c>
    </row>
    <row r="3"/>
    <row r="4">
      <c r="A4" s="28" t="inlineStr">
        <is>
          <t>What I verified (holds up)</t>
        </is>
      </c>
    </row>
    <row r="5" ht="63" customHeight="1">
      <c r="A5" s="29" t="inlineStr">
        <is>
          <t>External benchmarks are current</t>
        </is>
      </c>
      <c r="B5" s="3" t="inlineStr">
        <is>
          <t>SHRM cost per hire ($5,475 nonexec / $35,879 exec) and BLS ECEC wage share (69.9% -&gt; 1.4306 loaded multiplier, March 2026) both confirmed against current published sources. These are a genuine credibility asset - most competitor tools cite nothing.</t>
        </is>
      </c>
    </row>
    <row r="6" ht="63" customHeight="1">
      <c r="A6" s="29" t="inlineStr">
        <is>
          <t>The math works</t>
        </is>
      </c>
      <c r="B6" s="3" t="inlineStr">
        <is>
          <t>Sample model computes cleanly. One manager at $120k = ~$66k midpoint (0.55x salary), which sits conservatively at the LOW end of the widely-cited 50-200% range. Understating is safer than overstating for trust.</t>
        </is>
      </c>
    </row>
    <row r="7" ht="78" customHeight="1">
      <c r="A7" s="29" t="inlineStr">
        <is>
          <t>Your differentiators are unoccupied</t>
        </is>
      </c>
      <c r="B7" s="3" t="inlineStr">
        <is>
          <t>Reviewed live tools (EvalFlow, Adecco, SHRM, Bonusly, Talexes, Hurix, PuzzleHR). Nearly all are: headcount x salary x turnover% -&gt; one scary number + "save $X if turnover drops" + product CTA. None break out knowledge-loss line items, show sources, or disclose benchmark-vs-your-data. Your four differentiators are clear space.</t>
        </is>
      </c>
    </row>
    <row r="8">
      <c r="A8" s="28" t="inlineStr">
        <is>
          <t>What I fixed</t>
        </is>
      </c>
    </row>
    <row r="9" ht="63" customHeight="1">
      <c r="A9" s="29" t="inlineStr">
        <is>
          <t>Built Using is now auditable</t>
        </is>
      </c>
      <c r="B9" s="3" t="inlineStr">
        <is>
          <t>Old formula hand-picked 4 components (looked arbitrary, understated benchmark reliance). Replaced with a cost-weighted calc using a visible per-component "Benchmark share" column (06, cols L/M) that a reviewer can inspect and challenge line by line.</t>
        </is>
      </c>
    </row>
    <row r="10" ht="48" customHeight="1">
      <c r="A10" s="29" t="inlineStr">
        <is>
          <t>Added a Provisional-assumption share</t>
        </is>
      </c>
      <c r="B10" s="3" t="inlineStr">
        <is>
          <t>New flag on sheet 06 shows ~92% of this sample rests on defaults not yet validated. Honest, and it tells you exactly what to calibrate first.</t>
        </is>
      </c>
    </row>
    <row r="11" ht="48" customHeight="1">
      <c r="A11" s="29" t="inlineStr">
        <is>
          <t>Made the rediscovery boundary explicit</t>
        </is>
      </c>
      <c r="B11" s="3" t="inlineStr">
        <is>
          <t>Sheet 04 + 06 now state that context rediscovery counts ONLY hours incremental to, and outside, the ramp-up window - closing the biggest double-count exposure.</t>
        </is>
      </c>
    </row>
    <row r="12" ht="33" customHeight="1">
      <c r="A12" s="29" t="inlineStr">
        <is>
          <t>Re-dated verified benchmarks</t>
        </is>
      </c>
      <c r="B12" s="3" t="inlineStr">
        <is>
          <t>Marked confirmed benchmarks "re-checked Jul 2026" so freshness is visible.</t>
        </is>
      </c>
    </row>
    <row r="13">
      <c r="A13" s="28" t="inlineStr">
        <is>
          <t>Top risks to resolve before launch (priority order)</t>
        </is>
      </c>
    </row>
    <row r="14" ht="63" customHeight="1">
      <c r="A14" s="29" t="inlineStr">
        <is>
          <t>1. Ramp-up vs rediscovery overlap</t>
        </is>
      </c>
      <c r="B14" s="3" t="inlineStr">
        <is>
          <t>These are your two largest line items (~54% of the total combined). If they overlap even partly, the headline is inflated - and this is the first thing a finance reviewer will attack. Calibrate the boundary with real data or expert review.</t>
        </is>
      </c>
    </row>
    <row r="15" ht="48" customHeight="1">
      <c r="A15" s="29" t="inlineStr">
        <is>
          <t>2. Calibrate the provisional defaults</t>
        </is>
      </c>
      <c r="B15" s="3" t="inlineStr">
        <is>
          <t>Ramp productivity (60%), rediscovery hours (160), reconstruction hours (60), uncovered work (50%) are all placeholders. Until validated, always show a range, never a single figure.</t>
        </is>
      </c>
    </row>
    <row r="16" ht="48" customHeight="1">
      <c r="A16" s="29" t="inlineStr">
        <is>
          <t>3. Keep the honesty framing</t>
        </is>
      </c>
      <c r="B16" s="3" t="inlineStr">
        <is>
          <t>"Built Using" = composition, not accuracy. A high benchmark share means "mostly defaults," not "more correct." Never let marketing imply otherwise - the honesty IS the differentiator.</t>
        </is>
      </c>
    </row>
    <row r="17"/>
    <row r="18">
      <c r="A18" s="31" t="inlineStr">
        <is>
          <t>Default changes this pass (nothing changed silently)</t>
        </is>
      </c>
    </row>
    <row r="19" ht="93" customHeight="1">
      <c r="A19" s="29" t="inlineStr">
        <is>
          <t>Ramp-up duration: 4 -&gt; 8 months</t>
        </is>
      </c>
      <c r="B19" s="3" t="inlineStr">
        <is>
          <t>Methodology: Gallup 2024 median time to full productivity is 8.2 months for mid-level professionals; a corporate/knowledge manager maps to that segment. Rounded to 8. Source: Gallup 2024. Reason: the original 4-month value was an untested placeholder; 8 aligns the ramp window with published time-to-productivity evidence. Effect: raises the sample midpoint (ramp is the largest line).</t>
        </is>
      </c>
    </row>
    <row r="20" ht="93" customHeight="1">
      <c r="A20" s="29" t="inlineStr">
        <is>
          <t>Context rediscovery: 160 -&gt; 130 hours</t>
        </is>
      </c>
      <c r="B20" s="3" t="inlineStr">
        <is>
          <t>Methodology: incremental rediscovery only - ~4 hrs/week (half of APQC 8.2 hrs/wk for looking-for/recreating information) across the ~33-week (8-month) ramp = ~130 hours, stripping overlap already priced into ramp-up. Sources: APQC 2021 (n=982); McKinsey MGI 9.3 hrs/wk cross-check. Reason: replaces an invented 160 with a derived figure and lowers double-count risk.</t>
        </is>
      </c>
    </row>
    <row r="21"/>
    <row r="22">
      <c r="A22" s="31" t="inlineStr">
        <is>
          <t>Placeholders reviewed and intentionally left unchanged</t>
        </is>
      </c>
    </row>
    <row r="23" ht="33" customHeight="1">
      <c r="A23" s="29" t="inlineStr">
        <is>
          <t>Uncovered work during vacancy: 50%</t>
        </is>
      </c>
      <c r="B23" s="3" t="inlineStr">
        <is>
          <t>No published basis; structural assumption. Kept, labeled Emerging Evidence, user-set. Methodology produces no new value.</t>
        </is>
      </c>
    </row>
    <row r="24" ht="33" customHeight="1">
      <c r="A24" s="29" t="inlineStr">
        <is>
          <t>Average productivity during ramp: 60%</t>
        </is>
      </c>
      <c r="B24" s="3" t="inlineStr">
        <is>
          <t>Within range supported by ramp/onboarding literature. Kept as Research-Based Estimate.</t>
        </is>
      </c>
    </row>
    <row r="25" ht="33" customHeight="1">
      <c r="A25" s="29" t="inlineStr">
        <is>
          <t>Onboarding direct cost: $2,500</t>
        </is>
      </c>
      <c r="B25" s="3" t="inlineStr">
        <is>
          <t>No robust public benchmark located. Kept as a weak placeholder, flagged to replace with an org value.</t>
        </is>
      </c>
    </row>
    <row r="26" ht="33" customHeight="1">
      <c r="A26" s="29" t="inlineStr">
        <is>
          <t>Knowledge transfer: 40 hours</t>
        </is>
      </c>
      <c r="B26" s="3" t="inlineStr">
        <is>
          <t>Consistent with planned-handover practice (2-4 wks IC; 30-90 days senior). Kept; planned departures only.</t>
        </is>
      </c>
    </row>
    <row r="27" ht="33" customHeight="1">
      <c r="A27" s="29" t="inlineStr">
        <is>
          <t>Institutional-memory reconstruction: 60 hours</t>
        </is>
      </c>
      <c r="B27" s="3" t="inlineStr">
        <is>
          <t>Derivable from Panopto 5.3 hrs/wk (~3 helpers x ~4 weeks x a share). Kept; within supported range.</t>
        </is>
      </c>
    </row>
    <row r="28" ht="33" customHeight="1">
      <c r="A28" s="29" t="inlineStr">
        <is>
          <t>Project disruption: 24 hours/project</t>
        </is>
      </c>
      <c r="B28" s="3" t="inlineStr">
        <is>
          <t>Labor-only proxy, magnitude-checked vs cost-of-vacancy (~$500-1,154/day). Kept; excludes speculative value.</t>
        </is>
      </c>
    </row>
    <row r="29"/>
    <row r="30">
      <c r="A30" s="31" t="inlineStr">
        <is>
          <t>Note on future surveys</t>
        </is>
      </c>
    </row>
    <row r="31" ht="63" customHeight="1">
      <c r="A31" s="29" t="inlineStr">
        <is>
          <t>Stands on its own today</t>
        </is>
      </c>
      <c r="B31" s="3" t="inlineStr">
        <is>
          <t>Defaults rely only on published benchmarks and documented research-based estimates - no dependency on future interviews or surveys. Any behavioral questions in the tool are an optional user refinement, never required for the estimate to be credible.</t>
        </is>
      </c>
    </row>
    <row r="33">
      <c r="A33" s="31" t="inlineStr">
        <is>
          <t>Methodology v1.0 refinements</t>
        </is>
      </c>
    </row>
    <row r="34" ht="108" customHeight="1">
      <c r="A34" s="29" t="inlineStr">
        <is>
          <t>Ramp methodology confirmed (kept, not changed)</t>
        </is>
      </c>
      <c r="B34" s="3" t="inlineStr">
        <is>
          <t>Verified the ramp-up formula already models incremental loss: cost = monthly loaded cost x ramp months x (1 - average productivity). It multiplies by the productivity GAP, so the ~8-month ramp is not treated as lost. With 60% average productivity (the mean of a gradual improvement curve), effective loss = 8 x 40% = 3.2 month-equivalents, not 8. Added an on-sheet "Effective lost-productivity months" metric and expanded the explanation. No change to the formula.</t>
        </is>
      </c>
    </row>
    <row r="35" ht="30" customHeight="1">
      <c r="A35" s="29" t="inlineStr">
        <is>
          <t>Rediscovery methodology preserved</t>
        </is>
      </c>
      <c r="B35" s="3" t="inlineStr">
        <is>
          <t>Left the APQC/McKinsey-derived approach intact by request.</t>
        </is>
      </c>
    </row>
    <row r="36" ht="48" customHeight="1">
      <c r="A36" s="29" t="inlineStr">
        <is>
          <t>Benchmark Library Status column added</t>
        </is>
      </c>
      <c r="B36" s="3" t="inlineStr">
        <is>
          <t>New Status field (Adopted / Under Review / Future Research) makes the Library a living asset - status can evolve as research improves without losing historical rationale.</t>
        </is>
      </c>
    </row>
  </sheetData>
  <mergeCells count="9">
    <mergeCell ref="A4:B4"/>
    <mergeCell ref="A30:B30"/>
    <mergeCell ref="A2:B2"/>
    <mergeCell ref="A33:B33"/>
    <mergeCell ref="A13:B13"/>
    <mergeCell ref="A1:B1"/>
    <mergeCell ref="A18:B18"/>
    <mergeCell ref="A8:B8"/>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2026-07-16T00:32:58Z</dcterms:created>
  <dcterms:modified xmlns:dcterms="http://purl.org/dc/terms/" xmlns:xsi="http://www.w3.org/2001/XMLSchema-instance" xsi:type="dcterms:W3CDTF">2026-07-16T09:40:12Z</dcterms:modified>
  <cp:lastModifiedBy>Lydia Bailey</cp:lastModifiedBy>
</cp:coreProperties>
</file>