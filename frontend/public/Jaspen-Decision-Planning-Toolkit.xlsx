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1. Frame the Decision" sheetId="2" state="visible" r:id="rId2"/>
    <sheet xmlns:r="http://schemas.openxmlformats.org/officeDocument/2006/relationships" name="2. Your Rubric" sheetId="3" state="visible" r:id="rId3"/>
    <sheet xmlns:r="http://schemas.openxmlformats.org/officeDocument/2006/relationships" name="3. Assumptions &amp; Evidence" sheetId="4" state="visible" r:id="rId4"/>
    <sheet xmlns:r="http://schemas.openxmlformats.org/officeDocument/2006/relationships" name="4. Decide &amp; Review" sheetId="5" state="visible" r:id="rId5"/>
    <sheet xmlns:r="http://schemas.openxmlformats.org/officeDocument/2006/relationships" name="Decision Summary" sheetId="6" state="visible" r:id="rId6"/>
  </sheets>
  <definedNames>
    <definedName name="_xlnm.Print_Area" localSheetId="5">'Decision Summary'!$A$1:$E$21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18">
    <font>
      <name val="Calibri"/>
      <family val="2"/>
      <color theme="1"/>
      <sz val="11"/>
      <scheme val="minor"/>
    </font>
    <font>
      <name val="Calibri"/>
      <b val="1"/>
      <color rgb="00161F3B"/>
      <sz val="20"/>
    </font>
    <font>
      <name val="Calibri"/>
      <i val="1"/>
      <color rgb="005B6480"/>
      <sz val="11"/>
    </font>
    <font>
      <name val="Calibri"/>
      <color rgb="00161F3B"/>
      <sz val="11"/>
    </font>
    <font>
      <name val="Calibri"/>
      <b val="1"/>
      <color rgb="00A0036C"/>
      <sz val="12"/>
    </font>
    <font>
      <name val="Calibri"/>
      <color rgb="00FFFFFF"/>
      <sz val="10.5"/>
    </font>
    <font>
      <name val="Calibri"/>
      <b val="1"/>
      <color rgb="00A0036C"/>
      <sz val="11"/>
    </font>
    <font>
      <name val="Calibri"/>
      <b val="1"/>
      <color rgb="00161F3B"/>
      <sz val="12"/>
    </font>
    <font>
      <name val="Calibri"/>
      <i val="1"/>
      <color rgb="005B6480"/>
      <sz val="9.5"/>
    </font>
    <font>
      <name val="Calibri"/>
      <i val="1"/>
      <color rgb="008A8A8A"/>
      <sz val="11"/>
    </font>
    <font>
      <name val="Calibri"/>
      <b val="1"/>
      <color rgb="00FFFFFF"/>
      <sz val="10.5"/>
    </font>
    <font>
      <name val="Calibri"/>
      <b val="1"/>
      <color rgb="00A0036C"/>
      <sz val="10"/>
    </font>
    <font>
      <b val="1"/>
      <color rgb="00161F3B"/>
    </font>
    <font>
      <b val="1"/>
      <color rgb="00FFFFFF"/>
    </font>
    <font>
      <b val="1"/>
      <color rgb="00161F3B"/>
      <sz val="13"/>
    </font>
    <font>
      <b val="1"/>
      <color rgb="00A0036C"/>
      <sz val="12"/>
    </font>
    <font>
      <b val="1"/>
      <color rgb="00161F3B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61F3B"/>
      </patternFill>
    </fill>
    <fill>
      <patternFill patternType="solid">
        <fgColor rgb="00FFFFFF"/>
      </patternFill>
    </fill>
    <fill>
      <patternFill patternType="solid">
        <fgColor rgb="00EFECE6"/>
      </patternFill>
    </fill>
    <fill>
      <patternFill patternType="solid">
        <fgColor rgb="00A0036C"/>
      </patternFill>
    </fill>
  </fills>
  <borders count="6">
    <border>
      <left/>
      <right/>
      <top/>
      <bottom/>
      <diagonal/>
    </border>
    <border>
      <left style="thin">
        <color rgb="00D9D7D2"/>
      </left>
      <right style="thin">
        <color rgb="00D9D7D2"/>
      </right>
      <top style="thin">
        <color rgb="00D9D7D2"/>
      </top>
      <bottom style="thin">
        <color rgb="00D9D7D2"/>
      </bottom>
    </border>
    <border>
      <left/>
      <right/>
      <top style="thin">
        <color rgb="00D9D7D2"/>
      </top>
      <bottom/>
      <diagonal/>
    </border>
    <border>
      <left/>
      <right style="thin">
        <color rgb="00D9D7D2"/>
      </right>
      <top style="thin">
        <color rgb="00D9D7D2"/>
      </top>
      <bottom/>
      <diagonal/>
    </border>
    <border>
      <left/>
      <right/>
      <top style="thin">
        <color rgb="00D9D7D2"/>
      </top>
      <bottom style="thin">
        <color rgb="00D9D7D2"/>
      </bottom>
      <diagonal/>
    </border>
    <border>
      <left/>
      <right style="thin">
        <color rgb="00D9D7D2"/>
      </right>
      <top style="thin">
        <color rgb="00D9D7D2"/>
      </top>
      <bottom style="thin">
        <color rgb="00D9D7D2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 wrapText="1"/>
    </xf>
    <xf numFmtId="0" fontId="9" fillId="3" borderId="1" applyAlignment="1" applyProtection="1" pivotButton="0" quotePrefix="0" xfId="0">
      <alignment horizontal="left" vertical="center" wrapText="1" indent="1"/>
      <protection locked="0" hidden="0"/>
    </xf>
    <xf numFmtId="0" fontId="0" fillId="0" borderId="1" pivotButton="0" quotePrefix="0" xfId="0"/>
    <xf numFmtId="164" fontId="9" fillId="3" borderId="1" applyAlignment="1" applyProtection="1" pivotButton="0" quotePrefix="0" xfId="0">
      <alignment horizontal="left" vertical="center" wrapText="1" indent="1"/>
      <protection locked="0" hidden="0"/>
    </xf>
    <xf numFmtId="0" fontId="7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9" fillId="0" borderId="1" applyAlignment="1" applyProtection="1" pivotButton="0" quotePrefix="0" xfId="0">
      <alignment horizontal="left" vertical="center"/>
      <protection locked="0" hidden="0"/>
    </xf>
    <xf numFmtId="0" fontId="9" fillId="0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horizontal="left" vertical="center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11" fillId="0" borderId="0" pivotButton="0" quotePrefix="0" xfId="0"/>
    <xf numFmtId="0" fontId="3" fillId="3" borderId="1" applyAlignment="1" applyProtection="1" pivotButton="0" quotePrefix="0" xfId="0">
      <alignment horizontal="left" vertical="center"/>
      <protection locked="0" hidden="0"/>
    </xf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12" fillId="4" borderId="1" pivotButton="0" quotePrefix="0" xfId="0"/>
    <xf numFmtId="165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4" fillId="4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0">
      <alignment horizontal="left" vertical="center" wrapText="1" indent="1"/>
      <protection locked="0" hidden="0"/>
    </xf>
    <xf numFmtId="0" fontId="17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1E7B34"/>
      </font>
      <fill>
        <patternFill patternType="solid">
          <fgColor rgb="00E4F3E7"/>
        </patternFill>
      </fill>
    </dxf>
    <dxf>
      <fill>
        <patternFill patternType="solid">
          <fgColor rgb="00FBE7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0036C"/>
    <outlinePr summaryBelow="1" summaryRight="1"/>
    <pageSetUpPr/>
  </sheetPr>
  <dimension ref="A2: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22" customWidth="1" min="4" max="4"/>
    <col width="20" customWidth="1" min="5" max="5"/>
  </cols>
  <sheetData>
    <row r="2" ht="32" customHeight="1">
      <c r="B2" s="1" t="inlineStr">
        <is>
          <t>Jaspen Decision Planning Toolkit</t>
        </is>
      </c>
    </row>
    <row r="3">
      <c r="B3" s="2" t="inlineStr">
        <is>
          <t>Think through one important decision — clearly, and together.</t>
        </is>
      </c>
    </row>
    <row r="5" ht="62" customHeight="1">
      <c r="B5" s="3" t="inlineStr">
        <is>
          <t>Big decisions usually live in scattered places — a few notes here, a hallway conversation there, a trade-off someone mentioned once. This toolkit gives you one calm place to lay it all out: what you're deciding, what matters, the options on the table, the assumptions underneath them, and the reasoning behind your final call.</t>
        </is>
      </c>
    </row>
    <row r="6" ht="32" customHeight="1">
      <c r="B6" s="3" t="inlineStr">
        <is>
          <t>Use it on your own to get your head straight, or pass it around so your whole team's thinking is in one place before you decide.</t>
        </is>
      </c>
    </row>
    <row r="8">
      <c r="B8" s="4" t="inlineStr">
        <is>
          <t>How to use it</t>
        </is>
      </c>
    </row>
    <row r="9" ht="30" customHeight="1">
      <c r="B9" s="3" t="inlineStr">
        <is>
          <t>Step 1 — Frame the decision: what you're deciding, by when, and why it matters.</t>
        </is>
      </c>
    </row>
    <row r="10" ht="30" customHeight="1">
      <c r="B10" s="3" t="inlineStr">
        <is>
          <t>Step 2 — Your rubric: name what matters, weight it, and score each option. The toolkit does the math.</t>
        </is>
      </c>
    </row>
    <row r="11" ht="30" customHeight="1">
      <c r="B11" s="3" t="inlineStr">
        <is>
          <t>Step 3 — Assumptions &amp; evidence: surface what you're assuming, then weigh what the evidence actually says.</t>
        </is>
      </c>
    </row>
    <row r="12" ht="30" customHeight="1">
      <c r="B12" s="3" t="inlineStr">
        <is>
          <t>Step 4 — Decide &amp; review: record your call, why you made it, and a date to see how it turned out.</t>
        </is>
      </c>
    </row>
    <row r="13" ht="30" customHeight="1">
      <c r="B13" s="3" t="inlineStr">
        <is>
          <t>Decision Summary: a clean one-page view that fills itself in — ready to share or print.</t>
        </is>
      </c>
    </row>
    <row r="15">
      <c r="B15" s="4" t="inlineStr">
        <is>
          <t>Organize your thinking here. Pressure-test it in Jaspen.</t>
        </is>
      </c>
    </row>
    <row r="16" ht="64" customHeight="1">
      <c r="B16" s="3" t="inlineStr">
        <is>
          <t>A workbook is great at holding your thinking. What it can't do is question it. Once you've laid things out here, Jaspen takes it further — it asks the follow-up questions a spreadsheet can't, surfaces the assumptions and blind spots that are easy to miss, and keeps your reasoning as a Decision Record you can return to. Think of this toolkit as step one, and a Jaspen session as the conversation that pressure-tests it.</t>
        </is>
      </c>
    </row>
    <row r="17" ht="32" customHeight="1">
      <c r="B17" s="3" t="inlineStr">
        <is>
          <t>Working across a team? Have Operations, Finance, and Legal each add their piece here, then bring the whole picture together in one place.</t>
        </is>
      </c>
    </row>
    <row r="19" ht="20" customHeight="1">
      <c r="A19" s="5" t="inlineStr">
        <is>
          <t>When you're ready to pressure-test your thinking, continue at jaspen.ai</t>
        </is>
      </c>
    </row>
    <row r="20" ht="20" customHeight="1"/>
    <row r="21" ht="20" customHeight="1"/>
  </sheetData>
  <mergeCells count="14">
    <mergeCell ref="B17:E17"/>
    <mergeCell ref="B9:E9"/>
    <mergeCell ref="B8:E8"/>
    <mergeCell ref="A19:E21"/>
    <mergeCell ref="B12:E12"/>
    <mergeCell ref="B13:E13"/>
    <mergeCell ref="B6:E6"/>
    <mergeCell ref="B16:E16"/>
    <mergeCell ref="B15:E15"/>
    <mergeCell ref="B11:E11"/>
    <mergeCell ref="B3:E3"/>
    <mergeCell ref="B5:E5"/>
    <mergeCell ref="B2:E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1F3B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8" customWidth="1" min="4" max="4"/>
    <col width="16" customWidth="1" min="5" max="5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1 of 4  ·  Frame the decision</t>
        </is>
      </c>
    </row>
    <row r="4">
      <c r="A4" s="7" t="inlineStr">
        <is>
          <t>What are you deciding?</t>
        </is>
      </c>
      <c r="B4" s="8" t="inlineStr">
        <is>
          <t>One plain sentence. A real choice you're facing — not a broad topic.</t>
        </is>
      </c>
    </row>
    <row r="5" ht="40" customHeight="1">
      <c r="A5" s="9" t="inlineStr">
        <is>
          <t>Should we hire a full-time operations manager, or keep using our contractor?</t>
        </is>
      </c>
      <c r="B5" s="10" t="n"/>
      <c r="C5" s="10" t="n"/>
      <c r="D5" s="10" t="n"/>
      <c r="E5" s="10" t="n"/>
    </row>
    <row r="7">
      <c r="A7" s="7" t="inlineStr">
        <is>
          <t>When do you need to decide?</t>
        </is>
      </c>
      <c r="B7" s="8" t="inlineStr">
        <is>
          <t>A real date keeps the decision from drifting.</t>
        </is>
      </c>
    </row>
    <row r="8" ht="26" customHeight="1">
      <c r="A8" s="11" t="inlineStr">
        <is>
          <t>2026-08-15</t>
        </is>
      </c>
      <c r="B8" s="10" t="n"/>
    </row>
    <row r="10">
      <c r="A10" s="7" t="inlineStr">
        <is>
          <t>Why does this matter?</t>
        </is>
      </c>
      <c r="B10" s="8" t="inlineStr">
        <is>
          <t>What's really at stake — for you, your team, or the business — if you get it right or wrong?</t>
        </is>
      </c>
    </row>
    <row r="11" ht="44" customHeight="1">
      <c r="A11" s="9" t="inlineStr">
        <is>
          <t>Delivery keeps slipping and we're losing evenings to firefighting. The right call frees up real leadership time.</t>
        </is>
      </c>
      <c r="B11" s="10" t="n"/>
      <c r="C11" s="10" t="n"/>
      <c r="D11" s="10" t="n"/>
      <c r="E11" s="10" t="n"/>
    </row>
    <row r="13">
      <c r="A13" s="7" t="inlineStr">
        <is>
          <t>What happens if you don't decide?</t>
        </is>
      </c>
      <c r="B13" s="8" t="inlineStr">
        <is>
          <t>The cost of letting it drift. Naming it makes the deadline feel real.</t>
        </is>
      </c>
    </row>
    <row r="14" ht="40" customHeight="1">
      <c r="A14" s="9" t="inlineStr">
        <is>
          <t>We keep paying premium contractor rates and stay stuck reacting instead of planning ahead.</t>
        </is>
      </c>
      <c r="B14" s="10" t="n"/>
      <c r="C14" s="10" t="n"/>
      <c r="D14" s="10" t="n"/>
      <c r="E14" s="10" t="n"/>
    </row>
    <row r="16">
      <c r="A16" s="7" t="inlineStr">
        <is>
          <t>What would a good outcome look like?</t>
        </is>
      </c>
      <c r="B16" s="8" t="inlineStr">
        <is>
          <t>Picture a few months out. What does 'this went well' actually look like?</t>
        </is>
      </c>
    </row>
    <row r="17" ht="40" customHeight="1">
      <c r="A17" s="9" t="inlineStr">
        <is>
          <t>Operations run smoothly without daily leadership involvement, and we're still within budget.</t>
        </is>
      </c>
      <c r="B17" s="10" t="n"/>
      <c r="C17" s="10" t="n"/>
      <c r="D17" s="10" t="n"/>
      <c r="E17" s="10" t="n"/>
    </row>
    <row r="19">
      <c r="A19" s="12" t="inlineStr">
        <is>
          <t>What options are you weighing?</t>
        </is>
      </c>
      <c r="B19" s="8" t="inlineStr">
        <is>
          <t>The choices on the table. You'll score them against your rubric in Step 2.</t>
        </is>
      </c>
    </row>
    <row r="20" ht="20" customHeight="1">
      <c r="A20" s="13" t="inlineStr">
        <is>
          <t>Option</t>
        </is>
      </c>
      <c r="B20" s="13" t="inlineStr">
        <is>
          <t>Short name (used in Step 2)</t>
        </is>
      </c>
      <c r="C20" s="13" t="inlineStr">
        <is>
          <t>What it is</t>
        </is>
      </c>
      <c r="D20" s="14" t="n"/>
      <c r="E20" s="15" t="n"/>
    </row>
    <row r="21" ht="22" customHeight="1">
      <c r="A21" s="16" t="inlineStr">
        <is>
          <t>Option A</t>
        </is>
      </c>
      <c r="B21" s="17" t="inlineStr">
        <is>
          <t>Full-time hire</t>
        </is>
      </c>
      <c r="C21" s="18" t="inlineStr">
        <is>
          <t>Hire a full-time operations manager.</t>
        </is>
      </c>
      <c r="D21" s="10" t="n"/>
      <c r="E21" s="10" t="n"/>
    </row>
    <row r="22" ht="22" customHeight="1">
      <c r="A22" s="16" t="inlineStr">
        <is>
          <t>Option B</t>
        </is>
      </c>
      <c r="B22" s="17" t="inlineStr">
        <is>
          <t>Contractor</t>
        </is>
      </c>
      <c r="C22" s="18" t="inlineStr">
        <is>
          <t>Keep our current contractor on a monthly retainer.</t>
        </is>
      </c>
      <c r="D22" s="10" t="n"/>
      <c r="E22" s="10" t="n"/>
    </row>
    <row r="23" ht="22" customHeight="1">
      <c r="A23" s="16" t="inlineStr">
        <is>
          <t>Option C</t>
        </is>
      </c>
      <c r="B23" s="17" t="inlineStr">
        <is>
          <t>Promote from within</t>
        </is>
      </c>
      <c r="C23" s="18" t="inlineStr">
        <is>
          <t>Promote and train someone already on the team.</t>
        </is>
      </c>
      <c r="D23" s="10" t="n"/>
      <c r="E23" s="10" t="n"/>
    </row>
    <row r="24" ht="22" customHeight="1">
      <c r="A24" s="16" t="inlineStr">
        <is>
          <t>Option D</t>
        </is>
      </c>
      <c r="B24" s="19" t="inlineStr"/>
      <c r="C24" s="20" t="inlineStr"/>
      <c r="D24" s="10" t="n"/>
      <c r="E24" s="10" t="n"/>
    </row>
    <row r="25" ht="22" customHeight="1">
      <c r="A25" s="16" t="inlineStr">
        <is>
          <t>Option E</t>
        </is>
      </c>
      <c r="B25" s="19" t="inlineStr"/>
      <c r="C25" s="20" t="inlineStr"/>
      <c r="D25" s="10" t="n"/>
      <c r="E25" s="10" t="n"/>
    </row>
    <row r="27">
      <c r="A27" s="21" t="inlineStr">
        <is>
          <t>Two or three real options is usually plenty. Too many and nothing gets a fair look.</t>
        </is>
      </c>
    </row>
  </sheetData>
  <mergeCells count="20">
    <mergeCell ref="C22:E22"/>
    <mergeCell ref="A11:E11"/>
    <mergeCell ref="A1:E1"/>
    <mergeCell ref="C21:E21"/>
    <mergeCell ref="B4:E4"/>
    <mergeCell ref="C23:E23"/>
    <mergeCell ref="B16:E16"/>
    <mergeCell ref="B7:E7"/>
    <mergeCell ref="A27:E27"/>
    <mergeCell ref="A2:E2"/>
    <mergeCell ref="A5:E5"/>
    <mergeCell ref="A14:E14"/>
    <mergeCell ref="A8:B8"/>
    <mergeCell ref="A17:E17"/>
    <mergeCell ref="C24:E24"/>
    <mergeCell ref="B13:E13"/>
    <mergeCell ref="B19:E19"/>
    <mergeCell ref="B10:E10"/>
    <mergeCell ref="C20:E20"/>
    <mergeCell ref="C25:E25"/>
  </mergeCells>
  <dataValidations count="1">
    <dataValidation sqref="A8" showDropDown="0" showInputMessage="0" showErrorMessage="0" allowBlank="1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1F3B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2 of 4  ·  Your decision rubric</t>
        </is>
      </c>
    </row>
    <row r="4">
      <c r="A4" s="2" t="inlineStr">
        <is>
          <t>A rubric is simply what matters to you, and how much. Edit the criteria, set the weights, and score each option from 0–100 — it's yours to change. The toolkit adds it up.</t>
        </is>
      </c>
    </row>
    <row r="5">
      <c r="A5" s="22" t="inlineStr">
        <is>
          <t>This is a starting example — replace it with your own. Only the shaded cells calculate for you.</t>
        </is>
      </c>
    </row>
    <row r="7" ht="30" customHeight="1">
      <c r="A7" s="13" t="inlineStr">
        <is>
          <t>What matters (your criteria)</t>
        </is>
      </c>
      <c r="B7" s="13" t="inlineStr">
        <is>
          <t>Weight %</t>
        </is>
      </c>
      <c r="C7" s="13">
        <f>IF('1. Frame the Decision'!B21="","",'1. Frame the Decision'!B21)</f>
        <v/>
      </c>
      <c r="D7" s="13">
        <f>IF('1. Frame the Decision'!B22="","",'1. Frame the Decision'!B22)</f>
        <v/>
      </c>
      <c r="E7" s="13">
        <f>IF('1. Frame the Decision'!B23="","",'1. Frame the Decision'!B23)</f>
        <v/>
      </c>
      <c r="F7" s="13">
        <f>IF('1. Frame the Decision'!B24="","",'1. Frame the Decision'!B24)</f>
        <v/>
      </c>
      <c r="G7" s="13">
        <f>IF('1. Frame the Decision'!B25="","",'1. Frame the Decision'!B25)</f>
        <v/>
      </c>
    </row>
    <row r="8" ht="20" customHeight="1">
      <c r="A8" s="23" t="inlineStr">
        <is>
          <t>Frees up leadership time</t>
        </is>
      </c>
      <c r="B8" s="24" t="n">
        <v>25</v>
      </c>
      <c r="C8" s="25" t="n">
        <v>90</v>
      </c>
      <c r="D8" s="25" t="n">
        <v>50</v>
      </c>
      <c r="E8" s="25" t="n">
        <v>60</v>
      </c>
      <c r="F8" s="25" t="inlineStr"/>
      <c r="G8" s="25" t="inlineStr"/>
    </row>
    <row r="9" ht="20" customHeight="1">
      <c r="A9" s="23" t="inlineStr">
        <is>
          <t>Fits the budget</t>
        </is>
      </c>
      <c r="B9" s="24" t="n">
        <v>25</v>
      </c>
      <c r="C9" s="25" t="n">
        <v>70</v>
      </c>
      <c r="D9" s="25" t="n">
        <v>85</v>
      </c>
      <c r="E9" s="25" t="n">
        <v>75</v>
      </c>
      <c r="F9" s="25" t="inlineStr"/>
      <c r="G9" s="25" t="inlineStr"/>
    </row>
    <row r="10" ht="20" customHeight="1">
      <c r="A10" s="23" t="inlineStr">
        <is>
          <t>Speed to results</t>
        </is>
      </c>
      <c r="B10" s="24" t="n">
        <v>20</v>
      </c>
      <c r="C10" s="25" t="n">
        <v>80</v>
      </c>
      <c r="D10" s="25" t="n">
        <v>60</v>
      </c>
      <c r="E10" s="25" t="n">
        <v>55</v>
      </c>
      <c r="F10" s="25" t="inlineStr"/>
      <c r="G10" s="25" t="inlineStr"/>
    </row>
    <row r="11" ht="20" customHeight="1">
      <c r="A11" s="23" t="inlineStr">
        <is>
          <t>Quality &amp; reliability</t>
        </is>
      </c>
      <c r="B11" s="24" t="n">
        <v>15</v>
      </c>
      <c r="C11" s="25" t="n">
        <v>85</v>
      </c>
      <c r="D11" s="25" t="n">
        <v>65</v>
      </c>
      <c r="E11" s="25" t="n">
        <v>70</v>
      </c>
      <c r="F11" s="25" t="inlineStr"/>
      <c r="G11" s="25" t="inlineStr"/>
    </row>
    <row r="12" ht="20" customHeight="1">
      <c r="A12" s="23" t="inlineStr">
        <is>
          <t>Easy to change course later</t>
        </is>
      </c>
      <c r="B12" s="24" t="n">
        <v>15</v>
      </c>
      <c r="C12" s="25" t="n">
        <v>65</v>
      </c>
      <c r="D12" s="25" t="n">
        <v>80</v>
      </c>
      <c r="E12" s="25" t="n">
        <v>70</v>
      </c>
      <c r="F12" s="25" t="inlineStr"/>
      <c r="G12" s="25" t="inlineStr"/>
    </row>
    <row r="13" ht="20" customHeight="1">
      <c r="A13" s="23" t="inlineStr"/>
      <c r="B13" s="24" t="inlineStr"/>
      <c r="C13" s="25" t="inlineStr"/>
      <c r="D13" s="25" t="inlineStr"/>
      <c r="E13" s="25" t="inlineStr"/>
      <c r="F13" s="25" t="inlineStr"/>
      <c r="G13" s="25" t="inlineStr"/>
    </row>
    <row r="14" ht="20" customHeight="1">
      <c r="A14" s="23" t="inlineStr"/>
      <c r="B14" s="24" t="inlineStr"/>
      <c r="C14" s="25" t="inlineStr"/>
      <c r="D14" s="25" t="inlineStr"/>
      <c r="E14" s="25" t="inlineStr"/>
      <c r="F14" s="25" t="inlineStr"/>
      <c r="G14" s="25" t="inlineStr"/>
    </row>
    <row r="15" ht="20" customHeight="1">
      <c r="A15" s="23" t="inlineStr"/>
      <c r="B15" s="24" t="inlineStr"/>
      <c r="C15" s="25" t="inlineStr"/>
      <c r="D15" s="25" t="inlineStr"/>
      <c r="E15" s="25" t="inlineStr"/>
      <c r="F15" s="25" t="inlineStr"/>
      <c r="G15" s="25" t="inlineStr"/>
    </row>
    <row r="16">
      <c r="A16" s="26" t="inlineStr">
        <is>
          <t>Total weight</t>
        </is>
      </c>
      <c r="B16" s="27">
        <f>SUM(B8:B15)</f>
        <v/>
      </c>
      <c r="C16" s="28">
        <f>IF(B16=100,"Nice — your weights add up to 100%","Aim for 100% total (currently off)")</f>
        <v/>
      </c>
      <c r="D16" s="10" t="n"/>
      <c r="E16" s="10" t="n"/>
      <c r="F16" s="10" t="n"/>
      <c r="G16" s="10" t="n"/>
    </row>
    <row r="18" ht="26" customHeight="1">
      <c r="A18" s="29" t="inlineStr">
        <is>
          <t>Weighted score</t>
        </is>
      </c>
      <c r="B18" s="30" t="inlineStr"/>
      <c r="C18" s="31">
        <f>IF(COUNT(C8:C15)=0,"",ROUND(SUMPRODUCT($B8:$B15,C8:C15)/IF(SUM($B8:$B15)=0,1,SUM($B8:$B15)),0))</f>
        <v/>
      </c>
      <c r="D18" s="31">
        <f>IF(COUNT(D8:D15)=0,"",ROUND(SUMPRODUCT($B8:$B15,D8:D15)/IF(SUM($B8:$B15)=0,1,SUM($B8:$B15)),0))</f>
        <v/>
      </c>
      <c r="E18" s="31">
        <f>IF(COUNT(E8:E15)=0,"",ROUND(SUMPRODUCT($B8:$B15,E8:E15)/IF(SUM($B8:$B15)=0,1,SUM($B8:$B15)),0))</f>
        <v/>
      </c>
      <c r="F18" s="31">
        <f>IF(COUNT(F8:F15)=0,"",ROUND(SUMPRODUCT($B8:$B15,F8:F15)/IF(SUM($B8:$B15)=0,1,SUM($B8:$B15)),0))</f>
        <v/>
      </c>
      <c r="G18" s="31">
        <f>IF(COUNT(G8:G15)=0,"",ROUND(SUMPRODUCT($B8:$B15,G8:G15)/IF(SUM($B8:$B15)=0,1,SUM($B8:$B15)),0))</f>
        <v/>
      </c>
    </row>
    <row r="20" ht="22" customHeight="1">
      <c r="A20" s="32" t="inlineStr">
        <is>
          <t>Leading option</t>
        </is>
      </c>
      <c r="B20" s="33">
        <f>IF(COUNT(C18:G18)=0,"Score your options above",INDEX(C7:G7,MATCH(MAX(C18:G18),C18:G18,0)))</f>
        <v/>
      </c>
      <c r="E20" s="34" t="inlineStr">
        <is>
          <t>highest score:</t>
        </is>
      </c>
      <c r="F20" s="35">
        <f>IF(COUNT(C18:G18)=0,"",MAX(C18:G18))</f>
        <v/>
      </c>
    </row>
    <row r="22" ht="30" customHeight="1">
      <c r="A22" s="36" t="inlineStr">
        <is>
          <t>The leading option is just the math on your inputs — a prompt for judgment, not the verdict. You'll pressure-test it next. To add criteria or restructure the sheet, choose Review → Unprotect Sheet (no password needed).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7">
    <mergeCell ref="A1:G1"/>
    <mergeCell ref="B20:D20"/>
    <mergeCell ref="C16:G16"/>
    <mergeCell ref="A22:G22"/>
    <mergeCell ref="A4:G4"/>
    <mergeCell ref="A2:G2"/>
    <mergeCell ref="A5:G5"/>
  </mergeCells>
  <conditionalFormatting sqref="B16">
    <cfRule type="cellIs" priority="1" operator="equal" dxfId="0">
      <formula>100</formula>
    </cfRule>
    <cfRule type="cellIs" priority="2" operator="notEqual" dxfId="1">
      <formula>100</formula>
    </cfRule>
  </conditionalFormatting>
  <dataValidations count="2">
    <dataValidation sqref="B8:B15" showDropDown="0" showInputMessage="0" showErrorMessage="0" allowBlank="1" errorTitle="0–100 only" error="Give each one a weight from 0 to 100." type="whole" operator="between">
      <formula1>0</formula1>
      <formula2>100</formula2>
    </dataValidation>
    <dataValidation sqref="C8:G15" showDropDown="0" showInputMessage="0" showErrorMessage="0" allowBlank="1" errorTitle="0–100 only" error="Score each option from 0 to 100.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1F3B"/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8" customWidth="1" min="4" max="4"/>
    <col width="16" customWidth="1" min="5" max="5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3 of 4  ·  Assumptions &amp; evidence</t>
        </is>
      </c>
    </row>
    <row r="4">
      <c r="A4" s="2" t="inlineStr">
        <is>
          <t>Before you trust the scores, get honest about what you're assuming — then weigh what the evidence really says.</t>
        </is>
      </c>
    </row>
    <row r="6">
      <c r="A6" s="7" t="inlineStr">
        <is>
          <t>What are you assuming?</t>
        </is>
      </c>
      <c r="B6" s="8" t="inlineStr">
        <is>
          <t>The things you're treating as true but haven't confirmed. Naming them is where good decisions are made.</t>
        </is>
      </c>
    </row>
    <row r="7" ht="44" customHeight="1">
      <c r="A7" s="9" t="inlineStr">
        <is>
          <t>That a full-time hire can be productive within a month, and that our budget holds through Q4.</t>
        </is>
      </c>
      <c r="B7" s="10" t="n"/>
      <c r="C7" s="10" t="n"/>
      <c r="D7" s="10" t="n"/>
      <c r="E7" s="10" t="n"/>
    </row>
    <row r="9">
      <c r="A9" s="7" t="inlineStr">
        <is>
          <t>What's the evidence for your leading option?</t>
        </is>
      </c>
      <c r="B9" s="8" t="inlineStr">
        <is>
          <t>Facts, data, or hard-won experience that back it up.</t>
        </is>
      </c>
    </row>
    <row r="10" ht="42" customHeight="1">
      <c r="A10" s="9" t="inlineStr">
        <is>
          <t>Two peers who made a full-time hire cut their firefighting time noticeably within a quarter.</t>
        </is>
      </c>
      <c r="B10" s="10" t="n"/>
      <c r="C10" s="10" t="n"/>
      <c r="D10" s="10" t="n"/>
      <c r="E10" s="10" t="n"/>
    </row>
    <row r="12">
      <c r="A12" s="7" t="inlineStr">
        <is>
          <t>What's the evidence against it?</t>
        </is>
      </c>
      <c r="B12" s="8" t="inlineStr">
        <is>
          <t>Be honest here — this is the part that's easy to skip and expensive to ignore.</t>
        </is>
      </c>
    </row>
    <row r="13" ht="42" customHeight="1">
      <c r="A13" s="9" t="inlineStr">
        <is>
          <t>Our volume may not justify a full-time salary yet, and a contractor stays flexible if things shift.</t>
        </is>
      </c>
      <c r="B13" s="10" t="n"/>
      <c r="C13" s="10" t="n"/>
      <c r="D13" s="10" t="n"/>
      <c r="E13" s="10" t="n"/>
    </row>
    <row r="15">
      <c r="A15" s="7" t="inlineStr">
        <is>
          <t>What are the trade-offs?</t>
        </is>
      </c>
      <c r="B15" s="8" t="inlineStr">
        <is>
          <t>What you give up by going with the leading option.</t>
        </is>
      </c>
    </row>
    <row r="16" ht="40" customHeight="1">
      <c r="A16" s="9" t="inlineStr">
        <is>
          <t>More fixed cost and commitment in exchange for continuity and freed-up leadership time.</t>
        </is>
      </c>
      <c r="B16" s="10" t="n"/>
      <c r="C16" s="10" t="n"/>
      <c r="D16" s="10" t="n"/>
      <c r="E16" s="10" t="n"/>
    </row>
    <row r="18">
      <c r="A18" s="7" t="inlineStr">
        <is>
          <t>What are the risks?</t>
        </is>
      </c>
      <c r="B18" s="8" t="inlineStr">
        <is>
          <t>What could go wrong — and how much would it hurt?</t>
        </is>
      </c>
    </row>
    <row r="19" ht="40" customHeight="1">
      <c r="A19" s="9" t="inlineStr">
        <is>
          <t>A wrong hire is slow and costly to unwind. We'd cushion it with a clear 90-day plan and check-ins.</t>
        </is>
      </c>
      <c r="B19" s="10" t="n"/>
      <c r="C19" s="10" t="n"/>
      <c r="D19" s="10" t="n"/>
      <c r="E19" s="10" t="n"/>
    </row>
    <row r="21">
      <c r="A21" s="7" t="inlineStr">
        <is>
          <t>How confident are you?</t>
        </is>
      </c>
      <c r="B21" s="8" t="inlineStr">
        <is>
          <t>Given everything above — High, Medium, or Low?</t>
        </is>
      </c>
    </row>
    <row r="22" ht="26" customHeight="1">
      <c r="A22" s="37" t="inlineStr">
        <is>
          <t>Medium</t>
        </is>
      </c>
      <c r="B22" s="10" t="n"/>
    </row>
    <row r="24">
      <c r="A24" s="7" t="inlineStr">
        <is>
          <t>What would change your mind?</t>
        </is>
      </c>
      <c r="B24" s="8" t="inlineStr">
        <is>
          <t>Name it now. If you can find it out before your deadline, go get it.</t>
        </is>
      </c>
    </row>
    <row r="25" ht="42" customHeight="1">
      <c r="A25" s="9" t="inlineStr">
        <is>
          <t>A clear 3-month workload forecast — if volume is trending down, the contractor wins.</t>
        </is>
      </c>
      <c r="B25" s="10" t="n"/>
      <c r="C25" s="10" t="n"/>
      <c r="D25" s="10" t="n"/>
      <c r="E25" s="10" t="n"/>
    </row>
  </sheetData>
  <mergeCells count="17">
    <mergeCell ref="B9:E9"/>
    <mergeCell ref="A4:E4"/>
    <mergeCell ref="B18:E18"/>
    <mergeCell ref="A2:E2"/>
    <mergeCell ref="A16:E16"/>
    <mergeCell ref="B12:E12"/>
    <mergeCell ref="A7:E7"/>
    <mergeCell ref="A10:E10"/>
    <mergeCell ref="B6:E6"/>
    <mergeCell ref="B21:E21"/>
    <mergeCell ref="A19:E19"/>
    <mergeCell ref="A25:E25"/>
    <mergeCell ref="B15:E15"/>
    <mergeCell ref="A1:E1"/>
    <mergeCell ref="B24:E24"/>
    <mergeCell ref="A13:E13"/>
    <mergeCell ref="A22:B22"/>
  </mergeCells>
  <dataValidations count="1">
    <dataValidation sqref="A22" showDropDown="0" showInputMessage="0" showErrorMessage="0" allowBlank="1" errorTitle="Pick one" error="Choose High, Medium, or Low.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1F3B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8" customWidth="1" min="4" max="4"/>
    <col width="16" customWidth="1" min="5" max="5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4 of 4  ·  Make the call</t>
        </is>
      </c>
    </row>
    <row r="4">
      <c r="A4" s="7" t="inlineStr">
        <is>
          <t>What's your decision?</t>
        </is>
      </c>
      <c r="B4" s="8" t="inlineStr">
        <is>
          <t>The option you're committing to. It's fine to differ from the top score — just say why below.</t>
        </is>
      </c>
    </row>
    <row r="5" ht="26" customHeight="1">
      <c r="A5" s="38" t="inlineStr">
        <is>
          <t>Full-time hire</t>
        </is>
      </c>
      <c r="B5" s="10" t="n"/>
      <c r="C5" s="10" t="n"/>
    </row>
    <row r="7">
      <c r="A7" s="7" t="inlineStr">
        <is>
          <t>Why did you choose it?</t>
        </is>
      </c>
      <c r="B7" s="8" t="inlineStr">
        <is>
          <t>The reasoning you'd want to reread in six months, in your own words.</t>
        </is>
      </c>
    </row>
    <row r="8" ht="48" customHeight="1">
      <c r="A8" s="9" t="inlineStr">
        <is>
          <t>It frees the most leadership time and scored highest, and the 90-day plan keeps the downside small.</t>
        </is>
      </c>
      <c r="B8" s="10" t="n"/>
      <c r="C8" s="10" t="n"/>
      <c r="D8" s="10" t="n"/>
      <c r="E8" s="10" t="n"/>
    </row>
    <row r="10">
      <c r="A10" s="7" t="inlineStr">
        <is>
          <t>When will you review it?</t>
        </is>
      </c>
      <c r="B10" s="8" t="inlineStr">
        <is>
          <t>Put a date on the calendar to check how it actually turned out.</t>
        </is>
      </c>
    </row>
    <row r="11" ht="26" customHeight="1">
      <c r="A11" s="11" t="inlineStr">
        <is>
          <t>2026-11-15</t>
        </is>
      </c>
      <c r="B11" s="10" t="n"/>
    </row>
    <row r="13">
      <c r="A13" s="7" t="inlineStr">
        <is>
          <t>How did it turn out?</t>
        </is>
      </c>
      <c r="B13" s="8" t="inlineStr">
        <is>
          <t>Come back on your review date. Honest notes here are how your next decision gets better.</t>
        </is>
      </c>
    </row>
    <row r="14" ht="60" customHeight="1">
      <c r="A14" s="9" t="inlineStr">
        <is>
          <t>(Return on your review date and jot down what actually happened and what you'd do differently.)</t>
        </is>
      </c>
      <c r="B14" s="10" t="n"/>
      <c r="C14" s="10" t="n"/>
      <c r="D14" s="10" t="n"/>
      <c r="E14" s="10" t="n"/>
    </row>
  </sheetData>
  <mergeCells count="10">
    <mergeCell ref="B4:E4"/>
    <mergeCell ref="A2:E2"/>
    <mergeCell ref="A5:C5"/>
    <mergeCell ref="A14:E14"/>
    <mergeCell ref="B13:E13"/>
    <mergeCell ref="A11:B11"/>
    <mergeCell ref="B7:E7"/>
    <mergeCell ref="A1:E1"/>
    <mergeCell ref="A8:E8"/>
    <mergeCell ref="B10:E10"/>
  </mergeCells>
  <dataValidations count="2">
    <dataValidation sqref="A5" showDropDown="0" showInputMessage="0" showErrorMessage="0" allowBlank="1" type="list">
      <formula1>='1. Frame the Decision'!$B$21:$B$25</formula1>
    </dataValidation>
    <dataValidation sqref="A11" showDropDown="0" showInputMessage="0" showErrorMessage="0" allowBlank="1" type="date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0036C"/>
    <outlinePr summaryBelow="1" summaryRight="1"/>
  </sheetPr>
  <dimension ref="A1:E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Decision Summary</t>
        </is>
      </c>
    </row>
    <row r="2">
      <c r="A2" s="2" t="inlineStr">
        <is>
          <t>A clean, one-page view of your decision — ready to share or print. It fills itself in from your answers.</t>
        </is>
      </c>
    </row>
    <row r="4" ht="38" customHeight="1">
      <c r="A4" s="39" t="inlineStr">
        <is>
          <t>The decision</t>
        </is>
      </c>
      <c r="B4" s="40">
        <f>'1. Frame the Decision'!A5</f>
        <v/>
      </c>
      <c r="C4" s="10" t="n"/>
      <c r="D4" s="10" t="n"/>
      <c r="E4" s="10" t="n"/>
    </row>
    <row r="5" ht="40" customHeight="1">
      <c r="A5" s="39" t="inlineStr">
        <is>
          <t>Why it matters</t>
        </is>
      </c>
      <c r="B5" s="40">
        <f>'1. Frame the Decision'!A11</f>
        <v/>
      </c>
      <c r="C5" s="10" t="n"/>
      <c r="D5" s="10" t="n"/>
      <c r="E5" s="10" t="n"/>
    </row>
    <row r="6" ht="38" customHeight="1">
      <c r="A6" s="39" t="inlineStr">
        <is>
          <t>A good outcome looks like</t>
        </is>
      </c>
      <c r="B6" s="40">
        <f>'1. Frame the Decision'!A17</f>
        <v/>
      </c>
      <c r="C6" s="10" t="n"/>
      <c r="D6" s="10" t="n"/>
      <c r="E6" s="10" t="n"/>
    </row>
    <row r="7" ht="22" customHeight="1">
      <c r="A7" s="39" t="inlineStr">
        <is>
          <t>Decide by</t>
        </is>
      </c>
      <c r="B7" s="40">
        <f>'1. Frame the Decision'!A8</f>
        <v/>
      </c>
      <c r="C7" s="10" t="n"/>
      <c r="D7" s="10" t="n"/>
      <c r="E7" s="10" t="n"/>
    </row>
    <row r="8" ht="24" customHeight="1">
      <c r="A8" s="39" t="inlineStr">
        <is>
          <t>Leading option (by score)</t>
        </is>
      </c>
      <c r="B8" s="41">
        <f>IF('2. Your Rubric'!B20="","Complete Step 2",'2. Your Rubric'!B20&amp;"   ("&amp;TEXT('2. Your Rubric'!F20,"0")&amp;"/100)")</f>
        <v/>
      </c>
      <c r="C8" s="10" t="n"/>
      <c r="D8" s="10" t="n"/>
      <c r="E8" s="10" t="n"/>
    </row>
    <row r="9" ht="24" customHeight="1">
      <c r="A9" s="39" t="inlineStr">
        <is>
          <t>Our decision</t>
        </is>
      </c>
      <c r="B9" s="41">
        <f>IF('4. Decide &amp; Review'!A5="","Complete Step 4",'4. Decide &amp; Review'!A5)</f>
        <v/>
      </c>
      <c r="C9" s="10" t="n"/>
      <c r="D9" s="10" t="n"/>
      <c r="E9" s="10" t="n"/>
    </row>
    <row r="10" ht="48" customHeight="1">
      <c r="A10" s="39" t="inlineStr">
        <is>
          <t>Why we chose it</t>
        </is>
      </c>
      <c r="B10" s="40">
        <f>'4. Decide &amp; Review'!A8</f>
        <v/>
      </c>
      <c r="C10" s="10" t="n"/>
      <c r="D10" s="10" t="n"/>
      <c r="E10" s="10" t="n"/>
    </row>
    <row r="11" ht="40" customHeight="1">
      <c r="A11" s="39" t="inlineStr">
        <is>
          <t>Key assumptions</t>
        </is>
      </c>
      <c r="B11" s="40">
        <f>IF('3. Assumptions &amp; Evidence'!A7="","Complete Step 3",'3. Assumptions &amp; Evidence'!A7)</f>
        <v/>
      </c>
      <c r="C11" s="10" t="n"/>
      <c r="D11" s="10" t="n"/>
      <c r="E11" s="10" t="n"/>
    </row>
    <row r="12" ht="22" customHeight="1">
      <c r="A12" s="39" t="inlineStr">
        <is>
          <t>Confidence</t>
        </is>
      </c>
      <c r="B12" s="40">
        <f>IF('3. Assumptions &amp; Evidence'!A22="","—",'3. Assumptions &amp; Evidence'!A22)</f>
        <v/>
      </c>
      <c r="C12" s="10" t="n"/>
      <c r="D12" s="10" t="n"/>
      <c r="E12" s="10" t="n"/>
    </row>
    <row r="13" ht="22" customHeight="1">
      <c r="A13" s="39" t="inlineStr">
        <is>
          <t>Review on</t>
        </is>
      </c>
      <c r="B13" s="40">
        <f>'4. Decide &amp; Review'!A11</f>
        <v/>
      </c>
      <c r="C13" s="10" t="n"/>
      <c r="D13" s="10" t="n"/>
      <c r="E13" s="10" t="n"/>
    </row>
    <row r="14" ht="40" customHeight="1">
      <c r="A14" s="39" t="inlineStr">
        <is>
          <t>Outcome &amp; lessons</t>
        </is>
      </c>
      <c r="B14" s="40">
        <f>IF('4. Decide &amp; Review'!A14="","To be completed on your review date",'4. Decide &amp; Review'!A14)</f>
        <v/>
      </c>
      <c r="C14" s="10" t="n"/>
      <c r="D14" s="10" t="n"/>
      <c r="E14" s="10" t="n"/>
    </row>
    <row r="16">
      <c r="A16" s="42" t="inlineStr">
        <is>
          <t>The next step, when you're ready</t>
        </is>
      </c>
    </row>
    <row r="17" ht="18" customHeight="1">
      <c r="A17" s="5" t="inlineStr">
        <is>
          <t>You've organized your options, weighed what matters, surfaced your assumptions, and written down your reasoning. A workbook can hold all of that — it can't question it. When you're ready, bring this into your secure Jaspen workspace: Jaspen pressure-tests your assumptions, asks the follow-up questions a spreadsheet can't, points out blind spots you may have missed, and preserves your reasoning as a Decision Record you can return to. Start at jaspen.ai.</t>
        </is>
      </c>
    </row>
    <row r="18" ht="18" customHeight="1"/>
    <row r="19" ht="18" customHeight="1"/>
    <row r="20" ht="18" customHeight="1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15">
    <mergeCell ref="B9:E9"/>
    <mergeCell ref="A17:E20"/>
    <mergeCell ref="B8:E8"/>
    <mergeCell ref="B4:E4"/>
    <mergeCell ref="A2:E2"/>
    <mergeCell ref="A16:E16"/>
    <mergeCell ref="B12:E12"/>
    <mergeCell ref="B13:E13"/>
    <mergeCell ref="B6:E6"/>
    <mergeCell ref="B7:E7"/>
    <mergeCell ref="A1:E1"/>
    <mergeCell ref="B11:E11"/>
    <mergeCell ref="B5:E5"/>
    <mergeCell ref="B10:E10"/>
    <mergeCell ref="B14:E14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Jaspen</dc:creator>
  <dc:title xmlns:dc="http://purl.org/dc/elements/1.1/">Jaspen Decision Planning Toolkit</dc:title>
  <dcterms:created xmlns:dcterms="http://purl.org/dc/terms/" xmlns:xsi="http://www.w3.org/2001/XMLSchema-instance" xsi:type="dcterms:W3CDTF">2026-07-12T15:40:26Z</dcterms:created>
  <dcterms:modified xmlns:dcterms="http://purl.org/dc/terms/" xmlns:xsi="http://www.w3.org/2001/XMLSchema-instance" xsi:type="dcterms:W3CDTF">2026-07-12T15:40:26Z</dcterms:modified>
</cp:coreProperties>
</file>