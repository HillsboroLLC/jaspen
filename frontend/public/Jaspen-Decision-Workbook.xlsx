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1. Frame the Decision" sheetId="2" state="visible" r:id="rId2"/>
    <sheet xmlns:r="http://schemas.openxmlformats.org/officeDocument/2006/relationships" name="2. Compare Options" sheetId="3" state="visible" r:id="rId3"/>
    <sheet xmlns:r="http://schemas.openxmlformats.org/officeDocument/2006/relationships" name="3. Evidence &amp; Risks" sheetId="4" state="visible" r:id="rId4"/>
    <sheet xmlns:r="http://schemas.openxmlformats.org/officeDocument/2006/relationships" name="4. Decide &amp; Review" sheetId="5" state="visible" r:id="rId5"/>
    <sheet xmlns:r="http://schemas.openxmlformats.org/officeDocument/2006/relationships" name="Decision Summary" sheetId="6" state="visible" r:id="rId6"/>
  </sheets>
  <definedNames>
    <definedName name="_xlnm.Print_Area" localSheetId="5">'Decision Summary'!$A$1:$E$16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6">
    <font>
      <name val="Calibri"/>
      <family val="2"/>
      <color theme="1"/>
      <sz val="11"/>
      <scheme val="minor"/>
    </font>
    <font>
      <name val="Calibri"/>
      <b val="1"/>
      <color rgb="00161F3B"/>
      <sz val="20"/>
    </font>
    <font>
      <name val="Calibri"/>
      <i val="1"/>
      <color rgb="005B6480"/>
      <sz val="11"/>
    </font>
    <font>
      <name val="Calibri"/>
      <color rgb="00161F3B"/>
      <sz val="11"/>
    </font>
    <font>
      <b val="1"/>
      <color rgb="00A0036C"/>
      <sz val="12"/>
    </font>
    <font>
      <name val="Calibri"/>
      <color rgb="00FFFFFF"/>
      <sz val="10.5"/>
    </font>
    <font>
      <name val="Calibri"/>
      <b val="1"/>
      <color rgb="00A0036C"/>
      <sz val="11"/>
    </font>
    <font>
      <name val="Calibri"/>
      <b val="1"/>
      <color rgb="00161F3B"/>
      <sz val="11.5"/>
    </font>
    <font>
      <name val="Calibri"/>
      <i val="1"/>
      <color rgb="005B6480"/>
      <sz val="9.5"/>
    </font>
    <font>
      <name val="Calibri"/>
      <i val="1"/>
      <color rgb="008A8A8A"/>
      <sz val="11"/>
    </font>
    <font>
      <name val="Calibri"/>
      <b val="1"/>
      <color rgb="00FFFFFF"/>
      <sz val="10.5"/>
    </font>
    <font>
      <b val="1"/>
      <color rgb="00161F3B"/>
    </font>
    <font>
      <b val="1"/>
      <color rgb="00FFFFFF"/>
    </font>
    <font>
      <b val="1"/>
      <color rgb="00161F3B"/>
      <sz val="13"/>
    </font>
    <font>
      <b val="1"/>
      <color rgb="00161F3B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61F3B"/>
      </patternFill>
    </fill>
    <fill>
      <patternFill patternType="solid">
        <fgColor rgb="00FCFBF9"/>
      </patternFill>
    </fill>
    <fill>
      <patternFill patternType="solid">
        <fgColor rgb="00A0036C"/>
      </patternFill>
    </fill>
    <fill>
      <patternFill patternType="solid">
        <fgColor rgb="00F8F5F0"/>
      </patternFill>
    </fill>
  </fills>
  <borders count="6">
    <border>
      <left/>
      <right/>
      <top/>
      <bottom/>
      <diagonal/>
    </border>
    <border>
      <left style="thin">
        <color rgb="00D9D7D2"/>
      </left>
      <right style="thin">
        <color rgb="00D9D7D2"/>
      </right>
      <top style="thin">
        <color rgb="00D9D7D2"/>
      </top>
      <bottom style="thin">
        <color rgb="00D9D7D2"/>
      </bottom>
    </border>
    <border>
      <left/>
      <right/>
      <top style="thin">
        <color rgb="00D9D7D2"/>
      </top>
      <bottom/>
      <diagonal/>
    </border>
    <border>
      <left/>
      <right style="thin">
        <color rgb="00D9D7D2"/>
      </right>
      <top style="thin">
        <color rgb="00D9D7D2"/>
      </top>
      <bottom/>
      <diagonal/>
    </border>
    <border>
      <left/>
      <right/>
      <top style="thin">
        <color rgb="00D9D7D2"/>
      </top>
      <bottom style="thin">
        <color rgb="00D9D7D2"/>
      </bottom>
      <diagonal/>
    </border>
    <border>
      <left/>
      <right style="thin">
        <color rgb="00D9D7D2"/>
      </right>
      <top style="thin">
        <color rgb="00D9D7D2"/>
      </top>
      <bottom style="thin">
        <color rgb="00D9D7D2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 inden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 wrapText="1"/>
    </xf>
    <xf numFmtId="0" fontId="9" fillId="3" borderId="1" applyAlignment="1" applyProtection="1" pivotButton="0" quotePrefix="0" xfId="0">
      <alignment horizontal="left" vertical="center" wrapText="1"/>
      <protection locked="0" hidden="0"/>
    </xf>
    <xf numFmtId="0" fontId="0" fillId="0" borderId="1" pivotButton="0" quotePrefix="0" xfId="0"/>
    <xf numFmtId="164" fontId="9" fillId="3" borderId="1" applyAlignment="1" applyProtection="1" pivotButton="0" quotePrefix="0" xfId="0">
      <alignment horizontal="left" vertical="center" wrapText="1"/>
      <protection locked="0" hidden="0"/>
    </xf>
    <xf numFmtId="0" fontId="7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9" fillId="0" borderId="1" applyAlignment="1" applyProtection="1" pivotButton="0" quotePrefix="0" xfId="0">
      <alignment horizontal="left" vertical="center"/>
      <protection locked="0" hidden="0"/>
    </xf>
    <xf numFmtId="0" fontId="9" fillId="0" borderId="1" applyAlignment="1" applyProtection="1" pivotButton="0" quotePrefix="0" xfId="0">
      <alignment vertical="top" wrapText="1"/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165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11" fillId="0" borderId="1" pivotButton="0" quotePrefix="0" xfId="0"/>
    <xf numFmtId="165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3" fillId="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0">
      <alignment horizontal="left" vertical="center" wrapText="1"/>
      <protection locked="0" hidden="0"/>
    </xf>
    <xf numFmtId="0" fontId="15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1E7B34"/>
      </font>
      <fill>
        <patternFill patternType="solid">
          <fgColor rgb="00E4F3E7"/>
        </patternFill>
      </fill>
    </dxf>
    <dxf>
      <fill>
        <patternFill patternType="solid">
          <fgColor rgb="00FBE7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0036C"/>
    <outlinePr summaryBelow="1" summaryRight="1"/>
    <pageSetUpPr/>
  </sheetPr>
  <dimension ref="A2:E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2" ht="32" customHeight="1">
      <c r="B2" s="1" t="inlineStr">
        <is>
          <t>Jaspen Decision Workbook</t>
        </is>
      </c>
    </row>
    <row r="3">
      <c r="B3" s="2" t="inlineStr">
        <is>
          <t>One important decision, thought through clearly.</t>
        </is>
      </c>
    </row>
    <row r="5" ht="48" customHeight="1">
      <c r="B5" s="3" t="inlineStr">
        <is>
          <t>This workbook gives you a calm, structured place to work through a single important decision — from framing the problem to capturing what you finally chose and why. Work top to bottom through the four steps, then share or print the Decision Summary.</t>
        </is>
      </c>
    </row>
    <row r="7">
      <c r="B7" s="4" t="inlineStr">
        <is>
          <t>How to use it</t>
        </is>
      </c>
    </row>
    <row r="8" ht="30" customHeight="1">
      <c r="B8" s="3" t="inlineStr">
        <is>
          <t>Step 1 — Frame the decision: what you are deciding, by when, and why it matters.</t>
        </is>
      </c>
    </row>
    <row r="9" ht="30" customHeight="1">
      <c r="B9" s="3" t="inlineStr">
        <is>
          <t>Step 2 — Compare options: list your choices, weight what matters, and score each one. The workbook does the math.</t>
        </is>
      </c>
    </row>
    <row r="10" ht="30" customHeight="1">
      <c r="B10" s="3" t="inlineStr">
        <is>
          <t>Step 3 — Evidence &amp; risks: capture what supports and challenges each option, the trade-offs, and how confident you are.</t>
        </is>
      </c>
    </row>
    <row r="11" ht="30" customHeight="1">
      <c r="B11" s="3" t="inlineStr">
        <is>
          <t>Step 4 — Decide &amp; review: record your final choice, why you made it, and a date to check how it turned out.</t>
        </is>
      </c>
    </row>
    <row r="12" ht="30" customHeight="1">
      <c r="B12" s="3" t="inlineStr">
        <is>
          <t>Decision Summary: a clean one-page view that fills itself in from your answers — good for sharing or printing.</t>
        </is>
      </c>
    </row>
    <row r="14">
      <c r="B14" s="4" t="inlineStr">
        <is>
          <t>This workbook vs. Jaspen</t>
        </is>
      </c>
    </row>
    <row r="15" ht="62" customHeight="1">
      <c r="B15" s="3" t="inlineStr">
        <is>
          <t>This workbook helps you organize your thinking by hand — you bring the structure and do the writing. Jaspen does it with you: it interviews you about the decision, surfaces assumptions and trade-offs you might miss, scores your options deterministically, and preserves the whole reasoning as a Decision Record you can return to.</t>
        </is>
      </c>
    </row>
    <row r="17" ht="20" customHeight="1">
      <c r="A17" s="5" t="inlineStr">
        <is>
          <t>Prefer to think it through out loud?  Jaspen walks you through this same method interactively — it asks the follow-up questions, surfaces the assumptions and trade-offs you might miss, scores your options, and keeps the reasoning so you can revisit it later.  Try it free at jaspen.ai</t>
        </is>
      </c>
    </row>
    <row r="18" ht="20" customHeight="1"/>
  </sheetData>
  <mergeCells count="12">
    <mergeCell ref="B9:E9"/>
    <mergeCell ref="B8:E8"/>
    <mergeCell ref="B12:E12"/>
    <mergeCell ref="A17:E18"/>
    <mergeCell ref="B15:E15"/>
    <mergeCell ref="B7:E7"/>
    <mergeCell ref="B11:E11"/>
    <mergeCell ref="B3:E3"/>
    <mergeCell ref="B5:E5"/>
    <mergeCell ref="B2:E2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1F3B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1" t="inlineStr">
        <is>
          <t>Jaspen Decision Workbook</t>
        </is>
      </c>
    </row>
    <row r="2">
      <c r="A2" s="6" t="inlineStr">
        <is>
          <t>Step 1 of 4  ·  Frame the decision</t>
        </is>
      </c>
    </row>
    <row r="4">
      <c r="A4" s="7" t="inlineStr">
        <is>
          <t>Define the decision</t>
        </is>
      </c>
      <c r="B4" s="8" t="inlineStr">
        <is>
          <t>One clear sentence. A real choice, not a vague topic.</t>
        </is>
      </c>
    </row>
    <row r="5" ht="40" customHeight="1">
      <c r="A5" s="9" t="inlineStr">
        <is>
          <t>Should we hire a full-time operations manager, or keep using a contractor?</t>
        </is>
      </c>
      <c r="B5" s="10" t="n"/>
      <c r="C5" s="10" t="n"/>
      <c r="D5" s="10" t="n"/>
      <c r="E5" s="10" t="n"/>
    </row>
    <row r="7">
      <c r="A7" s="7" t="inlineStr">
        <is>
          <t>Decision deadline</t>
        </is>
      </c>
      <c r="B7" s="8" t="inlineStr">
        <is>
          <t>When does this need to be decided by?</t>
        </is>
      </c>
    </row>
    <row r="8" ht="26" customHeight="1">
      <c r="A8" s="11" t="inlineStr">
        <is>
          <t>2026-08-15</t>
        </is>
      </c>
      <c r="B8" s="10" t="n"/>
    </row>
    <row r="10">
      <c r="A10" s="7" t="inlineStr">
        <is>
          <t>Why this decision matters</t>
        </is>
      </c>
      <c r="B10" s="8" t="inlineStr">
        <is>
          <t>What is really at stake — for you, the team, or the business.</t>
        </is>
      </c>
    </row>
    <row r="11" ht="44" customHeight="1">
      <c r="A11" s="9" t="inlineStr">
        <is>
          <t>Delivery is slipping and we keep losing evenings to firefighting. The right call frees up leadership time.</t>
        </is>
      </c>
      <c r="B11" s="10" t="n"/>
      <c r="C11" s="10" t="n"/>
      <c r="D11" s="10" t="n"/>
      <c r="E11" s="10" t="n"/>
    </row>
    <row r="13">
      <c r="A13" s="7" t="inlineStr">
        <is>
          <t>What happens if no decision is made</t>
        </is>
      </c>
      <c r="B13" s="8" t="inlineStr">
        <is>
          <t>The cost of drift. Naming it makes the deadline real.</t>
        </is>
      </c>
    </row>
    <row r="14" ht="40" customHeight="1">
      <c r="A14" s="9" t="inlineStr">
        <is>
          <t>We keep paying premium contractor rates and stay stuck reacting instead of planning.</t>
        </is>
      </c>
      <c r="B14" s="10" t="n"/>
      <c r="C14" s="10" t="n"/>
      <c r="D14" s="10" t="n"/>
      <c r="E14" s="10" t="n"/>
    </row>
    <row r="16">
      <c r="A16" s="7" t="inlineStr">
        <is>
          <t>Desired outcome</t>
        </is>
      </c>
      <c r="B16" s="8" t="inlineStr">
        <is>
          <t>What a good result looks like a few months from now.</t>
        </is>
      </c>
    </row>
    <row r="17" ht="40" customHeight="1">
      <c r="A17" s="9" t="inlineStr">
        <is>
          <t>Operations run smoothly without daily leadership involvement, within budget.</t>
        </is>
      </c>
      <c r="B17" s="10" t="n"/>
      <c r="C17" s="10" t="n"/>
      <c r="D17" s="10" t="n"/>
      <c r="E17" s="10" t="n"/>
    </row>
    <row r="19">
      <c r="A19" s="12" t="inlineStr">
        <is>
          <t>Options being considered</t>
        </is>
      </c>
      <c r="B19" s="8" t="inlineStr">
        <is>
          <t>List the choices on the table. You will compare them in Step 2.</t>
        </is>
      </c>
    </row>
    <row r="20" ht="20" customHeight="1">
      <c r="A20" s="13" t="inlineStr">
        <is>
          <t>Option</t>
        </is>
      </c>
      <c r="B20" s="13" t="inlineStr">
        <is>
          <t>Short name (used in Step 2)</t>
        </is>
      </c>
      <c r="C20" s="13" t="inlineStr">
        <is>
          <t>Description</t>
        </is>
      </c>
      <c r="D20" s="14" t="n"/>
      <c r="E20" s="15" t="n"/>
    </row>
    <row r="21" ht="22" customHeight="1">
      <c r="A21" s="16" t="inlineStr">
        <is>
          <t>Option A</t>
        </is>
      </c>
      <c r="B21" s="17" t="inlineStr">
        <is>
          <t>Full-time hire</t>
        </is>
      </c>
      <c r="C21" s="18" t="inlineStr">
        <is>
          <t>Hire a full-time operations manager.</t>
        </is>
      </c>
      <c r="D21" s="10" t="n"/>
      <c r="E21" s="10" t="n"/>
    </row>
    <row r="22" ht="22" customHeight="1">
      <c r="A22" s="16" t="inlineStr">
        <is>
          <t>Option B</t>
        </is>
      </c>
      <c r="B22" s="17" t="inlineStr">
        <is>
          <t>Contractor</t>
        </is>
      </c>
      <c r="C22" s="18" t="inlineStr">
        <is>
          <t>Keep the current contractor on a monthly retainer.</t>
        </is>
      </c>
      <c r="D22" s="10" t="n"/>
      <c r="E22" s="10" t="n"/>
    </row>
    <row r="23" ht="22" customHeight="1">
      <c r="A23" s="16" t="inlineStr">
        <is>
          <t>Option C</t>
        </is>
      </c>
      <c r="B23" s="17" t="inlineStr">
        <is>
          <t>Promote internally</t>
        </is>
      </c>
      <c r="C23" s="18" t="inlineStr">
        <is>
          <t>Promote and train an existing team member.</t>
        </is>
      </c>
      <c r="D23" s="10" t="n"/>
      <c r="E23" s="10" t="n"/>
    </row>
    <row r="24" ht="22" customHeight="1">
      <c r="A24" s="16" t="inlineStr">
        <is>
          <t>Option D</t>
        </is>
      </c>
      <c r="B24" s="19" t="inlineStr"/>
      <c r="C24" s="20" t="inlineStr"/>
      <c r="D24" s="10" t="n"/>
      <c r="E24" s="10" t="n"/>
    </row>
    <row r="25" ht="22" customHeight="1">
      <c r="A25" s="16" t="inlineStr">
        <is>
          <t>Option E</t>
        </is>
      </c>
      <c r="B25" s="19" t="inlineStr"/>
      <c r="C25" s="20" t="inlineStr"/>
      <c r="D25" s="10" t="n"/>
      <c r="E25" s="10" t="n"/>
    </row>
    <row r="27">
      <c r="A27" s="21" t="inlineStr">
        <is>
          <t>Tip: two or three real options is plenty. Too many and nothing gets compared properly.</t>
        </is>
      </c>
    </row>
  </sheetData>
  <mergeCells count="20">
    <mergeCell ref="C22:E22"/>
    <mergeCell ref="A11:E11"/>
    <mergeCell ref="A1:E1"/>
    <mergeCell ref="C21:E21"/>
    <mergeCell ref="B4:E4"/>
    <mergeCell ref="C23:E23"/>
    <mergeCell ref="B16:E16"/>
    <mergeCell ref="B7:E7"/>
    <mergeCell ref="A27:E27"/>
    <mergeCell ref="A2:E2"/>
    <mergeCell ref="A5:E5"/>
    <mergeCell ref="A14:E14"/>
    <mergeCell ref="A8:B8"/>
    <mergeCell ref="A17:E17"/>
    <mergeCell ref="C24:E24"/>
    <mergeCell ref="B13:E13"/>
    <mergeCell ref="B19:E19"/>
    <mergeCell ref="B10:E10"/>
    <mergeCell ref="C20:E20"/>
    <mergeCell ref="C25:E25"/>
  </mergeCells>
  <dataValidations count="1">
    <dataValidation sqref="A8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1F3B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Jaspen Decision Workbook</t>
        </is>
      </c>
    </row>
    <row r="2">
      <c r="A2" s="6" t="inlineStr">
        <is>
          <t>Step 2 of 4  ·  Compare your options</t>
        </is>
      </c>
    </row>
    <row r="4">
      <c r="A4" s="2" t="inlineStr">
        <is>
          <t>Weight what matters, score each option 0–100, and the workbook ranks them for you. Weights should add up to 100%.</t>
        </is>
      </c>
    </row>
    <row r="6" ht="30" customHeight="1">
      <c r="A6" s="13" t="inlineStr">
        <is>
          <t>Criterion</t>
        </is>
      </c>
      <c r="B6" s="13" t="inlineStr">
        <is>
          <t>Weight %</t>
        </is>
      </c>
      <c r="C6" s="13">
        <f>IF('1. Frame the Decision'!B21="","",'1. Frame the Decision'!B21)</f>
        <v/>
      </c>
      <c r="D6" s="13">
        <f>IF('1. Frame the Decision'!B22="","",'1. Frame the Decision'!B22)</f>
        <v/>
      </c>
      <c r="E6" s="13">
        <f>IF('1. Frame the Decision'!B23="","",'1. Frame the Decision'!B23)</f>
        <v/>
      </c>
      <c r="F6" s="13">
        <f>IF('1. Frame the Decision'!B24="","",'1. Frame the Decision'!B24)</f>
        <v/>
      </c>
      <c r="G6" s="13">
        <f>IF('1. Frame the Decision'!B25="","",'1. Frame the Decision'!B25)</f>
        <v/>
      </c>
    </row>
    <row r="7" ht="20" customHeight="1">
      <c r="A7" s="19" t="inlineStr">
        <is>
          <t>Cost / budget fit</t>
        </is>
      </c>
      <c r="B7" s="22" t="n">
        <v>25</v>
      </c>
      <c r="C7" s="23" t="n">
        <v>70</v>
      </c>
      <c r="D7" s="23" t="n">
        <v>85</v>
      </c>
      <c r="E7" s="23" t="n">
        <v>75</v>
      </c>
      <c r="F7" s="23" t="inlineStr"/>
      <c r="G7" s="23" t="inlineStr"/>
    </row>
    <row r="8" ht="20" customHeight="1">
      <c r="A8" s="19" t="inlineStr">
        <is>
          <t>Speed to results</t>
        </is>
      </c>
      <c r="B8" s="22" t="n">
        <v>20</v>
      </c>
      <c r="C8" s="23" t="n">
        <v>80</v>
      </c>
      <c r="D8" s="23" t="n">
        <v>60</v>
      </c>
      <c r="E8" s="23" t="n">
        <v>55</v>
      </c>
      <c r="F8" s="23" t="inlineStr"/>
      <c r="G8" s="23" t="inlineStr"/>
    </row>
    <row r="9" ht="20" customHeight="1">
      <c r="A9" s="19" t="inlineStr">
        <is>
          <t>Quality &amp; reliability</t>
        </is>
      </c>
      <c r="B9" s="22" t="n">
        <v>20</v>
      </c>
      <c r="C9" s="23" t="n">
        <v>85</v>
      </c>
      <c r="D9" s="23" t="n">
        <v>65</v>
      </c>
      <c r="E9" s="23" t="n">
        <v>70</v>
      </c>
      <c r="F9" s="23" t="inlineStr"/>
      <c r="G9" s="23" t="inlineStr"/>
    </row>
    <row r="10" ht="20" customHeight="1">
      <c r="A10" s="19" t="inlineStr">
        <is>
          <t>Team capacity freed</t>
        </is>
      </c>
      <c r="B10" s="22" t="n">
        <v>20</v>
      </c>
      <c r="C10" s="23" t="n">
        <v>90</v>
      </c>
      <c r="D10" s="23" t="n">
        <v>50</v>
      </c>
      <c r="E10" s="23" t="n">
        <v>60</v>
      </c>
      <c r="F10" s="23" t="inlineStr"/>
      <c r="G10" s="23" t="inlineStr"/>
    </row>
    <row r="11" ht="20" customHeight="1">
      <c r="A11" s="19" t="inlineStr">
        <is>
          <t>Risk &amp; reversibility</t>
        </is>
      </c>
      <c r="B11" s="22" t="n">
        <v>15</v>
      </c>
      <c r="C11" s="23" t="n">
        <v>65</v>
      </c>
      <c r="D11" s="23" t="n">
        <v>80</v>
      </c>
      <c r="E11" s="23" t="n">
        <v>70</v>
      </c>
      <c r="F11" s="23" t="inlineStr"/>
      <c r="G11" s="23" t="inlineStr"/>
    </row>
    <row r="12" ht="20" customHeight="1">
      <c r="A12" s="19" t="inlineStr"/>
      <c r="B12" s="22" t="inlineStr"/>
      <c r="C12" s="23" t="inlineStr"/>
      <c r="D12" s="23" t="inlineStr"/>
      <c r="E12" s="23" t="inlineStr"/>
      <c r="F12" s="23" t="inlineStr"/>
      <c r="G12" s="23" t="inlineStr"/>
    </row>
    <row r="13">
      <c r="A13" s="24" t="inlineStr">
        <is>
          <t>Total weight</t>
        </is>
      </c>
      <c r="B13" s="25">
        <f>SUM(B7:B12)</f>
        <v/>
      </c>
      <c r="C13" s="26">
        <f>IF(B13=100,"Balanced — weights add up to 100%","Adjust weights to total 100%")</f>
        <v/>
      </c>
      <c r="D13" s="10" t="n"/>
      <c r="E13" s="10" t="n"/>
      <c r="F13" s="10" t="n"/>
      <c r="G13" s="10" t="n"/>
    </row>
    <row r="15" ht="26" customHeight="1">
      <c r="A15" s="27" t="inlineStr">
        <is>
          <t>Weighted score</t>
        </is>
      </c>
      <c r="B15" s="28" t="inlineStr"/>
      <c r="C15" s="29">
        <f>IF(COUNT(C7:C12)=0,"",ROUND(SUMPRODUCT($B7:$B12,C7:C12)/IF(SUM($B7:$B12)=0,1,SUM($B7:$B12)),0))</f>
        <v/>
      </c>
      <c r="D15" s="29">
        <f>IF(COUNT(D7:D12)=0,"",ROUND(SUMPRODUCT($B7:$B12,D7:D12)/IF(SUM($B7:$B12)=0,1,SUM($B7:$B12)),0))</f>
        <v/>
      </c>
      <c r="E15" s="29">
        <f>IF(COUNT(E7:E12)=0,"",ROUND(SUMPRODUCT($B7:$B12,E7:E12)/IF(SUM($B7:$B12)=0,1,SUM($B7:$B12)),0))</f>
        <v/>
      </c>
      <c r="F15" s="29">
        <f>IF(COUNT(F7:F12)=0,"",ROUND(SUMPRODUCT($B7:$B12,F7:F12)/IF(SUM($B7:$B12)=0,1,SUM($B7:$B12)),0))</f>
        <v/>
      </c>
      <c r="G15" s="29">
        <f>IF(COUNT(G7:G12)=0,"",ROUND(SUMPRODUCT($B7:$B12,G7:G12)/IF(SUM($B7:$B12)=0,1,SUM($B7:$B12)),0))</f>
        <v/>
      </c>
    </row>
    <row r="17" ht="22" customHeight="1">
      <c r="A17" s="4" t="inlineStr">
        <is>
          <t>Leading option</t>
        </is>
      </c>
      <c r="B17" s="30">
        <f>IF(COUNT(C15:G15)=0,"Score your options above",INDEX(C6:G6,MATCH(MAX(C15:G15),C15:G15,0)))</f>
        <v/>
      </c>
      <c r="E17" s="31" t="inlineStr">
        <is>
          <t>highest score:</t>
        </is>
      </c>
      <c r="F17" s="32">
        <f>IF(COUNT(C15:G15)=0,"",MAX(C15:G15))</f>
        <v/>
      </c>
    </row>
    <row r="19" ht="28" customHeight="1">
      <c r="A19" s="33" t="inlineStr">
        <is>
          <t>The leading option is just the math on your inputs — it is a prompt for judgment, not the final word. Sanity-check it in Step 3 before you commit.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7">
    <mergeCell ref="A1:G1"/>
    <mergeCell ref="E17"/>
    <mergeCell ref="A4:G4"/>
    <mergeCell ref="B17:D17"/>
    <mergeCell ref="A2:G2"/>
    <mergeCell ref="C13:G13"/>
    <mergeCell ref="A19:G19"/>
  </mergeCells>
  <conditionalFormatting sqref="B13">
    <cfRule type="cellIs" priority="1" operator="equal" dxfId="0">
      <formula>100</formula>
    </cfRule>
    <cfRule type="cellIs" priority="2" operator="notEqual" dxfId="1">
      <formula>100</formula>
    </cfRule>
  </conditionalFormatting>
  <dataValidations count="2">
    <dataValidation sqref="B7:B12" showDropDown="0" showInputMessage="0" showErrorMessage="0" allowBlank="1" errorTitle="0–100 only" error="Enter a whole number from 0 to 100." type="whole" operator="between">
      <formula1>0</formula1>
      <formula2>100</formula2>
    </dataValidation>
    <dataValidation sqref="C7:G12" showDropDown="0" showInputMessage="0" showErrorMessage="0" allowBlank="1" errorTitle="0–100 only" error="Score each option 0 to 100.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1F3B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1" t="inlineStr">
        <is>
          <t>Jaspen Decision Workbook</t>
        </is>
      </c>
    </row>
    <row r="2">
      <c r="A2" s="6" t="inlineStr">
        <is>
          <t>Step 3 of 4  ·  Pressure-test your thinking</t>
        </is>
      </c>
    </row>
    <row r="4">
      <c r="A4" s="7" t="inlineStr">
        <is>
          <t>Assumptions</t>
        </is>
      </c>
      <c r="B4" s="8" t="inlineStr">
        <is>
          <t>What are you taking as true that you have not actually confirmed?</t>
        </is>
      </c>
    </row>
    <row r="5" ht="42" customHeight="1">
      <c r="A5" s="9" t="inlineStr">
        <is>
          <t>We assume a full-time hire can be productive within a month, and that budget holds through Q4.</t>
        </is>
      </c>
      <c r="B5" s="10" t="n"/>
      <c r="C5" s="10" t="n"/>
      <c r="D5" s="10" t="n"/>
      <c r="E5" s="10" t="n"/>
    </row>
    <row r="7">
      <c r="A7" s="7" t="inlineStr">
        <is>
          <t>Evidence that supports your leading option</t>
        </is>
      </c>
      <c r="B7" s="8" t="inlineStr">
        <is>
          <t>Facts, data, or experience that back it up.</t>
        </is>
      </c>
    </row>
    <row r="8" ht="42" customHeight="1">
      <c r="A8" s="9" t="inlineStr">
        <is>
          <t>Two peers who made a full-time hire cut their firefighting time noticeably within a quarter.</t>
        </is>
      </c>
      <c r="B8" s="10" t="n"/>
      <c r="C8" s="10" t="n"/>
      <c r="D8" s="10" t="n"/>
      <c r="E8" s="10" t="n"/>
    </row>
    <row r="10">
      <c r="A10" s="7" t="inlineStr">
        <is>
          <t>Evidence that challenges it</t>
        </is>
      </c>
      <c r="B10" s="8" t="inlineStr">
        <is>
          <t>What argues against it? Be honest here — this is where good decisions are made.</t>
        </is>
      </c>
    </row>
    <row r="11" ht="42" customHeight="1">
      <c r="A11" s="9" t="inlineStr">
        <is>
          <t>Our volume may not justify a full-time salary yet; a contractor stays flexible if things change.</t>
        </is>
      </c>
      <c r="B11" s="10" t="n"/>
      <c r="C11" s="10" t="n"/>
      <c r="D11" s="10" t="n"/>
      <c r="E11" s="10" t="n"/>
    </row>
    <row r="13">
      <c r="A13" s="7" t="inlineStr">
        <is>
          <t>Trade-offs</t>
        </is>
      </c>
      <c r="B13" s="8" t="inlineStr">
        <is>
          <t>What you give up with the leading option.</t>
        </is>
      </c>
    </row>
    <row r="14" ht="40" customHeight="1">
      <c r="A14" s="9" t="inlineStr">
        <is>
          <t>More fixed cost and commitment in exchange for continuity and freed-up leadership time.</t>
        </is>
      </c>
      <c r="B14" s="10" t="n"/>
      <c r="C14" s="10" t="n"/>
      <c r="D14" s="10" t="n"/>
      <c r="E14" s="10" t="n"/>
    </row>
    <row r="16">
      <c r="A16" s="7" t="inlineStr">
        <is>
          <t>Risks</t>
        </is>
      </c>
      <c r="B16" s="8" t="inlineStr">
        <is>
          <t>What could go wrong, and how bad would it be?</t>
        </is>
      </c>
    </row>
    <row r="17" ht="40" customHeight="1">
      <c r="A17" s="9" t="inlineStr">
        <is>
          <t>A wrong hire is slow and costly to unwind. Mitigate with a clear 90-day plan and check-ins.</t>
        </is>
      </c>
      <c r="B17" s="10" t="n"/>
      <c r="C17" s="10" t="n"/>
      <c r="D17" s="10" t="n"/>
      <c r="E17" s="10" t="n"/>
    </row>
    <row r="19">
      <c r="A19" s="7" t="inlineStr">
        <is>
          <t>Confidence level</t>
        </is>
      </c>
      <c r="B19" s="8" t="inlineStr">
        <is>
          <t>How sure are you, given the evidence above? High / Medium / Low.</t>
        </is>
      </c>
    </row>
    <row r="20" ht="26" customHeight="1">
      <c r="A20" s="34" t="inlineStr">
        <is>
          <t>Medium</t>
        </is>
      </c>
      <c r="B20" s="10" t="n"/>
    </row>
    <row r="22">
      <c r="A22" s="7" t="inlineStr">
        <is>
          <t>What information would change your decision?</t>
        </is>
      </c>
      <c r="B22" s="8" t="inlineStr">
        <is>
          <t>Name it now. If you can get it before the deadline, do.</t>
        </is>
      </c>
    </row>
    <row r="23" ht="42" customHeight="1">
      <c r="A23" s="9" t="inlineStr">
        <is>
          <t>A clear 3-month forecast of workload — if volume is trending down, the contractor wins.</t>
        </is>
      </c>
      <c r="B23" s="10" t="n"/>
      <c r="C23" s="10" t="n"/>
      <c r="D23" s="10" t="n"/>
      <c r="E23" s="10" t="n"/>
    </row>
  </sheetData>
  <mergeCells count="16">
    <mergeCell ref="A20:B20"/>
    <mergeCell ref="B4:E4"/>
    <mergeCell ref="A2:E2"/>
    <mergeCell ref="A14:E14"/>
    <mergeCell ref="B13:E13"/>
    <mergeCell ref="B16:E16"/>
    <mergeCell ref="A11:E11"/>
    <mergeCell ref="B7:E7"/>
    <mergeCell ref="A1:E1"/>
    <mergeCell ref="A5:E5"/>
    <mergeCell ref="A23:E23"/>
    <mergeCell ref="B19:E19"/>
    <mergeCell ref="A8:E8"/>
    <mergeCell ref="B10:E10"/>
    <mergeCell ref="A17:E17"/>
    <mergeCell ref="B22:E22"/>
  </mergeCells>
  <dataValidations count="1">
    <dataValidation sqref="A20" showDropDown="0" showInputMessage="0" showErrorMessage="0" allowBlank="1" errorTitle="Pick one" error="Choose High, Medium, or Low." type="list">
      <formula1>"High,Medium,Low"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1F3B"/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 ht="30" customHeight="1">
      <c r="A1" s="1" t="inlineStr">
        <is>
          <t>Jaspen Decision Workbook</t>
        </is>
      </c>
    </row>
    <row r="2">
      <c r="A2" s="6" t="inlineStr">
        <is>
          <t>Step 4 of 4  ·  Make the call</t>
        </is>
      </c>
    </row>
    <row r="4">
      <c r="A4" s="7" t="inlineStr">
        <is>
          <t>Final choice</t>
        </is>
      </c>
      <c r="B4" s="8" t="inlineStr">
        <is>
          <t>The option you are committing to. It is okay to differ from the leading score — say why below.</t>
        </is>
      </c>
    </row>
    <row r="5" ht="26" customHeight="1">
      <c r="A5" s="35" t="inlineStr">
        <is>
          <t>Full-time hire</t>
        </is>
      </c>
      <c r="B5" s="10" t="n"/>
      <c r="C5" s="10" t="n"/>
    </row>
    <row r="7">
      <c r="A7" s="7" t="inlineStr">
        <is>
          <t>Why this choice was made</t>
        </is>
      </c>
      <c r="B7" s="8" t="inlineStr">
        <is>
          <t>The reasoning you would want to reread in six months.</t>
        </is>
      </c>
    </row>
    <row r="8" ht="48" customHeight="1">
      <c r="A8" s="9" t="inlineStr">
        <is>
          <t>It frees the most leadership time and scored highest, and the 90-day plan limits the downside.</t>
        </is>
      </c>
      <c r="B8" s="10" t="n"/>
      <c r="C8" s="10" t="n"/>
      <c r="D8" s="10" t="n"/>
      <c r="E8" s="10" t="n"/>
    </row>
    <row r="10">
      <c r="A10" s="7" t="inlineStr">
        <is>
          <t>Review date</t>
        </is>
      </c>
      <c r="B10" s="8" t="inlineStr">
        <is>
          <t>When will you check how this turned out?</t>
        </is>
      </c>
    </row>
    <row r="11" ht="26" customHeight="1">
      <c r="A11" s="11" t="inlineStr">
        <is>
          <t>2026-11-15</t>
        </is>
      </c>
      <c r="B11" s="10" t="n"/>
    </row>
    <row r="13">
      <c r="A13" s="7" t="inlineStr">
        <is>
          <t>Outcome and lessons learned</t>
        </is>
      </c>
      <c r="B13" s="8" t="inlineStr">
        <is>
          <t>Fill this in on your review date. This is how the next decision gets better.</t>
        </is>
      </c>
    </row>
    <row r="14" ht="60" customHeight="1">
      <c r="A14" s="9" t="inlineStr">
        <is>
          <t>(Come back on your review date and record what actually happened and what you would do differently.)</t>
        </is>
      </c>
      <c r="B14" s="10" t="n"/>
      <c r="C14" s="10" t="n"/>
      <c r="D14" s="10" t="n"/>
      <c r="E14" s="10" t="n"/>
    </row>
  </sheetData>
  <mergeCells count="10">
    <mergeCell ref="B4:E4"/>
    <mergeCell ref="A2:E2"/>
    <mergeCell ref="A5:C5"/>
    <mergeCell ref="A14:E14"/>
    <mergeCell ref="B13:E13"/>
    <mergeCell ref="A11:B11"/>
    <mergeCell ref="B7:E7"/>
    <mergeCell ref="A1:E1"/>
    <mergeCell ref="A8:E8"/>
    <mergeCell ref="B10:E10"/>
  </mergeCells>
  <dataValidations count="2">
    <dataValidation sqref="A5" showDropDown="0" showInputMessage="0" showErrorMessage="0" allowBlank="1" type="list">
      <formula1>='1. Frame the Decision'!$B$21:$B$25</formula1>
    </dataValidation>
    <dataValidation sqref="A11" showDropDown="0" showInputMessage="0" showErrorMessage="0" allowBlank="1" type="dat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0036C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Decision Summary</t>
        </is>
      </c>
    </row>
    <row r="2">
      <c r="A2" s="2" t="inlineStr">
        <is>
          <t>A one-page view of your decision. It fills itself in from the other sheets — good for sharing or printing.</t>
        </is>
      </c>
    </row>
    <row r="4" ht="40" customHeight="1">
      <c r="A4" s="36" t="inlineStr">
        <is>
          <t>The decision</t>
        </is>
      </c>
      <c r="B4" s="37">
        <f>'1. Frame the Decision'!A5</f>
        <v/>
      </c>
      <c r="C4" s="10" t="n"/>
      <c r="D4" s="10" t="n"/>
      <c r="E4" s="10" t="n"/>
    </row>
    <row r="5" ht="40" customHeight="1">
      <c r="A5" s="36" t="inlineStr">
        <is>
          <t>Why it matters</t>
        </is>
      </c>
      <c r="B5" s="37">
        <f>'1. Frame the Decision'!A11</f>
        <v/>
      </c>
      <c r="C5" s="10" t="n"/>
      <c r="D5" s="10" t="n"/>
      <c r="E5" s="10" t="n"/>
    </row>
    <row r="6" ht="40" customHeight="1">
      <c r="A6" s="36" t="inlineStr">
        <is>
          <t>Desired outcome</t>
        </is>
      </c>
      <c r="B6" s="37">
        <f>'1. Frame the Decision'!A17</f>
        <v/>
      </c>
      <c r="C6" s="10" t="n"/>
      <c r="D6" s="10" t="n"/>
      <c r="E6" s="10" t="n"/>
    </row>
    <row r="7" ht="22" customHeight="1">
      <c r="A7" s="36" t="inlineStr">
        <is>
          <t>Deadline</t>
        </is>
      </c>
      <c r="B7" s="37">
        <f>'1. Frame the Decision'!A8</f>
        <v/>
      </c>
      <c r="C7" s="10" t="n"/>
      <c r="D7" s="10" t="n"/>
      <c r="E7" s="10" t="n"/>
    </row>
    <row r="8" ht="24" customHeight="1">
      <c r="A8" s="36" t="inlineStr">
        <is>
          <t>Leading option (by score)</t>
        </is>
      </c>
      <c r="B8" s="38">
        <f>IF('2. Compare Options'!B17="","Complete Step 2",'2. Compare Options'!B17&amp;"   ("&amp;TEXT('2. Compare Options'!F17,"0")&amp;"/100)")</f>
        <v/>
      </c>
      <c r="C8" s="10" t="n"/>
      <c r="D8" s="10" t="n"/>
      <c r="E8" s="10" t="n"/>
    </row>
    <row r="9" ht="24" customHeight="1">
      <c r="A9" s="36" t="inlineStr">
        <is>
          <t>Final choice</t>
        </is>
      </c>
      <c r="B9" s="38">
        <f>IF('4. Decide &amp; Review'!A5="","Complete Step 4",'4. Decide &amp; Review'!A5)</f>
        <v/>
      </c>
      <c r="C9" s="10" t="n"/>
      <c r="D9" s="10" t="n"/>
      <c r="E9" s="10" t="n"/>
    </row>
    <row r="10" ht="48" customHeight="1">
      <c r="A10" s="36" t="inlineStr">
        <is>
          <t>Why this choice</t>
        </is>
      </c>
      <c r="B10" s="37">
        <f>'4. Decide &amp; Review'!A8</f>
        <v/>
      </c>
      <c r="C10" s="10" t="n"/>
      <c r="D10" s="10" t="n"/>
      <c r="E10" s="10" t="n"/>
    </row>
    <row r="11" ht="22" customHeight="1">
      <c r="A11" s="36" t="inlineStr">
        <is>
          <t>Confidence</t>
        </is>
      </c>
      <c r="B11" s="37">
        <f>IF('3. Evidence &amp; Risks'!A20="","—",'3. Evidence &amp; Risks'!A20)</f>
        <v/>
      </c>
      <c r="C11" s="10" t="n"/>
      <c r="D11" s="10" t="n"/>
      <c r="E11" s="10" t="n"/>
    </row>
    <row r="12" ht="22" customHeight="1">
      <c r="A12" s="36" t="inlineStr">
        <is>
          <t>Review date</t>
        </is>
      </c>
      <c r="B12" s="37">
        <f>'4. Decide &amp; Review'!A11</f>
        <v/>
      </c>
      <c r="C12" s="10" t="n"/>
      <c r="D12" s="10" t="n"/>
      <c r="E12" s="10" t="n"/>
    </row>
    <row r="13" ht="44" customHeight="1">
      <c r="A13" s="36" t="inlineStr">
        <is>
          <t>Outcome &amp; lessons</t>
        </is>
      </c>
      <c r="B13" s="37">
        <f>IF('4. Decide &amp; Review'!A15="","To be completed on your review date",'4. Decide &amp; Review'!A15)</f>
        <v/>
      </c>
      <c r="C13" s="10" t="n"/>
      <c r="D13" s="10" t="n"/>
      <c r="E13" s="10" t="n"/>
    </row>
    <row r="15" ht="20" customHeight="1">
      <c r="A15" s="5" t="inlineStr">
        <is>
          <t>Prefer to think it through out loud?  Jaspen walks you through this same method interactively — it asks the follow-up questions, surfaces the assumptions and trade-offs you might miss, scores your options, and keeps the reasoning so you can revisit it later.  Try it free at jaspen.ai</t>
        </is>
      </c>
    </row>
    <row r="16" ht="20" customHeight="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CE4B"/>
  <mergeCells count="13">
    <mergeCell ref="B9:E9"/>
    <mergeCell ref="B8:E8"/>
    <mergeCell ref="B4:E4"/>
    <mergeCell ref="A2:E2"/>
    <mergeCell ref="B12:E12"/>
    <mergeCell ref="B13:E13"/>
    <mergeCell ref="B6:E6"/>
    <mergeCell ref="A15:E16"/>
    <mergeCell ref="B7:E7"/>
    <mergeCell ref="A1:E1"/>
    <mergeCell ref="B11:E11"/>
    <mergeCell ref="B5:E5"/>
    <mergeCell ref="B10:E10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Jaspen</dc:creator>
  <dc:title xmlns:dc="http://purl.org/dc/elements/1.1/">Jaspen Decision Workbook</dc:title>
  <dcterms:created xmlns:dcterms="http://purl.org/dc/terms/" xmlns:xsi="http://www.w3.org/2001/XMLSchema-instance" xsi:type="dcterms:W3CDTF">2026-07-12T14:56:16Z</dcterms:created>
  <dcterms:modified xmlns:dcterms="http://purl.org/dc/terms/" xmlns:xsi="http://www.w3.org/2001/XMLSchema-instance" xsi:type="dcterms:W3CDTF">2026-07-12T14:56:16Z</dcterms:modified>
</cp:coreProperties>
</file>